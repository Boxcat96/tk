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.xml" ContentType="application/vnd.ms-excel.controlproperties+xml"/>
  <Override PartName="/xl/drawings/drawing1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8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1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デスクトップ/08_点検/"/>
    </mc:Choice>
  </mc:AlternateContent>
  <xr:revisionPtr revIDLastSave="390" documentId="8_{108EACA5-E0C3-4559-93A9-CC978F73EBD8}" xr6:coauthVersionLast="47" xr6:coauthVersionMax="47" xr10:uidLastSave="{BC500A0B-9B62-4AB7-9D9B-D81B9BF9D837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benchmark" sheetId="1" r:id="rId3"/>
    <sheet name="25hike" sheetId="9" r:id="rId4"/>
    <sheet name="IPIzero" sheetId="16" r:id="rId5"/>
    <sheet name="25hike_IPInear" sheetId="10" r:id="rId6"/>
    <sheet name="25hike_IPIfar" sheetId="12" r:id="rId7"/>
    <sheet name="25hike_IPIminus" sheetId="15" r:id="rId8"/>
    <sheet name="IPI_plus" sheetId="11" r:id="rId9"/>
    <sheet name="IPI_minus" sheetId="13" r:id="rId10"/>
  </sheets>
  <definedNames>
    <definedName name="_xlnm.Print_Area" localSheetId="0">G!$A$1:$N$124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10" l="1"/>
  <c r="B54" i="10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C54" i="10"/>
  <c r="D54" i="10"/>
  <c r="E54" i="10"/>
  <c r="F54" i="10"/>
  <c r="G54" i="10"/>
  <c r="H54" i="10"/>
  <c r="I54" i="10"/>
  <c r="A55" i="10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C55" i="10"/>
  <c r="D55" i="10"/>
  <c r="E55" i="10"/>
  <c r="F55" i="10"/>
  <c r="G55" i="10"/>
  <c r="H55" i="10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I55" i="10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91" i="10" s="1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104" i="10" s="1"/>
  <c r="I105" i="10" s="1"/>
  <c r="I106" i="10" s="1"/>
  <c r="I107" i="10" s="1"/>
  <c r="I108" i="10" s="1"/>
  <c r="I109" i="10" s="1"/>
  <c r="I110" i="10" s="1"/>
  <c r="I111" i="10" s="1"/>
  <c r="I112" i="10" s="1"/>
  <c r="I113" i="10" s="1"/>
  <c r="I114" i="10" s="1"/>
  <c r="I115" i="10" s="1"/>
  <c r="I116" i="10" s="1"/>
  <c r="I117" i="10" s="1"/>
  <c r="I118" i="10" s="1"/>
  <c r="I119" i="10" s="1"/>
  <c r="I120" i="10" s="1"/>
  <c r="I121" i="10" s="1"/>
  <c r="I122" i="10" s="1"/>
  <c r="I123" i="10" s="1"/>
  <c r="I124" i="10" s="1"/>
  <c r="I125" i="10" s="1"/>
  <c r="I126" i="10" s="1"/>
  <c r="I127" i="10" s="1"/>
  <c r="I128" i="10" s="1"/>
  <c r="I129" i="10" s="1"/>
  <c r="I130" i="10" s="1"/>
  <c r="I131" i="10" s="1"/>
  <c r="I132" i="10" s="1"/>
  <c r="I133" i="10" s="1"/>
  <c r="I134" i="10" s="1"/>
  <c r="I135" i="10" s="1"/>
  <c r="I136" i="10" s="1"/>
  <c r="I137" i="10" s="1"/>
  <c r="I138" i="10" s="1"/>
  <c r="I139" i="10" s="1"/>
  <c r="I140" i="10" s="1"/>
  <c r="I141" i="10" s="1"/>
  <c r="I142" i="10" s="1"/>
  <c r="I143" i="10" s="1"/>
  <c r="I144" i="10" s="1"/>
  <c r="I145" i="10" s="1"/>
  <c r="I146" i="10" s="1"/>
  <c r="I147" i="10" s="1"/>
  <c r="I148" i="10" s="1"/>
  <c r="I149" i="10" s="1"/>
  <c r="I150" i="10" s="1"/>
  <c r="I151" i="10" s="1"/>
  <c r="I152" i="10" s="1"/>
  <c r="I153" i="10" s="1"/>
  <c r="I154" i="10" s="1"/>
  <c r="I155" i="10" s="1"/>
  <c r="I156" i="10" s="1"/>
  <c r="I157" i="10" s="1"/>
  <c r="I158" i="10" s="1"/>
  <c r="I159" i="10" s="1"/>
  <c r="I160" i="10" s="1"/>
  <c r="I161" i="10" s="1"/>
  <c r="I162" i="10" s="1"/>
  <c r="I163" i="10" s="1"/>
  <c r="I164" i="10" s="1"/>
  <c r="I165" i="10" s="1"/>
  <c r="I166" i="10" s="1"/>
  <c r="I167" i="10" s="1"/>
  <c r="I168" i="10" s="1"/>
  <c r="I169" i="10" s="1"/>
  <c r="I170" i="10" s="1"/>
  <c r="I171" i="10" s="1"/>
  <c r="I172" i="10" s="1"/>
  <c r="I173" i="10" s="1"/>
  <c r="I174" i="10" s="1"/>
  <c r="I175" i="10" s="1"/>
  <c r="I176" i="10" s="1"/>
  <c r="I177" i="10" s="1"/>
  <c r="I178" i="10" s="1"/>
  <c r="I179" i="10" s="1"/>
  <c r="I180" i="10" s="1"/>
  <c r="I181" i="10" s="1"/>
  <c r="I182" i="10" s="1"/>
  <c r="I183" i="10" s="1"/>
  <c r="I184" i="10" s="1"/>
  <c r="I185" i="10" s="1"/>
  <c r="I186" i="10" s="1"/>
  <c r="I187" i="10" s="1"/>
  <c r="I188" i="10" s="1"/>
  <c r="I189" i="10" s="1"/>
  <c r="I190" i="10" s="1"/>
  <c r="I191" i="10" s="1"/>
  <c r="I192" i="10" s="1"/>
  <c r="I193" i="10" s="1"/>
  <c r="I194" i="10" s="1"/>
  <c r="I195" i="10" s="1"/>
  <c r="I196" i="10" s="1"/>
  <c r="I197" i="10" s="1"/>
  <c r="I198" i="10" s="1"/>
  <c r="I199" i="10" s="1"/>
  <c r="I200" i="10" s="1"/>
  <c r="C56" i="10"/>
  <c r="D56" i="10"/>
  <c r="E56" i="10"/>
  <c r="F56" i="10"/>
  <c r="G56" i="10"/>
  <c r="C57" i="10"/>
  <c r="D57" i="10"/>
  <c r="E57" i="10"/>
  <c r="F57" i="10"/>
  <c r="G57" i="10"/>
  <c r="C58" i="10"/>
  <c r="D58" i="10"/>
  <c r="E58" i="10"/>
  <c r="F58" i="10"/>
  <c r="G58" i="10"/>
  <c r="C59" i="10"/>
  <c r="D59" i="10"/>
  <c r="E59" i="10"/>
  <c r="F59" i="10"/>
  <c r="G59" i="10"/>
  <c r="C60" i="10"/>
  <c r="D60" i="10"/>
  <c r="E60" i="10"/>
  <c r="F60" i="10"/>
  <c r="G60" i="10"/>
  <c r="C61" i="10"/>
  <c r="D61" i="10"/>
  <c r="E61" i="10"/>
  <c r="F61" i="10"/>
  <c r="G61" i="10"/>
  <c r="C62" i="10"/>
  <c r="D62" i="10"/>
  <c r="E62" i="10"/>
  <c r="F62" i="10"/>
  <c r="G62" i="10"/>
  <c r="C63" i="10"/>
  <c r="D63" i="10"/>
  <c r="E63" i="10"/>
  <c r="F63" i="10"/>
  <c r="G63" i="10"/>
  <c r="C64" i="10"/>
  <c r="D64" i="10"/>
  <c r="E64" i="10"/>
  <c r="F64" i="10"/>
  <c r="G64" i="10"/>
  <c r="C65" i="10"/>
  <c r="D65" i="10"/>
  <c r="E65" i="10"/>
  <c r="F65" i="10"/>
  <c r="G65" i="10"/>
  <c r="C66" i="10"/>
  <c r="D66" i="10"/>
  <c r="E66" i="10"/>
  <c r="F66" i="10"/>
  <c r="G66" i="10"/>
  <c r="C67" i="10"/>
  <c r="D67" i="10"/>
  <c r="E67" i="10"/>
  <c r="F67" i="10"/>
  <c r="G67" i="10"/>
  <c r="C68" i="10"/>
  <c r="D68" i="10"/>
  <c r="E68" i="10"/>
  <c r="F68" i="10"/>
  <c r="G68" i="10"/>
  <c r="C69" i="10"/>
  <c r="D69" i="10"/>
  <c r="E69" i="10"/>
  <c r="F69" i="10"/>
  <c r="G69" i="10"/>
  <c r="C70" i="10"/>
  <c r="D70" i="10"/>
  <c r="E70" i="10"/>
  <c r="F70" i="10"/>
  <c r="G70" i="10"/>
  <c r="C71" i="10"/>
  <c r="D71" i="10"/>
  <c r="E71" i="10"/>
  <c r="F71" i="10"/>
  <c r="G71" i="10"/>
  <c r="C72" i="10"/>
  <c r="D72" i="10"/>
  <c r="E72" i="10"/>
  <c r="F72" i="10"/>
  <c r="G72" i="10"/>
  <c r="C73" i="10"/>
  <c r="D73" i="10"/>
  <c r="E73" i="10"/>
  <c r="F73" i="10"/>
  <c r="G73" i="10"/>
  <c r="C74" i="10"/>
  <c r="D74" i="10"/>
  <c r="E74" i="10"/>
  <c r="F74" i="10"/>
  <c r="G74" i="10"/>
  <c r="C75" i="10"/>
  <c r="D75" i="10"/>
  <c r="E75" i="10"/>
  <c r="F75" i="10"/>
  <c r="G75" i="10"/>
  <c r="C76" i="10"/>
  <c r="D76" i="10"/>
  <c r="E76" i="10"/>
  <c r="F76" i="10"/>
  <c r="G76" i="10"/>
  <c r="C77" i="10"/>
  <c r="D77" i="10"/>
  <c r="E77" i="10"/>
  <c r="F77" i="10"/>
  <c r="G77" i="10"/>
  <c r="C78" i="10"/>
  <c r="D78" i="10"/>
  <c r="E78" i="10"/>
  <c r="F78" i="10"/>
  <c r="G78" i="10"/>
  <c r="C79" i="10"/>
  <c r="D79" i="10"/>
  <c r="E79" i="10"/>
  <c r="F79" i="10"/>
  <c r="G79" i="10"/>
  <c r="C80" i="10"/>
  <c r="D80" i="10"/>
  <c r="E80" i="10"/>
  <c r="F80" i="10"/>
  <c r="G80" i="10"/>
  <c r="C81" i="10"/>
  <c r="D81" i="10"/>
  <c r="E81" i="10"/>
  <c r="F81" i="10"/>
  <c r="G81" i="10"/>
  <c r="C82" i="10"/>
  <c r="D82" i="10"/>
  <c r="E82" i="10"/>
  <c r="F82" i="10"/>
  <c r="G82" i="10"/>
  <c r="C83" i="10"/>
  <c r="D83" i="10"/>
  <c r="E83" i="10"/>
  <c r="F83" i="10"/>
  <c r="G83" i="10"/>
  <c r="C84" i="10"/>
  <c r="D84" i="10"/>
  <c r="E84" i="10"/>
  <c r="F84" i="10"/>
  <c r="G84" i="10"/>
  <c r="C85" i="10"/>
  <c r="D85" i="10"/>
  <c r="E85" i="10"/>
  <c r="F85" i="10"/>
  <c r="G85" i="10"/>
  <c r="C86" i="10"/>
  <c r="D86" i="10"/>
  <c r="E86" i="10"/>
  <c r="F86" i="10"/>
  <c r="G86" i="10"/>
  <c r="C87" i="10"/>
  <c r="D87" i="10"/>
  <c r="E87" i="10"/>
  <c r="F87" i="10"/>
  <c r="G87" i="10"/>
  <c r="C88" i="10"/>
  <c r="D88" i="10"/>
  <c r="E88" i="10"/>
  <c r="F88" i="10"/>
  <c r="G88" i="10"/>
  <c r="C89" i="10"/>
  <c r="D89" i="10"/>
  <c r="E89" i="10"/>
  <c r="F89" i="10"/>
  <c r="G89" i="10"/>
  <c r="C90" i="10"/>
  <c r="D90" i="10"/>
  <c r="E90" i="10"/>
  <c r="F90" i="10"/>
  <c r="G90" i="10"/>
  <c r="C91" i="10"/>
  <c r="D91" i="10"/>
  <c r="E91" i="10"/>
  <c r="F91" i="10"/>
  <c r="G91" i="10"/>
  <c r="C92" i="10"/>
  <c r="D92" i="10"/>
  <c r="E92" i="10"/>
  <c r="F92" i="10"/>
  <c r="G92" i="10"/>
  <c r="C93" i="10"/>
  <c r="D93" i="10"/>
  <c r="E93" i="10"/>
  <c r="F93" i="10"/>
  <c r="G93" i="10"/>
  <c r="C94" i="10"/>
  <c r="D94" i="10"/>
  <c r="E94" i="10"/>
  <c r="F94" i="10"/>
  <c r="G94" i="10"/>
  <c r="C95" i="10"/>
  <c r="D95" i="10"/>
  <c r="E95" i="10"/>
  <c r="F95" i="10"/>
  <c r="G95" i="10"/>
  <c r="C96" i="10"/>
  <c r="D96" i="10"/>
  <c r="E96" i="10"/>
  <c r="F96" i="10"/>
  <c r="G96" i="10"/>
  <c r="C97" i="10"/>
  <c r="D97" i="10"/>
  <c r="E97" i="10"/>
  <c r="F97" i="10"/>
  <c r="G97" i="10"/>
  <c r="C98" i="10"/>
  <c r="D98" i="10"/>
  <c r="E98" i="10"/>
  <c r="F98" i="10"/>
  <c r="G98" i="10"/>
  <c r="C99" i="10"/>
  <c r="D99" i="10"/>
  <c r="E99" i="10"/>
  <c r="F99" i="10"/>
  <c r="G99" i="10"/>
  <c r="C100" i="10"/>
  <c r="D100" i="10"/>
  <c r="E100" i="10"/>
  <c r="F100" i="10"/>
  <c r="G100" i="10"/>
  <c r="C101" i="10"/>
  <c r="D101" i="10"/>
  <c r="E101" i="10"/>
  <c r="F101" i="10"/>
  <c r="G101" i="10"/>
  <c r="C102" i="10"/>
  <c r="D102" i="10"/>
  <c r="E102" i="10"/>
  <c r="F102" i="10"/>
  <c r="G102" i="10"/>
  <c r="C103" i="10"/>
  <c r="D103" i="10"/>
  <c r="E103" i="10"/>
  <c r="F103" i="10"/>
  <c r="G103" i="10"/>
  <c r="C104" i="10"/>
  <c r="D104" i="10"/>
  <c r="E104" i="10"/>
  <c r="F104" i="10"/>
  <c r="G104" i="10"/>
  <c r="C105" i="10"/>
  <c r="D105" i="10"/>
  <c r="E105" i="10"/>
  <c r="F105" i="10"/>
  <c r="G105" i="10"/>
  <c r="C106" i="10"/>
  <c r="D106" i="10"/>
  <c r="E106" i="10"/>
  <c r="F106" i="10"/>
  <c r="G106" i="10"/>
  <c r="C107" i="10"/>
  <c r="D107" i="10"/>
  <c r="E107" i="10"/>
  <c r="F107" i="10"/>
  <c r="G107" i="10"/>
  <c r="C108" i="10"/>
  <c r="D108" i="10"/>
  <c r="E108" i="10"/>
  <c r="F108" i="10"/>
  <c r="G108" i="10"/>
  <c r="C109" i="10"/>
  <c r="D109" i="10"/>
  <c r="E109" i="10"/>
  <c r="F109" i="10"/>
  <c r="G109" i="10"/>
  <c r="C110" i="10"/>
  <c r="D110" i="10"/>
  <c r="E110" i="10"/>
  <c r="F110" i="10"/>
  <c r="G110" i="10"/>
  <c r="C111" i="10"/>
  <c r="D111" i="10"/>
  <c r="E111" i="10"/>
  <c r="F111" i="10"/>
  <c r="G111" i="10"/>
  <c r="C112" i="10"/>
  <c r="D112" i="10"/>
  <c r="E112" i="10"/>
  <c r="F112" i="10"/>
  <c r="G112" i="10"/>
  <c r="C113" i="10"/>
  <c r="D113" i="10"/>
  <c r="E113" i="10"/>
  <c r="F113" i="10"/>
  <c r="G113" i="10"/>
  <c r="C114" i="10"/>
  <c r="D114" i="10"/>
  <c r="E114" i="10"/>
  <c r="F114" i="10"/>
  <c r="G114" i="10"/>
  <c r="C115" i="10"/>
  <c r="D115" i="10"/>
  <c r="E115" i="10"/>
  <c r="F115" i="10"/>
  <c r="G115" i="10"/>
  <c r="C116" i="10"/>
  <c r="D116" i="10"/>
  <c r="E116" i="10"/>
  <c r="F116" i="10"/>
  <c r="G116" i="10"/>
  <c r="C117" i="10"/>
  <c r="D117" i="10"/>
  <c r="E117" i="10"/>
  <c r="F117" i="10"/>
  <c r="G117" i="10"/>
  <c r="C118" i="10"/>
  <c r="D118" i="10"/>
  <c r="E118" i="10"/>
  <c r="F118" i="10"/>
  <c r="G118" i="10"/>
  <c r="C119" i="10"/>
  <c r="D119" i="10"/>
  <c r="E119" i="10"/>
  <c r="F119" i="10"/>
  <c r="G119" i="10"/>
  <c r="C120" i="10"/>
  <c r="D120" i="10"/>
  <c r="E120" i="10"/>
  <c r="F120" i="10"/>
  <c r="G120" i="10"/>
  <c r="C121" i="10"/>
  <c r="D121" i="10"/>
  <c r="E121" i="10"/>
  <c r="F121" i="10"/>
  <c r="G121" i="10"/>
  <c r="C122" i="10"/>
  <c r="D122" i="10"/>
  <c r="E122" i="10"/>
  <c r="F122" i="10"/>
  <c r="G122" i="10"/>
  <c r="C123" i="10"/>
  <c r="D123" i="10"/>
  <c r="E123" i="10"/>
  <c r="F123" i="10"/>
  <c r="G123" i="10"/>
  <c r="C124" i="10"/>
  <c r="D124" i="10"/>
  <c r="E124" i="10"/>
  <c r="F124" i="10"/>
  <c r="G124" i="10"/>
  <c r="C125" i="10"/>
  <c r="D125" i="10"/>
  <c r="E125" i="10"/>
  <c r="F125" i="10"/>
  <c r="G125" i="10"/>
  <c r="C126" i="10"/>
  <c r="D126" i="10"/>
  <c r="E126" i="10"/>
  <c r="F126" i="10"/>
  <c r="G126" i="10"/>
  <c r="C127" i="10"/>
  <c r="D127" i="10"/>
  <c r="E127" i="10"/>
  <c r="F127" i="10"/>
  <c r="G127" i="10"/>
  <c r="C128" i="10"/>
  <c r="D128" i="10"/>
  <c r="E128" i="10"/>
  <c r="F128" i="10"/>
  <c r="G128" i="10"/>
  <c r="C129" i="10"/>
  <c r="D129" i="10"/>
  <c r="E129" i="10"/>
  <c r="F129" i="10"/>
  <c r="G129" i="10"/>
  <c r="C130" i="10"/>
  <c r="D130" i="10"/>
  <c r="E130" i="10"/>
  <c r="F130" i="10"/>
  <c r="G130" i="10"/>
  <c r="C131" i="10"/>
  <c r="D131" i="10"/>
  <c r="E131" i="10"/>
  <c r="F131" i="10"/>
  <c r="G131" i="10"/>
  <c r="C132" i="10"/>
  <c r="D132" i="10"/>
  <c r="E132" i="10"/>
  <c r="F132" i="10"/>
  <c r="G132" i="10"/>
  <c r="C133" i="10"/>
  <c r="D133" i="10"/>
  <c r="E133" i="10"/>
  <c r="F133" i="10"/>
  <c r="G133" i="10"/>
  <c r="C134" i="10"/>
  <c r="D134" i="10"/>
  <c r="E134" i="10"/>
  <c r="F134" i="10"/>
  <c r="G134" i="10"/>
  <c r="C135" i="10"/>
  <c r="D135" i="10"/>
  <c r="E135" i="10"/>
  <c r="F135" i="10"/>
  <c r="G135" i="10"/>
  <c r="C136" i="10"/>
  <c r="D136" i="10"/>
  <c r="E136" i="10"/>
  <c r="F136" i="10"/>
  <c r="G136" i="10"/>
  <c r="C137" i="10"/>
  <c r="D137" i="10"/>
  <c r="E137" i="10"/>
  <c r="F137" i="10"/>
  <c r="G137" i="10"/>
  <c r="C138" i="10"/>
  <c r="D138" i="10"/>
  <c r="E138" i="10"/>
  <c r="F138" i="10"/>
  <c r="G138" i="10"/>
  <c r="C139" i="10"/>
  <c r="D139" i="10"/>
  <c r="E139" i="10"/>
  <c r="F139" i="10"/>
  <c r="G139" i="10"/>
  <c r="C140" i="10"/>
  <c r="D140" i="10"/>
  <c r="E140" i="10"/>
  <c r="F140" i="10"/>
  <c r="G140" i="10"/>
  <c r="C141" i="10"/>
  <c r="D141" i="10"/>
  <c r="E141" i="10"/>
  <c r="F141" i="10"/>
  <c r="G141" i="10"/>
  <c r="C142" i="10"/>
  <c r="D142" i="10"/>
  <c r="E142" i="10"/>
  <c r="F142" i="10"/>
  <c r="G142" i="10"/>
  <c r="C143" i="10"/>
  <c r="D143" i="10"/>
  <c r="E143" i="10"/>
  <c r="F143" i="10"/>
  <c r="G143" i="10"/>
  <c r="C144" i="10"/>
  <c r="D144" i="10"/>
  <c r="E144" i="10"/>
  <c r="F144" i="10"/>
  <c r="G144" i="10"/>
  <c r="C145" i="10"/>
  <c r="D145" i="10"/>
  <c r="E145" i="10"/>
  <c r="F145" i="10"/>
  <c r="G145" i="10"/>
  <c r="C146" i="10"/>
  <c r="D146" i="10"/>
  <c r="E146" i="10"/>
  <c r="F146" i="10"/>
  <c r="G146" i="10"/>
  <c r="C147" i="10"/>
  <c r="D147" i="10"/>
  <c r="E147" i="10"/>
  <c r="F147" i="10"/>
  <c r="G147" i="10"/>
  <c r="C148" i="10"/>
  <c r="D148" i="10"/>
  <c r="E148" i="10"/>
  <c r="F148" i="10"/>
  <c r="G148" i="10"/>
  <c r="C149" i="10"/>
  <c r="D149" i="10"/>
  <c r="E149" i="10"/>
  <c r="F149" i="10"/>
  <c r="G149" i="10"/>
  <c r="C150" i="10"/>
  <c r="D150" i="10"/>
  <c r="E150" i="10"/>
  <c r="F150" i="10"/>
  <c r="G150" i="10"/>
  <c r="C151" i="10"/>
  <c r="D151" i="10"/>
  <c r="E151" i="10"/>
  <c r="F151" i="10"/>
  <c r="G151" i="10"/>
  <c r="C152" i="10"/>
  <c r="D152" i="10"/>
  <c r="E152" i="10"/>
  <c r="F152" i="10"/>
  <c r="G152" i="10"/>
  <c r="C153" i="10"/>
  <c r="D153" i="10"/>
  <c r="E153" i="10"/>
  <c r="F153" i="10"/>
  <c r="G153" i="10"/>
  <c r="C154" i="10"/>
  <c r="D154" i="10"/>
  <c r="E154" i="10"/>
  <c r="F154" i="10"/>
  <c r="G154" i="10"/>
  <c r="C155" i="10"/>
  <c r="D155" i="10"/>
  <c r="E155" i="10"/>
  <c r="F155" i="10"/>
  <c r="G155" i="10"/>
  <c r="C156" i="10"/>
  <c r="D156" i="10"/>
  <c r="E156" i="10"/>
  <c r="F156" i="10"/>
  <c r="G156" i="10"/>
  <c r="C157" i="10"/>
  <c r="D157" i="10"/>
  <c r="E157" i="10"/>
  <c r="F157" i="10"/>
  <c r="G157" i="10"/>
  <c r="C158" i="10"/>
  <c r="D158" i="10"/>
  <c r="E158" i="10"/>
  <c r="F158" i="10"/>
  <c r="G158" i="10"/>
  <c r="C159" i="10"/>
  <c r="D159" i="10"/>
  <c r="E159" i="10"/>
  <c r="F159" i="10"/>
  <c r="G159" i="10"/>
  <c r="C160" i="10"/>
  <c r="D160" i="10"/>
  <c r="E160" i="10"/>
  <c r="F160" i="10"/>
  <c r="G160" i="10"/>
  <c r="C161" i="10"/>
  <c r="D161" i="10"/>
  <c r="E161" i="10"/>
  <c r="F161" i="10"/>
  <c r="G161" i="10"/>
  <c r="C162" i="10"/>
  <c r="D162" i="10"/>
  <c r="E162" i="10"/>
  <c r="F162" i="10"/>
  <c r="G162" i="10"/>
  <c r="C163" i="10"/>
  <c r="D163" i="10"/>
  <c r="E163" i="10"/>
  <c r="F163" i="10"/>
  <c r="G163" i="10"/>
  <c r="C164" i="10"/>
  <c r="D164" i="10"/>
  <c r="E164" i="10"/>
  <c r="F164" i="10"/>
  <c r="G164" i="10"/>
  <c r="C165" i="10"/>
  <c r="D165" i="10"/>
  <c r="E165" i="10"/>
  <c r="F165" i="10"/>
  <c r="G165" i="10"/>
  <c r="C166" i="10"/>
  <c r="D166" i="10"/>
  <c r="E166" i="10"/>
  <c r="F166" i="10"/>
  <c r="G166" i="10"/>
  <c r="C167" i="10"/>
  <c r="D167" i="10"/>
  <c r="E167" i="10"/>
  <c r="F167" i="10"/>
  <c r="G167" i="10"/>
  <c r="C168" i="10"/>
  <c r="D168" i="10"/>
  <c r="E168" i="10"/>
  <c r="F168" i="10"/>
  <c r="G168" i="10"/>
  <c r="C169" i="10"/>
  <c r="D169" i="10"/>
  <c r="E169" i="10"/>
  <c r="F169" i="10"/>
  <c r="G169" i="10"/>
  <c r="C170" i="10"/>
  <c r="D170" i="10"/>
  <c r="E170" i="10"/>
  <c r="F170" i="10"/>
  <c r="G170" i="10"/>
  <c r="C171" i="10"/>
  <c r="D171" i="10"/>
  <c r="E171" i="10"/>
  <c r="F171" i="10"/>
  <c r="G171" i="10"/>
  <c r="C172" i="10"/>
  <c r="D172" i="10"/>
  <c r="E172" i="10"/>
  <c r="F172" i="10"/>
  <c r="G172" i="10"/>
  <c r="C173" i="10"/>
  <c r="D173" i="10"/>
  <c r="E173" i="10"/>
  <c r="F173" i="10"/>
  <c r="G173" i="10"/>
  <c r="C174" i="10"/>
  <c r="D174" i="10"/>
  <c r="E174" i="10"/>
  <c r="F174" i="10"/>
  <c r="G174" i="10"/>
  <c r="C175" i="10"/>
  <c r="D175" i="10"/>
  <c r="E175" i="10"/>
  <c r="F175" i="10"/>
  <c r="G175" i="10"/>
  <c r="C176" i="10"/>
  <c r="D176" i="10"/>
  <c r="E176" i="10"/>
  <c r="F176" i="10"/>
  <c r="G176" i="10"/>
  <c r="C177" i="10"/>
  <c r="D177" i="10"/>
  <c r="E177" i="10"/>
  <c r="F177" i="10"/>
  <c r="G177" i="10"/>
  <c r="C178" i="10"/>
  <c r="D178" i="10"/>
  <c r="E178" i="10"/>
  <c r="F178" i="10"/>
  <c r="G178" i="10"/>
  <c r="C179" i="10"/>
  <c r="D179" i="10"/>
  <c r="E179" i="10"/>
  <c r="F179" i="10"/>
  <c r="G179" i="10"/>
  <c r="C180" i="10"/>
  <c r="D180" i="10"/>
  <c r="E180" i="10"/>
  <c r="F180" i="10"/>
  <c r="G180" i="10"/>
  <c r="C181" i="10"/>
  <c r="D181" i="10"/>
  <c r="E181" i="10"/>
  <c r="F181" i="10"/>
  <c r="G181" i="10"/>
  <c r="C182" i="10"/>
  <c r="D182" i="10"/>
  <c r="E182" i="10"/>
  <c r="F182" i="10"/>
  <c r="G182" i="10"/>
  <c r="C183" i="10"/>
  <c r="D183" i="10"/>
  <c r="E183" i="10"/>
  <c r="F183" i="10"/>
  <c r="G183" i="10"/>
  <c r="C184" i="10"/>
  <c r="D184" i="10"/>
  <c r="E184" i="10"/>
  <c r="F184" i="10"/>
  <c r="G184" i="10"/>
  <c r="C185" i="10"/>
  <c r="D185" i="10"/>
  <c r="E185" i="10"/>
  <c r="F185" i="10"/>
  <c r="G185" i="10"/>
  <c r="C186" i="10"/>
  <c r="D186" i="10"/>
  <c r="E186" i="10"/>
  <c r="F186" i="10"/>
  <c r="G186" i="10"/>
  <c r="C187" i="10"/>
  <c r="D187" i="10"/>
  <c r="E187" i="10"/>
  <c r="F187" i="10"/>
  <c r="G187" i="10"/>
  <c r="C188" i="10"/>
  <c r="D188" i="10"/>
  <c r="E188" i="10"/>
  <c r="F188" i="10"/>
  <c r="G188" i="10"/>
  <c r="C189" i="10"/>
  <c r="D189" i="10"/>
  <c r="E189" i="10"/>
  <c r="F189" i="10"/>
  <c r="G189" i="10"/>
  <c r="C190" i="10"/>
  <c r="D190" i="10"/>
  <c r="E190" i="10"/>
  <c r="F190" i="10"/>
  <c r="G190" i="10"/>
  <c r="C191" i="10"/>
  <c r="D191" i="10"/>
  <c r="E191" i="10"/>
  <c r="F191" i="10"/>
  <c r="G191" i="10"/>
  <c r="C192" i="10"/>
  <c r="D192" i="10"/>
  <c r="E192" i="10"/>
  <c r="F192" i="10"/>
  <c r="G192" i="10"/>
  <c r="C193" i="10"/>
  <c r="D193" i="10"/>
  <c r="E193" i="10"/>
  <c r="F193" i="10"/>
  <c r="G193" i="10"/>
  <c r="C194" i="10"/>
  <c r="D194" i="10"/>
  <c r="E194" i="10"/>
  <c r="F194" i="10"/>
  <c r="G194" i="10"/>
  <c r="C195" i="10"/>
  <c r="D195" i="10"/>
  <c r="E195" i="10"/>
  <c r="F195" i="10"/>
  <c r="G195" i="10"/>
  <c r="C196" i="10"/>
  <c r="D196" i="10"/>
  <c r="E196" i="10"/>
  <c r="F196" i="10"/>
  <c r="G196" i="10"/>
  <c r="C197" i="10"/>
  <c r="D197" i="10"/>
  <c r="E197" i="10"/>
  <c r="F197" i="10"/>
  <c r="G197" i="10"/>
  <c r="C198" i="10"/>
  <c r="D198" i="10"/>
  <c r="E198" i="10"/>
  <c r="F198" i="10"/>
  <c r="G198" i="10"/>
  <c r="C199" i="10"/>
  <c r="D199" i="10"/>
  <c r="E199" i="10"/>
  <c r="F199" i="10"/>
  <c r="G199" i="10"/>
  <c r="C200" i="10"/>
  <c r="D200" i="10"/>
  <c r="E200" i="10"/>
  <c r="F200" i="10"/>
  <c r="G200" i="10"/>
  <c r="A54" i="12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B54" i="12"/>
  <c r="C54" i="12"/>
  <c r="D54" i="12"/>
  <c r="E54" i="12"/>
  <c r="F54" i="12"/>
  <c r="G54" i="12"/>
  <c r="H54" i="12"/>
  <c r="I54" i="12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B55" i="12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C55" i="12"/>
  <c r="D55" i="12"/>
  <c r="E55" i="12"/>
  <c r="F55" i="12"/>
  <c r="G55" i="12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H103" i="12" s="1"/>
  <c r="H104" i="12" s="1"/>
  <c r="H105" i="12" s="1"/>
  <c r="H106" i="12" s="1"/>
  <c r="H107" i="12" s="1"/>
  <c r="H108" i="12" s="1"/>
  <c r="H109" i="12" s="1"/>
  <c r="H110" i="12" s="1"/>
  <c r="H111" i="12" s="1"/>
  <c r="H112" i="12" s="1"/>
  <c r="H113" i="12" s="1"/>
  <c r="H114" i="12" s="1"/>
  <c r="H115" i="12" s="1"/>
  <c r="H116" i="12" s="1"/>
  <c r="H117" i="12" s="1"/>
  <c r="H118" i="12" s="1"/>
  <c r="H119" i="12" s="1"/>
  <c r="H120" i="12" s="1"/>
  <c r="H121" i="12" s="1"/>
  <c r="H122" i="12" s="1"/>
  <c r="H123" i="12" s="1"/>
  <c r="H124" i="12" s="1"/>
  <c r="H125" i="12" s="1"/>
  <c r="H126" i="12" s="1"/>
  <c r="H127" i="12" s="1"/>
  <c r="H128" i="12" s="1"/>
  <c r="H129" i="12" s="1"/>
  <c r="H130" i="12" s="1"/>
  <c r="H131" i="12" s="1"/>
  <c r="H132" i="12" s="1"/>
  <c r="H133" i="12" s="1"/>
  <c r="H134" i="12" s="1"/>
  <c r="H135" i="12" s="1"/>
  <c r="H136" i="12" s="1"/>
  <c r="H137" i="12" s="1"/>
  <c r="H138" i="12" s="1"/>
  <c r="H139" i="12" s="1"/>
  <c r="H140" i="12" s="1"/>
  <c r="H141" i="12" s="1"/>
  <c r="H142" i="12" s="1"/>
  <c r="H143" i="12" s="1"/>
  <c r="H144" i="12" s="1"/>
  <c r="H145" i="12" s="1"/>
  <c r="H146" i="12" s="1"/>
  <c r="H147" i="12" s="1"/>
  <c r="H148" i="12" s="1"/>
  <c r="H149" i="12" s="1"/>
  <c r="H150" i="12" s="1"/>
  <c r="H151" i="12" s="1"/>
  <c r="H152" i="12" s="1"/>
  <c r="H153" i="12" s="1"/>
  <c r="H154" i="12" s="1"/>
  <c r="H155" i="12" s="1"/>
  <c r="H156" i="12" s="1"/>
  <c r="H157" i="12" s="1"/>
  <c r="H158" i="12" s="1"/>
  <c r="H159" i="12" s="1"/>
  <c r="H160" i="12" s="1"/>
  <c r="H161" i="12" s="1"/>
  <c r="H162" i="12" s="1"/>
  <c r="H163" i="12" s="1"/>
  <c r="H164" i="12" s="1"/>
  <c r="H165" i="12" s="1"/>
  <c r="H166" i="12" s="1"/>
  <c r="H167" i="12" s="1"/>
  <c r="H168" i="12" s="1"/>
  <c r="H169" i="12" s="1"/>
  <c r="H170" i="12" s="1"/>
  <c r="H171" i="12" s="1"/>
  <c r="H172" i="12" s="1"/>
  <c r="H173" i="12" s="1"/>
  <c r="H174" i="12" s="1"/>
  <c r="H175" i="12" s="1"/>
  <c r="H176" i="12" s="1"/>
  <c r="H177" i="12" s="1"/>
  <c r="H178" i="12" s="1"/>
  <c r="H179" i="12" s="1"/>
  <c r="H180" i="12" s="1"/>
  <c r="H181" i="12" s="1"/>
  <c r="H182" i="12" s="1"/>
  <c r="H183" i="12" s="1"/>
  <c r="H184" i="12" s="1"/>
  <c r="H185" i="12" s="1"/>
  <c r="H186" i="12" s="1"/>
  <c r="H187" i="12" s="1"/>
  <c r="H188" i="12" s="1"/>
  <c r="H189" i="12" s="1"/>
  <c r="H190" i="12" s="1"/>
  <c r="H191" i="12" s="1"/>
  <c r="H192" i="12" s="1"/>
  <c r="H193" i="12" s="1"/>
  <c r="H194" i="12" s="1"/>
  <c r="H195" i="12" s="1"/>
  <c r="H196" i="12" s="1"/>
  <c r="H197" i="12" s="1"/>
  <c r="H198" i="12" s="1"/>
  <c r="H199" i="12" s="1"/>
  <c r="H200" i="12" s="1"/>
  <c r="C56" i="12"/>
  <c r="D56" i="12"/>
  <c r="E56" i="12"/>
  <c r="F56" i="12"/>
  <c r="G56" i="12"/>
  <c r="C57" i="12"/>
  <c r="D57" i="12"/>
  <c r="E57" i="12"/>
  <c r="F57" i="12"/>
  <c r="G57" i="12"/>
  <c r="C58" i="12"/>
  <c r="D58" i="12"/>
  <c r="E58" i="12"/>
  <c r="F58" i="12"/>
  <c r="G58" i="12"/>
  <c r="C59" i="12"/>
  <c r="D59" i="12"/>
  <c r="E59" i="12"/>
  <c r="F59" i="12"/>
  <c r="G59" i="12"/>
  <c r="C60" i="12"/>
  <c r="D60" i="12"/>
  <c r="E60" i="12"/>
  <c r="F60" i="12"/>
  <c r="G60" i="12"/>
  <c r="C61" i="12"/>
  <c r="D61" i="12"/>
  <c r="E61" i="12"/>
  <c r="F61" i="12"/>
  <c r="G61" i="12"/>
  <c r="C62" i="12"/>
  <c r="D62" i="12"/>
  <c r="E62" i="12"/>
  <c r="F62" i="12"/>
  <c r="G62" i="12"/>
  <c r="C63" i="12"/>
  <c r="D63" i="12"/>
  <c r="E63" i="12"/>
  <c r="F63" i="12"/>
  <c r="G63" i="12"/>
  <c r="C64" i="12"/>
  <c r="D64" i="12"/>
  <c r="E64" i="12"/>
  <c r="F64" i="12"/>
  <c r="G64" i="12"/>
  <c r="C65" i="12"/>
  <c r="D65" i="12"/>
  <c r="E65" i="12"/>
  <c r="F65" i="12"/>
  <c r="G65" i="12"/>
  <c r="C66" i="12"/>
  <c r="D66" i="12"/>
  <c r="E66" i="12"/>
  <c r="F66" i="12"/>
  <c r="G66" i="12"/>
  <c r="C67" i="12"/>
  <c r="D67" i="12"/>
  <c r="E67" i="12"/>
  <c r="F67" i="12"/>
  <c r="G67" i="12"/>
  <c r="C68" i="12"/>
  <c r="D68" i="12"/>
  <c r="E68" i="12"/>
  <c r="F68" i="12"/>
  <c r="G68" i="12"/>
  <c r="C69" i="12"/>
  <c r="D69" i="12"/>
  <c r="E69" i="12"/>
  <c r="F69" i="12"/>
  <c r="G69" i="12"/>
  <c r="C70" i="12"/>
  <c r="D70" i="12"/>
  <c r="E70" i="12"/>
  <c r="F70" i="12"/>
  <c r="G70" i="12"/>
  <c r="C71" i="12"/>
  <c r="D71" i="12"/>
  <c r="E71" i="12"/>
  <c r="F71" i="12"/>
  <c r="G71" i="12"/>
  <c r="C72" i="12"/>
  <c r="D72" i="12"/>
  <c r="E72" i="12"/>
  <c r="F72" i="12"/>
  <c r="G72" i="12"/>
  <c r="C73" i="12"/>
  <c r="D73" i="12"/>
  <c r="E73" i="12"/>
  <c r="F73" i="12"/>
  <c r="G73" i="12"/>
  <c r="C74" i="12"/>
  <c r="D74" i="12"/>
  <c r="E74" i="12"/>
  <c r="F74" i="12"/>
  <c r="G74" i="12"/>
  <c r="C75" i="12"/>
  <c r="D75" i="12"/>
  <c r="E75" i="12"/>
  <c r="F75" i="12"/>
  <c r="G75" i="12"/>
  <c r="C76" i="12"/>
  <c r="D76" i="12"/>
  <c r="E76" i="12"/>
  <c r="F76" i="12"/>
  <c r="G76" i="12"/>
  <c r="C77" i="12"/>
  <c r="D77" i="12"/>
  <c r="E77" i="12"/>
  <c r="F77" i="12"/>
  <c r="G77" i="12"/>
  <c r="C78" i="12"/>
  <c r="D78" i="12"/>
  <c r="E78" i="12"/>
  <c r="F78" i="12"/>
  <c r="G78" i="12"/>
  <c r="C79" i="12"/>
  <c r="D79" i="12"/>
  <c r="E79" i="12"/>
  <c r="F79" i="12"/>
  <c r="G79" i="12"/>
  <c r="C80" i="12"/>
  <c r="D80" i="12"/>
  <c r="E80" i="12"/>
  <c r="F80" i="12"/>
  <c r="G80" i="12"/>
  <c r="C81" i="12"/>
  <c r="D81" i="12"/>
  <c r="E81" i="12"/>
  <c r="F81" i="12"/>
  <c r="G81" i="12"/>
  <c r="I81" i="12"/>
  <c r="I82" i="12" s="1"/>
  <c r="I83" i="12" s="1"/>
  <c r="I84" i="12" s="1"/>
  <c r="I85" i="12" s="1"/>
  <c r="I86" i="12" s="1"/>
  <c r="I87" i="12" s="1"/>
  <c r="I88" i="12" s="1"/>
  <c r="C82" i="12"/>
  <c r="D82" i="12"/>
  <c r="E82" i="12"/>
  <c r="F82" i="12"/>
  <c r="G82" i="12"/>
  <c r="C83" i="12"/>
  <c r="D83" i="12"/>
  <c r="E83" i="12"/>
  <c r="F83" i="12"/>
  <c r="G83" i="12"/>
  <c r="C84" i="12"/>
  <c r="D84" i="12"/>
  <c r="E84" i="12"/>
  <c r="F84" i="12"/>
  <c r="G84" i="12"/>
  <c r="C85" i="12"/>
  <c r="D85" i="12"/>
  <c r="E85" i="12"/>
  <c r="F85" i="12"/>
  <c r="G85" i="12"/>
  <c r="C86" i="12"/>
  <c r="D86" i="12"/>
  <c r="E86" i="12"/>
  <c r="F86" i="12"/>
  <c r="G86" i="12"/>
  <c r="C87" i="12"/>
  <c r="D87" i="12"/>
  <c r="E87" i="12"/>
  <c r="F87" i="12"/>
  <c r="G87" i="12"/>
  <c r="C88" i="12"/>
  <c r="D88" i="12"/>
  <c r="E88" i="12"/>
  <c r="F88" i="12"/>
  <c r="G88" i="12"/>
  <c r="C89" i="12"/>
  <c r="D89" i="12"/>
  <c r="E89" i="12"/>
  <c r="F89" i="12"/>
  <c r="G89" i="12"/>
  <c r="I89" i="12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I127" i="12" s="1"/>
  <c r="I128" i="12" s="1"/>
  <c r="I129" i="12" s="1"/>
  <c r="I130" i="12" s="1"/>
  <c r="I131" i="12" s="1"/>
  <c r="I132" i="12" s="1"/>
  <c r="I133" i="12" s="1"/>
  <c r="I134" i="12" s="1"/>
  <c r="I135" i="12" s="1"/>
  <c r="I136" i="12" s="1"/>
  <c r="I137" i="12" s="1"/>
  <c r="I138" i="12" s="1"/>
  <c r="I139" i="12" s="1"/>
  <c r="I140" i="12" s="1"/>
  <c r="I141" i="12" s="1"/>
  <c r="I142" i="12" s="1"/>
  <c r="I143" i="12" s="1"/>
  <c r="I144" i="12" s="1"/>
  <c r="I145" i="12" s="1"/>
  <c r="I146" i="12" s="1"/>
  <c r="I147" i="12" s="1"/>
  <c r="I148" i="12" s="1"/>
  <c r="I149" i="12" s="1"/>
  <c r="I150" i="12" s="1"/>
  <c r="I151" i="12" s="1"/>
  <c r="I152" i="12" s="1"/>
  <c r="I153" i="12" s="1"/>
  <c r="I154" i="12" s="1"/>
  <c r="I155" i="12" s="1"/>
  <c r="I156" i="12" s="1"/>
  <c r="I157" i="12" s="1"/>
  <c r="I158" i="12" s="1"/>
  <c r="I159" i="12" s="1"/>
  <c r="I160" i="12" s="1"/>
  <c r="I161" i="12" s="1"/>
  <c r="I162" i="12" s="1"/>
  <c r="I163" i="12" s="1"/>
  <c r="I164" i="12" s="1"/>
  <c r="I165" i="12" s="1"/>
  <c r="I166" i="12" s="1"/>
  <c r="I167" i="12" s="1"/>
  <c r="I168" i="12" s="1"/>
  <c r="I169" i="12" s="1"/>
  <c r="I170" i="12" s="1"/>
  <c r="I171" i="12" s="1"/>
  <c r="I172" i="12" s="1"/>
  <c r="I173" i="12" s="1"/>
  <c r="I174" i="12" s="1"/>
  <c r="I175" i="12" s="1"/>
  <c r="I176" i="12" s="1"/>
  <c r="I177" i="12" s="1"/>
  <c r="I178" i="12" s="1"/>
  <c r="I179" i="12" s="1"/>
  <c r="I180" i="12" s="1"/>
  <c r="I181" i="12" s="1"/>
  <c r="I182" i="12" s="1"/>
  <c r="I183" i="12" s="1"/>
  <c r="I184" i="12" s="1"/>
  <c r="I185" i="12" s="1"/>
  <c r="I186" i="12" s="1"/>
  <c r="I187" i="12" s="1"/>
  <c r="I188" i="12" s="1"/>
  <c r="I189" i="12" s="1"/>
  <c r="I190" i="12" s="1"/>
  <c r="I191" i="12" s="1"/>
  <c r="I192" i="12" s="1"/>
  <c r="I193" i="12" s="1"/>
  <c r="I194" i="12" s="1"/>
  <c r="I195" i="12" s="1"/>
  <c r="I196" i="12" s="1"/>
  <c r="I197" i="12" s="1"/>
  <c r="I198" i="12" s="1"/>
  <c r="I199" i="12" s="1"/>
  <c r="I200" i="12" s="1"/>
  <c r="C90" i="12"/>
  <c r="D90" i="12"/>
  <c r="E90" i="12"/>
  <c r="F90" i="12"/>
  <c r="G90" i="12"/>
  <c r="C91" i="12"/>
  <c r="D91" i="12"/>
  <c r="E91" i="12"/>
  <c r="F91" i="12"/>
  <c r="G91" i="12"/>
  <c r="C92" i="12"/>
  <c r="D92" i="12"/>
  <c r="E92" i="12"/>
  <c r="F92" i="12"/>
  <c r="G92" i="12"/>
  <c r="C93" i="12"/>
  <c r="D93" i="12"/>
  <c r="E93" i="12"/>
  <c r="F93" i="12"/>
  <c r="G93" i="12"/>
  <c r="C94" i="12"/>
  <c r="D94" i="12"/>
  <c r="E94" i="12"/>
  <c r="F94" i="12"/>
  <c r="G94" i="12"/>
  <c r="C95" i="12"/>
  <c r="D95" i="12"/>
  <c r="E95" i="12"/>
  <c r="F95" i="12"/>
  <c r="G95" i="12"/>
  <c r="C96" i="12"/>
  <c r="D96" i="12"/>
  <c r="E96" i="12"/>
  <c r="F96" i="12"/>
  <c r="G96" i="12"/>
  <c r="C97" i="12"/>
  <c r="D97" i="12"/>
  <c r="E97" i="12"/>
  <c r="F97" i="12"/>
  <c r="G97" i="12"/>
  <c r="C98" i="12"/>
  <c r="D98" i="12"/>
  <c r="E98" i="12"/>
  <c r="F98" i="12"/>
  <c r="G98" i="12"/>
  <c r="C99" i="12"/>
  <c r="D99" i="12"/>
  <c r="E99" i="12"/>
  <c r="F99" i="12"/>
  <c r="G99" i="12"/>
  <c r="C100" i="12"/>
  <c r="D100" i="12"/>
  <c r="E100" i="12"/>
  <c r="F100" i="12"/>
  <c r="G100" i="12"/>
  <c r="C101" i="12"/>
  <c r="D101" i="12"/>
  <c r="E101" i="12"/>
  <c r="F101" i="12"/>
  <c r="G101" i="12"/>
  <c r="C102" i="12"/>
  <c r="D102" i="12"/>
  <c r="E102" i="12"/>
  <c r="F102" i="12"/>
  <c r="G102" i="12"/>
  <c r="C103" i="12"/>
  <c r="D103" i="12"/>
  <c r="E103" i="12"/>
  <c r="F103" i="12"/>
  <c r="G103" i="12"/>
  <c r="C104" i="12"/>
  <c r="D104" i="12"/>
  <c r="E104" i="12"/>
  <c r="F104" i="12"/>
  <c r="G104" i="12"/>
  <c r="C105" i="12"/>
  <c r="D105" i="12"/>
  <c r="E105" i="12"/>
  <c r="F105" i="12"/>
  <c r="G105" i="12"/>
  <c r="C106" i="12"/>
  <c r="D106" i="12"/>
  <c r="E106" i="12"/>
  <c r="F106" i="12"/>
  <c r="G106" i="12"/>
  <c r="C107" i="12"/>
  <c r="D107" i="12"/>
  <c r="E107" i="12"/>
  <c r="F107" i="12"/>
  <c r="G107" i="12"/>
  <c r="C108" i="12"/>
  <c r="D108" i="12"/>
  <c r="E108" i="12"/>
  <c r="F108" i="12"/>
  <c r="G108" i="12"/>
  <c r="C109" i="12"/>
  <c r="D109" i="12"/>
  <c r="E109" i="12"/>
  <c r="F109" i="12"/>
  <c r="G109" i="12"/>
  <c r="C110" i="12"/>
  <c r="D110" i="12"/>
  <c r="E110" i="12"/>
  <c r="F110" i="12"/>
  <c r="G110" i="12"/>
  <c r="C111" i="12"/>
  <c r="D111" i="12"/>
  <c r="E111" i="12"/>
  <c r="F111" i="12"/>
  <c r="G111" i="12"/>
  <c r="C112" i="12"/>
  <c r="D112" i="12"/>
  <c r="E112" i="12"/>
  <c r="F112" i="12"/>
  <c r="G112" i="12"/>
  <c r="C113" i="12"/>
  <c r="D113" i="12"/>
  <c r="E113" i="12"/>
  <c r="F113" i="12"/>
  <c r="G113" i="12"/>
  <c r="C114" i="12"/>
  <c r="D114" i="12"/>
  <c r="E114" i="12"/>
  <c r="F114" i="12"/>
  <c r="G114" i="12"/>
  <c r="C115" i="12"/>
  <c r="D115" i="12"/>
  <c r="E115" i="12"/>
  <c r="F115" i="12"/>
  <c r="G115" i="12"/>
  <c r="C116" i="12"/>
  <c r="D116" i="12"/>
  <c r="E116" i="12"/>
  <c r="F116" i="12"/>
  <c r="G116" i="12"/>
  <c r="C117" i="12"/>
  <c r="D117" i="12"/>
  <c r="E117" i="12"/>
  <c r="F117" i="12"/>
  <c r="G117" i="12"/>
  <c r="C118" i="12"/>
  <c r="D118" i="12"/>
  <c r="E118" i="12"/>
  <c r="F118" i="12"/>
  <c r="G118" i="12"/>
  <c r="C119" i="12"/>
  <c r="D119" i="12"/>
  <c r="E119" i="12"/>
  <c r="F119" i="12"/>
  <c r="G119" i="12"/>
  <c r="C120" i="12"/>
  <c r="D120" i="12"/>
  <c r="E120" i="12"/>
  <c r="F120" i="12"/>
  <c r="G120" i="12"/>
  <c r="C121" i="12"/>
  <c r="D121" i="12"/>
  <c r="E121" i="12"/>
  <c r="F121" i="12"/>
  <c r="G121" i="12"/>
  <c r="C122" i="12"/>
  <c r="D122" i="12"/>
  <c r="E122" i="12"/>
  <c r="F122" i="12"/>
  <c r="G122" i="12"/>
  <c r="C123" i="12"/>
  <c r="D123" i="12"/>
  <c r="E123" i="12"/>
  <c r="F123" i="12"/>
  <c r="G123" i="12"/>
  <c r="C124" i="12"/>
  <c r="D124" i="12"/>
  <c r="E124" i="12"/>
  <c r="F124" i="12"/>
  <c r="G124" i="12"/>
  <c r="C125" i="12"/>
  <c r="D125" i="12"/>
  <c r="E125" i="12"/>
  <c r="F125" i="12"/>
  <c r="G125" i="12"/>
  <c r="C126" i="12"/>
  <c r="D126" i="12"/>
  <c r="E126" i="12"/>
  <c r="F126" i="12"/>
  <c r="G126" i="12"/>
  <c r="C127" i="12"/>
  <c r="D127" i="12"/>
  <c r="E127" i="12"/>
  <c r="F127" i="12"/>
  <c r="G127" i="12"/>
  <c r="C128" i="12"/>
  <c r="D128" i="12"/>
  <c r="E128" i="12"/>
  <c r="F128" i="12"/>
  <c r="G128" i="12"/>
  <c r="C129" i="12"/>
  <c r="D129" i="12"/>
  <c r="E129" i="12"/>
  <c r="F129" i="12"/>
  <c r="G129" i="12"/>
  <c r="C130" i="12"/>
  <c r="D130" i="12"/>
  <c r="E130" i="12"/>
  <c r="F130" i="12"/>
  <c r="G130" i="12"/>
  <c r="C131" i="12"/>
  <c r="D131" i="12"/>
  <c r="E131" i="12"/>
  <c r="F131" i="12"/>
  <c r="G131" i="12"/>
  <c r="C132" i="12"/>
  <c r="D132" i="12"/>
  <c r="E132" i="12"/>
  <c r="F132" i="12"/>
  <c r="G132" i="12"/>
  <c r="C133" i="12"/>
  <c r="D133" i="12"/>
  <c r="E133" i="12"/>
  <c r="F133" i="12"/>
  <c r="G133" i="12"/>
  <c r="C134" i="12"/>
  <c r="D134" i="12"/>
  <c r="E134" i="12"/>
  <c r="F134" i="12"/>
  <c r="G134" i="12"/>
  <c r="C135" i="12"/>
  <c r="D135" i="12"/>
  <c r="E135" i="12"/>
  <c r="F135" i="12"/>
  <c r="G135" i="12"/>
  <c r="C136" i="12"/>
  <c r="D136" i="12"/>
  <c r="E136" i="12"/>
  <c r="F136" i="12"/>
  <c r="G136" i="12"/>
  <c r="C137" i="12"/>
  <c r="D137" i="12"/>
  <c r="E137" i="12"/>
  <c r="F137" i="12"/>
  <c r="G137" i="12"/>
  <c r="C138" i="12"/>
  <c r="D138" i="12"/>
  <c r="E138" i="12"/>
  <c r="F138" i="12"/>
  <c r="G138" i="12"/>
  <c r="C139" i="12"/>
  <c r="D139" i="12"/>
  <c r="E139" i="12"/>
  <c r="F139" i="12"/>
  <c r="G139" i="12"/>
  <c r="C140" i="12"/>
  <c r="D140" i="12"/>
  <c r="E140" i="12"/>
  <c r="F140" i="12"/>
  <c r="G140" i="12"/>
  <c r="C141" i="12"/>
  <c r="D141" i="12"/>
  <c r="E141" i="12"/>
  <c r="F141" i="12"/>
  <c r="G141" i="12"/>
  <c r="C142" i="12"/>
  <c r="D142" i="12"/>
  <c r="E142" i="12"/>
  <c r="F142" i="12"/>
  <c r="G142" i="12"/>
  <c r="C143" i="12"/>
  <c r="D143" i="12"/>
  <c r="E143" i="12"/>
  <c r="F143" i="12"/>
  <c r="G143" i="12"/>
  <c r="C144" i="12"/>
  <c r="D144" i="12"/>
  <c r="E144" i="12"/>
  <c r="F144" i="12"/>
  <c r="G144" i="12"/>
  <c r="C145" i="12"/>
  <c r="D145" i="12"/>
  <c r="E145" i="12"/>
  <c r="F145" i="12"/>
  <c r="G145" i="12"/>
  <c r="C146" i="12"/>
  <c r="D146" i="12"/>
  <c r="E146" i="12"/>
  <c r="F146" i="12"/>
  <c r="G146" i="12"/>
  <c r="C147" i="12"/>
  <c r="D147" i="12"/>
  <c r="E147" i="12"/>
  <c r="F147" i="12"/>
  <c r="G147" i="12"/>
  <c r="C148" i="12"/>
  <c r="D148" i="12"/>
  <c r="E148" i="12"/>
  <c r="F148" i="12"/>
  <c r="G148" i="12"/>
  <c r="C149" i="12"/>
  <c r="D149" i="12"/>
  <c r="E149" i="12"/>
  <c r="F149" i="12"/>
  <c r="G149" i="12"/>
  <c r="C150" i="12"/>
  <c r="D150" i="12"/>
  <c r="E150" i="12"/>
  <c r="F150" i="12"/>
  <c r="G150" i="12"/>
  <c r="C151" i="12"/>
  <c r="D151" i="12"/>
  <c r="E151" i="12"/>
  <c r="F151" i="12"/>
  <c r="G151" i="12"/>
  <c r="C152" i="12"/>
  <c r="D152" i="12"/>
  <c r="E152" i="12"/>
  <c r="F152" i="12"/>
  <c r="G152" i="12"/>
  <c r="C153" i="12"/>
  <c r="D153" i="12"/>
  <c r="E153" i="12"/>
  <c r="F153" i="12"/>
  <c r="G153" i="12"/>
  <c r="C154" i="12"/>
  <c r="D154" i="12"/>
  <c r="E154" i="12"/>
  <c r="F154" i="12"/>
  <c r="G154" i="12"/>
  <c r="C155" i="12"/>
  <c r="D155" i="12"/>
  <c r="E155" i="12"/>
  <c r="F155" i="12"/>
  <c r="G155" i="12"/>
  <c r="C156" i="12"/>
  <c r="D156" i="12"/>
  <c r="E156" i="12"/>
  <c r="F156" i="12"/>
  <c r="G156" i="12"/>
  <c r="C157" i="12"/>
  <c r="D157" i="12"/>
  <c r="E157" i="12"/>
  <c r="F157" i="12"/>
  <c r="G157" i="12"/>
  <c r="C158" i="12"/>
  <c r="D158" i="12"/>
  <c r="E158" i="12"/>
  <c r="F158" i="12"/>
  <c r="G158" i="12"/>
  <c r="C159" i="12"/>
  <c r="D159" i="12"/>
  <c r="E159" i="12"/>
  <c r="F159" i="12"/>
  <c r="G159" i="12"/>
  <c r="C160" i="12"/>
  <c r="D160" i="12"/>
  <c r="E160" i="12"/>
  <c r="F160" i="12"/>
  <c r="G160" i="12"/>
  <c r="C161" i="12"/>
  <c r="D161" i="12"/>
  <c r="E161" i="12"/>
  <c r="F161" i="12"/>
  <c r="G161" i="12"/>
  <c r="C162" i="12"/>
  <c r="D162" i="12"/>
  <c r="E162" i="12"/>
  <c r="F162" i="12"/>
  <c r="G162" i="12"/>
  <c r="C163" i="12"/>
  <c r="D163" i="12"/>
  <c r="E163" i="12"/>
  <c r="F163" i="12"/>
  <c r="G163" i="12"/>
  <c r="C164" i="12"/>
  <c r="D164" i="12"/>
  <c r="E164" i="12"/>
  <c r="F164" i="12"/>
  <c r="G164" i="12"/>
  <c r="C165" i="12"/>
  <c r="D165" i="12"/>
  <c r="E165" i="12"/>
  <c r="F165" i="12"/>
  <c r="G165" i="12"/>
  <c r="C166" i="12"/>
  <c r="D166" i="12"/>
  <c r="E166" i="12"/>
  <c r="F166" i="12"/>
  <c r="G166" i="12"/>
  <c r="C167" i="12"/>
  <c r="D167" i="12"/>
  <c r="E167" i="12"/>
  <c r="F167" i="12"/>
  <c r="G167" i="12"/>
  <c r="C168" i="12"/>
  <c r="D168" i="12"/>
  <c r="E168" i="12"/>
  <c r="F168" i="12"/>
  <c r="G168" i="12"/>
  <c r="C169" i="12"/>
  <c r="D169" i="12"/>
  <c r="E169" i="12"/>
  <c r="F169" i="12"/>
  <c r="G169" i="12"/>
  <c r="C170" i="12"/>
  <c r="D170" i="12"/>
  <c r="E170" i="12"/>
  <c r="F170" i="12"/>
  <c r="G170" i="12"/>
  <c r="C171" i="12"/>
  <c r="D171" i="12"/>
  <c r="E171" i="12"/>
  <c r="F171" i="12"/>
  <c r="G171" i="12"/>
  <c r="C172" i="12"/>
  <c r="D172" i="12"/>
  <c r="E172" i="12"/>
  <c r="F172" i="12"/>
  <c r="G172" i="12"/>
  <c r="C173" i="12"/>
  <c r="D173" i="12"/>
  <c r="E173" i="12"/>
  <c r="F173" i="12"/>
  <c r="G173" i="12"/>
  <c r="C174" i="12"/>
  <c r="D174" i="12"/>
  <c r="E174" i="12"/>
  <c r="F174" i="12"/>
  <c r="G174" i="12"/>
  <c r="C175" i="12"/>
  <c r="D175" i="12"/>
  <c r="E175" i="12"/>
  <c r="F175" i="12"/>
  <c r="G175" i="12"/>
  <c r="C176" i="12"/>
  <c r="D176" i="12"/>
  <c r="E176" i="12"/>
  <c r="F176" i="12"/>
  <c r="G176" i="12"/>
  <c r="C177" i="12"/>
  <c r="D177" i="12"/>
  <c r="E177" i="12"/>
  <c r="F177" i="12"/>
  <c r="G177" i="12"/>
  <c r="C178" i="12"/>
  <c r="D178" i="12"/>
  <c r="E178" i="12"/>
  <c r="F178" i="12"/>
  <c r="G178" i="12"/>
  <c r="C179" i="12"/>
  <c r="D179" i="12"/>
  <c r="E179" i="12"/>
  <c r="F179" i="12"/>
  <c r="G179" i="12"/>
  <c r="C180" i="12"/>
  <c r="D180" i="12"/>
  <c r="E180" i="12"/>
  <c r="F180" i="12"/>
  <c r="G180" i="12"/>
  <c r="C181" i="12"/>
  <c r="D181" i="12"/>
  <c r="E181" i="12"/>
  <c r="F181" i="12"/>
  <c r="G181" i="12"/>
  <c r="C182" i="12"/>
  <c r="D182" i="12"/>
  <c r="E182" i="12"/>
  <c r="F182" i="12"/>
  <c r="G182" i="12"/>
  <c r="C183" i="12"/>
  <c r="D183" i="12"/>
  <c r="E183" i="12"/>
  <c r="F183" i="12"/>
  <c r="G183" i="12"/>
  <c r="C184" i="12"/>
  <c r="D184" i="12"/>
  <c r="E184" i="12"/>
  <c r="F184" i="12"/>
  <c r="G184" i="12"/>
  <c r="C185" i="12"/>
  <c r="D185" i="12"/>
  <c r="E185" i="12"/>
  <c r="F185" i="12"/>
  <c r="G185" i="12"/>
  <c r="C186" i="12"/>
  <c r="D186" i="12"/>
  <c r="E186" i="12"/>
  <c r="F186" i="12"/>
  <c r="G186" i="12"/>
  <c r="C187" i="12"/>
  <c r="D187" i="12"/>
  <c r="E187" i="12"/>
  <c r="F187" i="12"/>
  <c r="G187" i="12"/>
  <c r="C188" i="12"/>
  <c r="D188" i="12"/>
  <c r="E188" i="12"/>
  <c r="F188" i="12"/>
  <c r="G188" i="12"/>
  <c r="C189" i="12"/>
  <c r="D189" i="12"/>
  <c r="E189" i="12"/>
  <c r="F189" i="12"/>
  <c r="G189" i="12"/>
  <c r="C190" i="12"/>
  <c r="D190" i="12"/>
  <c r="E190" i="12"/>
  <c r="F190" i="12"/>
  <c r="G190" i="12"/>
  <c r="C191" i="12"/>
  <c r="D191" i="12"/>
  <c r="E191" i="12"/>
  <c r="F191" i="12"/>
  <c r="G191" i="12"/>
  <c r="C192" i="12"/>
  <c r="D192" i="12"/>
  <c r="E192" i="12"/>
  <c r="F192" i="12"/>
  <c r="G192" i="12"/>
  <c r="C193" i="12"/>
  <c r="D193" i="12"/>
  <c r="E193" i="12"/>
  <c r="F193" i="12"/>
  <c r="G193" i="12"/>
  <c r="C194" i="12"/>
  <c r="D194" i="12"/>
  <c r="E194" i="12"/>
  <c r="F194" i="12"/>
  <c r="G194" i="12"/>
  <c r="C195" i="12"/>
  <c r="D195" i="12"/>
  <c r="E195" i="12"/>
  <c r="F195" i="12"/>
  <c r="G195" i="12"/>
  <c r="C196" i="12"/>
  <c r="D196" i="12"/>
  <c r="E196" i="12"/>
  <c r="F196" i="12"/>
  <c r="G196" i="12"/>
  <c r="C197" i="12"/>
  <c r="D197" i="12"/>
  <c r="E197" i="12"/>
  <c r="F197" i="12"/>
  <c r="G197" i="12"/>
  <c r="C198" i="12"/>
  <c r="D198" i="12"/>
  <c r="E198" i="12"/>
  <c r="F198" i="12"/>
  <c r="G198" i="12"/>
  <c r="C199" i="12"/>
  <c r="D199" i="12"/>
  <c r="E199" i="12"/>
  <c r="F199" i="12"/>
  <c r="G199" i="12"/>
  <c r="C200" i="12"/>
  <c r="D200" i="12"/>
  <c r="E200" i="12"/>
  <c r="F200" i="12"/>
  <c r="G200" i="12"/>
  <c r="A54" i="15"/>
  <c r="A55" i="15" s="1"/>
  <c r="B54" i="15"/>
  <c r="C54" i="15"/>
  <c r="D54" i="15"/>
  <c r="E54" i="15"/>
  <c r="F54" i="15"/>
  <c r="G54" i="15"/>
  <c r="H54" i="15"/>
  <c r="I54" i="15"/>
  <c r="I55" i="15" s="1"/>
  <c r="I56" i="15" s="1"/>
  <c r="I57" i="15" s="1"/>
  <c r="I58" i="15" s="1"/>
  <c r="I59" i="15" s="1"/>
  <c r="I60" i="15" s="1"/>
  <c r="I61" i="15" s="1"/>
  <c r="I62" i="15" s="1"/>
  <c r="I63" i="15" s="1"/>
  <c r="I64" i="15" s="1"/>
  <c r="I65" i="15" s="1"/>
  <c r="I66" i="15" s="1"/>
  <c r="I67" i="15" s="1"/>
  <c r="I68" i="15" s="1"/>
  <c r="I69" i="15" s="1"/>
  <c r="I70" i="15" s="1"/>
  <c r="I71" i="15" s="1"/>
  <c r="I72" i="15" s="1"/>
  <c r="I73" i="15" s="1"/>
  <c r="I74" i="15" s="1"/>
  <c r="I75" i="15" s="1"/>
  <c r="I76" i="15" s="1"/>
  <c r="I77" i="15" s="1"/>
  <c r="I78" i="15" s="1"/>
  <c r="I79" i="15" s="1"/>
  <c r="I80" i="15" s="1"/>
  <c r="I81" i="15" s="1"/>
  <c r="I82" i="15" s="1"/>
  <c r="I83" i="15" s="1"/>
  <c r="I84" i="15" s="1"/>
  <c r="I85" i="15" s="1"/>
  <c r="I86" i="15" s="1"/>
  <c r="I87" i="15" s="1"/>
  <c r="I88" i="15" s="1"/>
  <c r="I89" i="15" s="1"/>
  <c r="I90" i="15" s="1"/>
  <c r="I91" i="15" s="1"/>
  <c r="I92" i="15" s="1"/>
  <c r="I93" i="15" s="1"/>
  <c r="I94" i="15" s="1"/>
  <c r="I95" i="15" s="1"/>
  <c r="I96" i="15" s="1"/>
  <c r="I97" i="15" s="1"/>
  <c r="I98" i="15" s="1"/>
  <c r="I99" i="15" s="1"/>
  <c r="I100" i="15" s="1"/>
  <c r="I101" i="15" s="1"/>
  <c r="I102" i="15" s="1"/>
  <c r="I103" i="15" s="1"/>
  <c r="I104" i="15" s="1"/>
  <c r="I105" i="15" s="1"/>
  <c r="I106" i="15" s="1"/>
  <c r="I107" i="15" s="1"/>
  <c r="I108" i="15" s="1"/>
  <c r="I109" i="15" s="1"/>
  <c r="I110" i="15" s="1"/>
  <c r="I111" i="15" s="1"/>
  <c r="I112" i="15" s="1"/>
  <c r="I113" i="15" s="1"/>
  <c r="I114" i="15" s="1"/>
  <c r="I115" i="15" s="1"/>
  <c r="I116" i="15" s="1"/>
  <c r="I117" i="15" s="1"/>
  <c r="I118" i="15" s="1"/>
  <c r="I119" i="15" s="1"/>
  <c r="I120" i="15" s="1"/>
  <c r="I121" i="15" s="1"/>
  <c r="I122" i="15" s="1"/>
  <c r="I123" i="15" s="1"/>
  <c r="I124" i="15" s="1"/>
  <c r="I125" i="15" s="1"/>
  <c r="I126" i="15" s="1"/>
  <c r="I127" i="15" s="1"/>
  <c r="I128" i="15" s="1"/>
  <c r="I129" i="15" s="1"/>
  <c r="I130" i="15" s="1"/>
  <c r="I131" i="15" s="1"/>
  <c r="I132" i="15" s="1"/>
  <c r="I133" i="15" s="1"/>
  <c r="I134" i="15" s="1"/>
  <c r="I135" i="15" s="1"/>
  <c r="I136" i="15" s="1"/>
  <c r="I137" i="15" s="1"/>
  <c r="I138" i="15" s="1"/>
  <c r="I139" i="15" s="1"/>
  <c r="I140" i="15" s="1"/>
  <c r="I141" i="15" s="1"/>
  <c r="I142" i="15" s="1"/>
  <c r="I143" i="15" s="1"/>
  <c r="I144" i="15" s="1"/>
  <c r="I145" i="15" s="1"/>
  <c r="I146" i="15" s="1"/>
  <c r="I147" i="15" s="1"/>
  <c r="I148" i="15" s="1"/>
  <c r="I149" i="15" s="1"/>
  <c r="I150" i="15" s="1"/>
  <c r="I151" i="15" s="1"/>
  <c r="I152" i="15" s="1"/>
  <c r="I153" i="15" s="1"/>
  <c r="I154" i="15" s="1"/>
  <c r="I155" i="15" s="1"/>
  <c r="I156" i="15" s="1"/>
  <c r="I157" i="15" s="1"/>
  <c r="I158" i="15" s="1"/>
  <c r="I159" i="15" s="1"/>
  <c r="I160" i="15" s="1"/>
  <c r="I161" i="15" s="1"/>
  <c r="I162" i="15" s="1"/>
  <c r="I163" i="15" s="1"/>
  <c r="I164" i="15" s="1"/>
  <c r="I165" i="15" s="1"/>
  <c r="I166" i="15" s="1"/>
  <c r="I167" i="15" s="1"/>
  <c r="I168" i="15" s="1"/>
  <c r="I169" i="15" s="1"/>
  <c r="I170" i="15" s="1"/>
  <c r="I171" i="15" s="1"/>
  <c r="I172" i="15" s="1"/>
  <c r="I173" i="15" s="1"/>
  <c r="I174" i="15" s="1"/>
  <c r="I175" i="15" s="1"/>
  <c r="I176" i="15" s="1"/>
  <c r="I177" i="15" s="1"/>
  <c r="I178" i="15" s="1"/>
  <c r="I179" i="15" s="1"/>
  <c r="I180" i="15" s="1"/>
  <c r="I181" i="15" s="1"/>
  <c r="I182" i="15" s="1"/>
  <c r="I183" i="15" s="1"/>
  <c r="I184" i="15" s="1"/>
  <c r="I185" i="15" s="1"/>
  <c r="I186" i="15" s="1"/>
  <c r="I187" i="15" s="1"/>
  <c r="I188" i="15" s="1"/>
  <c r="I189" i="15" s="1"/>
  <c r="I190" i="15" s="1"/>
  <c r="I191" i="15" s="1"/>
  <c r="I192" i="15" s="1"/>
  <c r="I193" i="15" s="1"/>
  <c r="I194" i="15" s="1"/>
  <c r="I195" i="15" s="1"/>
  <c r="I196" i="15" s="1"/>
  <c r="I197" i="15" s="1"/>
  <c r="I198" i="15" s="1"/>
  <c r="I199" i="15" s="1"/>
  <c r="I200" i="15" s="1"/>
  <c r="B55" i="15"/>
  <c r="C55" i="15"/>
  <c r="D55" i="15"/>
  <c r="E55" i="15"/>
  <c r="F55" i="15"/>
  <c r="G55" i="15"/>
  <c r="H55" i="15"/>
  <c r="H56" i="15" s="1"/>
  <c r="A56" i="15"/>
  <c r="B56" i="15"/>
  <c r="B57" i="15" s="1"/>
  <c r="B58" i="15" s="1"/>
  <c r="C56" i="15"/>
  <c r="D56" i="15"/>
  <c r="E56" i="15"/>
  <c r="F56" i="15"/>
  <c r="G56" i="15"/>
  <c r="A57" i="15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C57" i="15"/>
  <c r="D57" i="15"/>
  <c r="E57" i="15"/>
  <c r="F57" i="15"/>
  <c r="G57" i="15"/>
  <c r="H57" i="15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H83" i="15" s="1"/>
  <c r="H84" i="15" s="1"/>
  <c r="H85" i="15" s="1"/>
  <c r="H86" i="15" s="1"/>
  <c r="H87" i="15" s="1"/>
  <c r="H88" i="15" s="1"/>
  <c r="H89" i="15" s="1"/>
  <c r="H90" i="15" s="1"/>
  <c r="H91" i="15" s="1"/>
  <c r="H92" i="15" s="1"/>
  <c r="H93" i="15" s="1"/>
  <c r="H94" i="15" s="1"/>
  <c r="H95" i="15" s="1"/>
  <c r="H96" i="15" s="1"/>
  <c r="H97" i="15" s="1"/>
  <c r="H98" i="15" s="1"/>
  <c r="H99" i="15" s="1"/>
  <c r="H100" i="15" s="1"/>
  <c r="H101" i="15" s="1"/>
  <c r="H102" i="15" s="1"/>
  <c r="H103" i="15" s="1"/>
  <c r="H104" i="15" s="1"/>
  <c r="H105" i="15" s="1"/>
  <c r="H106" i="15" s="1"/>
  <c r="H107" i="15" s="1"/>
  <c r="H108" i="15" s="1"/>
  <c r="H109" i="15" s="1"/>
  <c r="H110" i="15" s="1"/>
  <c r="H111" i="15" s="1"/>
  <c r="H112" i="15" s="1"/>
  <c r="H113" i="15" s="1"/>
  <c r="H114" i="15" s="1"/>
  <c r="H115" i="15" s="1"/>
  <c r="H116" i="15" s="1"/>
  <c r="H117" i="15" s="1"/>
  <c r="H118" i="15" s="1"/>
  <c r="H119" i="15" s="1"/>
  <c r="H120" i="15" s="1"/>
  <c r="H121" i="15" s="1"/>
  <c r="H122" i="15" s="1"/>
  <c r="H123" i="15" s="1"/>
  <c r="H124" i="15" s="1"/>
  <c r="H125" i="15" s="1"/>
  <c r="H126" i="15" s="1"/>
  <c r="H127" i="15" s="1"/>
  <c r="H128" i="15" s="1"/>
  <c r="H129" i="15" s="1"/>
  <c r="H130" i="15" s="1"/>
  <c r="H131" i="15" s="1"/>
  <c r="H132" i="15" s="1"/>
  <c r="H133" i="15" s="1"/>
  <c r="H134" i="15" s="1"/>
  <c r="H135" i="15" s="1"/>
  <c r="H136" i="15" s="1"/>
  <c r="H137" i="15" s="1"/>
  <c r="H138" i="15" s="1"/>
  <c r="H139" i="15" s="1"/>
  <c r="H140" i="15" s="1"/>
  <c r="H141" i="15" s="1"/>
  <c r="H142" i="15" s="1"/>
  <c r="H143" i="15" s="1"/>
  <c r="H144" i="15" s="1"/>
  <c r="H145" i="15" s="1"/>
  <c r="H146" i="15" s="1"/>
  <c r="H147" i="15" s="1"/>
  <c r="H148" i="15" s="1"/>
  <c r="H149" i="15" s="1"/>
  <c r="H150" i="15" s="1"/>
  <c r="H151" i="15" s="1"/>
  <c r="H152" i="15" s="1"/>
  <c r="H153" i="15" s="1"/>
  <c r="H154" i="15" s="1"/>
  <c r="H155" i="15" s="1"/>
  <c r="H156" i="15" s="1"/>
  <c r="H157" i="15" s="1"/>
  <c r="H158" i="15" s="1"/>
  <c r="H159" i="15" s="1"/>
  <c r="H160" i="15" s="1"/>
  <c r="H161" i="15" s="1"/>
  <c r="H162" i="15" s="1"/>
  <c r="H163" i="15" s="1"/>
  <c r="H164" i="15" s="1"/>
  <c r="H165" i="15" s="1"/>
  <c r="H166" i="15" s="1"/>
  <c r="H167" i="15" s="1"/>
  <c r="H168" i="15" s="1"/>
  <c r="H169" i="15" s="1"/>
  <c r="H170" i="15" s="1"/>
  <c r="H171" i="15" s="1"/>
  <c r="H172" i="15" s="1"/>
  <c r="H173" i="15" s="1"/>
  <c r="H174" i="15" s="1"/>
  <c r="H175" i="15" s="1"/>
  <c r="H176" i="15" s="1"/>
  <c r="H177" i="15" s="1"/>
  <c r="H178" i="15" s="1"/>
  <c r="H179" i="15" s="1"/>
  <c r="H180" i="15" s="1"/>
  <c r="H181" i="15" s="1"/>
  <c r="H182" i="15" s="1"/>
  <c r="H183" i="15" s="1"/>
  <c r="H184" i="15" s="1"/>
  <c r="H185" i="15" s="1"/>
  <c r="H186" i="15" s="1"/>
  <c r="H187" i="15" s="1"/>
  <c r="H188" i="15" s="1"/>
  <c r="H189" i="15" s="1"/>
  <c r="H190" i="15" s="1"/>
  <c r="H191" i="15" s="1"/>
  <c r="H192" i="15" s="1"/>
  <c r="H193" i="15" s="1"/>
  <c r="H194" i="15" s="1"/>
  <c r="H195" i="15" s="1"/>
  <c r="H196" i="15" s="1"/>
  <c r="H197" i="15" s="1"/>
  <c r="H198" i="15" s="1"/>
  <c r="H199" i="15" s="1"/>
  <c r="H200" i="15" s="1"/>
  <c r="C58" i="15"/>
  <c r="D58" i="15"/>
  <c r="E58" i="15"/>
  <c r="F58" i="15"/>
  <c r="G58" i="15"/>
  <c r="B59" i="15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C59" i="15"/>
  <c r="D59" i="15"/>
  <c r="E59" i="15"/>
  <c r="F59" i="15"/>
  <c r="G59" i="15"/>
  <c r="C60" i="15"/>
  <c r="D60" i="15"/>
  <c r="E60" i="15"/>
  <c r="F60" i="15"/>
  <c r="G60" i="15"/>
  <c r="C61" i="15"/>
  <c r="D61" i="15"/>
  <c r="E61" i="15"/>
  <c r="F61" i="15"/>
  <c r="G61" i="15"/>
  <c r="C62" i="15"/>
  <c r="D62" i="15"/>
  <c r="E62" i="15"/>
  <c r="F62" i="15"/>
  <c r="G62" i="15"/>
  <c r="C63" i="15"/>
  <c r="D63" i="15"/>
  <c r="E63" i="15"/>
  <c r="F63" i="15"/>
  <c r="G63" i="15"/>
  <c r="C64" i="15"/>
  <c r="D64" i="15"/>
  <c r="E64" i="15"/>
  <c r="F64" i="15"/>
  <c r="G64" i="15"/>
  <c r="C65" i="15"/>
  <c r="D65" i="15"/>
  <c r="E65" i="15"/>
  <c r="F65" i="15"/>
  <c r="G65" i="15"/>
  <c r="C66" i="15"/>
  <c r="D66" i="15"/>
  <c r="E66" i="15"/>
  <c r="F66" i="15"/>
  <c r="G66" i="15"/>
  <c r="C67" i="15"/>
  <c r="D67" i="15"/>
  <c r="E67" i="15"/>
  <c r="F67" i="15"/>
  <c r="G67" i="15"/>
  <c r="C68" i="15"/>
  <c r="D68" i="15"/>
  <c r="E68" i="15"/>
  <c r="F68" i="15"/>
  <c r="G68" i="15"/>
  <c r="C69" i="15"/>
  <c r="D69" i="15"/>
  <c r="E69" i="15"/>
  <c r="F69" i="15"/>
  <c r="G69" i="15"/>
  <c r="C70" i="15"/>
  <c r="D70" i="15"/>
  <c r="E70" i="15"/>
  <c r="F70" i="15"/>
  <c r="G70" i="15"/>
  <c r="C71" i="15"/>
  <c r="D71" i="15"/>
  <c r="E71" i="15"/>
  <c r="F71" i="15"/>
  <c r="G71" i="15"/>
  <c r="C72" i="15"/>
  <c r="D72" i="15"/>
  <c r="E72" i="15"/>
  <c r="F72" i="15"/>
  <c r="G72" i="15"/>
  <c r="C73" i="15"/>
  <c r="D73" i="15"/>
  <c r="E73" i="15"/>
  <c r="F73" i="15"/>
  <c r="G73" i="15"/>
  <c r="C74" i="15"/>
  <c r="D74" i="15"/>
  <c r="E74" i="15"/>
  <c r="F74" i="15"/>
  <c r="G74" i="15"/>
  <c r="C75" i="15"/>
  <c r="D75" i="15"/>
  <c r="E75" i="15"/>
  <c r="F75" i="15"/>
  <c r="G75" i="15"/>
  <c r="C76" i="15"/>
  <c r="D76" i="15"/>
  <c r="E76" i="15"/>
  <c r="F76" i="15"/>
  <c r="G76" i="15"/>
  <c r="C77" i="15"/>
  <c r="D77" i="15"/>
  <c r="E77" i="15"/>
  <c r="F77" i="15"/>
  <c r="G77" i="15"/>
  <c r="C78" i="15"/>
  <c r="D78" i="15"/>
  <c r="E78" i="15"/>
  <c r="F78" i="15"/>
  <c r="G78" i="15"/>
  <c r="C79" i="15"/>
  <c r="D79" i="15"/>
  <c r="E79" i="15"/>
  <c r="F79" i="15"/>
  <c r="G79" i="15"/>
  <c r="C80" i="15"/>
  <c r="D80" i="15"/>
  <c r="E80" i="15"/>
  <c r="F80" i="15"/>
  <c r="G80" i="15"/>
  <c r="C81" i="15"/>
  <c r="D81" i="15"/>
  <c r="E81" i="15"/>
  <c r="F81" i="15"/>
  <c r="G81" i="15"/>
  <c r="C82" i="15"/>
  <c r="D82" i="15"/>
  <c r="E82" i="15"/>
  <c r="F82" i="15"/>
  <c r="G82" i="15"/>
  <c r="C83" i="15"/>
  <c r="D83" i="15"/>
  <c r="E83" i="15"/>
  <c r="F83" i="15"/>
  <c r="G83" i="15"/>
  <c r="C84" i="15"/>
  <c r="D84" i="15"/>
  <c r="E84" i="15"/>
  <c r="F84" i="15"/>
  <c r="G84" i="15"/>
  <c r="C85" i="15"/>
  <c r="D85" i="15"/>
  <c r="E85" i="15"/>
  <c r="F85" i="15"/>
  <c r="G85" i="15"/>
  <c r="C86" i="15"/>
  <c r="D86" i="15"/>
  <c r="E86" i="15"/>
  <c r="F86" i="15"/>
  <c r="G86" i="15"/>
  <c r="C87" i="15"/>
  <c r="D87" i="15"/>
  <c r="E87" i="15"/>
  <c r="F87" i="15"/>
  <c r="G87" i="15"/>
  <c r="C88" i="15"/>
  <c r="D88" i="15"/>
  <c r="E88" i="15"/>
  <c r="F88" i="15"/>
  <c r="G88" i="15"/>
  <c r="C89" i="15"/>
  <c r="D89" i="15"/>
  <c r="E89" i="15"/>
  <c r="F89" i="15"/>
  <c r="G89" i="15"/>
  <c r="C90" i="15"/>
  <c r="D90" i="15"/>
  <c r="E90" i="15"/>
  <c r="F90" i="15"/>
  <c r="G90" i="15"/>
  <c r="C91" i="15"/>
  <c r="D91" i="15"/>
  <c r="E91" i="15"/>
  <c r="F91" i="15"/>
  <c r="G91" i="15"/>
  <c r="C92" i="15"/>
  <c r="D92" i="15"/>
  <c r="E92" i="15"/>
  <c r="F92" i="15"/>
  <c r="G92" i="15"/>
  <c r="C93" i="15"/>
  <c r="D93" i="15"/>
  <c r="E93" i="15"/>
  <c r="F93" i="15"/>
  <c r="G93" i="15"/>
  <c r="C94" i="15"/>
  <c r="D94" i="15"/>
  <c r="E94" i="15"/>
  <c r="F94" i="15"/>
  <c r="G94" i="15"/>
  <c r="C95" i="15"/>
  <c r="D95" i="15"/>
  <c r="E95" i="15"/>
  <c r="F95" i="15"/>
  <c r="G95" i="15"/>
  <c r="C96" i="15"/>
  <c r="D96" i="15"/>
  <c r="E96" i="15"/>
  <c r="F96" i="15"/>
  <c r="G96" i="15"/>
  <c r="C97" i="15"/>
  <c r="D97" i="15"/>
  <c r="E97" i="15"/>
  <c r="F97" i="15"/>
  <c r="G97" i="15"/>
  <c r="C98" i="15"/>
  <c r="D98" i="15"/>
  <c r="E98" i="15"/>
  <c r="F98" i="15"/>
  <c r="G98" i="15"/>
  <c r="C99" i="15"/>
  <c r="D99" i="15"/>
  <c r="E99" i="15"/>
  <c r="F99" i="15"/>
  <c r="G99" i="15"/>
  <c r="C100" i="15"/>
  <c r="D100" i="15"/>
  <c r="E100" i="15"/>
  <c r="F100" i="15"/>
  <c r="G100" i="15"/>
  <c r="C101" i="15"/>
  <c r="D101" i="15"/>
  <c r="E101" i="15"/>
  <c r="F101" i="15"/>
  <c r="G101" i="15"/>
  <c r="C102" i="15"/>
  <c r="D102" i="15"/>
  <c r="E102" i="15"/>
  <c r="F102" i="15"/>
  <c r="G102" i="15"/>
  <c r="C103" i="15"/>
  <c r="D103" i="15"/>
  <c r="E103" i="15"/>
  <c r="F103" i="15"/>
  <c r="G103" i="15"/>
  <c r="C104" i="15"/>
  <c r="D104" i="15"/>
  <c r="E104" i="15"/>
  <c r="F104" i="15"/>
  <c r="G104" i="15"/>
  <c r="C105" i="15"/>
  <c r="D105" i="15"/>
  <c r="E105" i="15"/>
  <c r="F105" i="15"/>
  <c r="G105" i="15"/>
  <c r="C106" i="15"/>
  <c r="D106" i="15"/>
  <c r="E106" i="15"/>
  <c r="F106" i="15"/>
  <c r="G106" i="15"/>
  <c r="C107" i="15"/>
  <c r="D107" i="15"/>
  <c r="E107" i="15"/>
  <c r="F107" i="15"/>
  <c r="G107" i="15"/>
  <c r="C108" i="15"/>
  <c r="D108" i="15"/>
  <c r="E108" i="15"/>
  <c r="F108" i="15"/>
  <c r="G108" i="15"/>
  <c r="C109" i="15"/>
  <c r="D109" i="15"/>
  <c r="E109" i="15"/>
  <c r="F109" i="15"/>
  <c r="G109" i="15"/>
  <c r="C110" i="15"/>
  <c r="D110" i="15"/>
  <c r="E110" i="15"/>
  <c r="F110" i="15"/>
  <c r="G110" i="15"/>
  <c r="C111" i="15"/>
  <c r="D111" i="15"/>
  <c r="E111" i="15"/>
  <c r="F111" i="15"/>
  <c r="G111" i="15"/>
  <c r="C112" i="15"/>
  <c r="D112" i="15"/>
  <c r="E112" i="15"/>
  <c r="F112" i="15"/>
  <c r="G112" i="15"/>
  <c r="C113" i="15"/>
  <c r="D113" i="15"/>
  <c r="E113" i="15"/>
  <c r="F113" i="15"/>
  <c r="G113" i="15"/>
  <c r="C114" i="15"/>
  <c r="D114" i="15"/>
  <c r="E114" i="15"/>
  <c r="F114" i="15"/>
  <c r="G114" i="15"/>
  <c r="C115" i="15"/>
  <c r="D115" i="15"/>
  <c r="E115" i="15"/>
  <c r="F115" i="15"/>
  <c r="G115" i="15"/>
  <c r="C116" i="15"/>
  <c r="D116" i="15"/>
  <c r="E116" i="15"/>
  <c r="F116" i="15"/>
  <c r="G116" i="15"/>
  <c r="C117" i="15"/>
  <c r="D117" i="15"/>
  <c r="E117" i="15"/>
  <c r="F117" i="15"/>
  <c r="G117" i="15"/>
  <c r="C118" i="15"/>
  <c r="D118" i="15"/>
  <c r="E118" i="15"/>
  <c r="F118" i="15"/>
  <c r="G118" i="15"/>
  <c r="C119" i="15"/>
  <c r="D119" i="15"/>
  <c r="E119" i="15"/>
  <c r="F119" i="15"/>
  <c r="G119" i="15"/>
  <c r="C120" i="15"/>
  <c r="D120" i="15"/>
  <c r="E120" i="15"/>
  <c r="F120" i="15"/>
  <c r="G120" i="15"/>
  <c r="C121" i="15"/>
  <c r="D121" i="15"/>
  <c r="E121" i="15"/>
  <c r="F121" i="15"/>
  <c r="G121" i="15"/>
  <c r="C122" i="15"/>
  <c r="D122" i="15"/>
  <c r="E122" i="15"/>
  <c r="F122" i="15"/>
  <c r="G122" i="15"/>
  <c r="C123" i="15"/>
  <c r="D123" i="15"/>
  <c r="E123" i="15"/>
  <c r="F123" i="15"/>
  <c r="G123" i="15"/>
  <c r="C124" i="15"/>
  <c r="D124" i="15"/>
  <c r="E124" i="15"/>
  <c r="F124" i="15"/>
  <c r="G124" i="15"/>
  <c r="C125" i="15"/>
  <c r="D125" i="15"/>
  <c r="E125" i="15"/>
  <c r="F125" i="15"/>
  <c r="G125" i="15"/>
  <c r="C126" i="15"/>
  <c r="D126" i="15"/>
  <c r="E126" i="15"/>
  <c r="F126" i="15"/>
  <c r="G126" i="15"/>
  <c r="C127" i="15"/>
  <c r="D127" i="15"/>
  <c r="E127" i="15"/>
  <c r="F127" i="15"/>
  <c r="G127" i="15"/>
  <c r="C128" i="15"/>
  <c r="D128" i="15"/>
  <c r="E128" i="15"/>
  <c r="F128" i="15"/>
  <c r="G128" i="15"/>
  <c r="C129" i="15"/>
  <c r="D129" i="15"/>
  <c r="E129" i="15"/>
  <c r="F129" i="15"/>
  <c r="G129" i="15"/>
  <c r="C130" i="15"/>
  <c r="D130" i="15"/>
  <c r="E130" i="15"/>
  <c r="F130" i="15"/>
  <c r="G130" i="15"/>
  <c r="C131" i="15"/>
  <c r="D131" i="15"/>
  <c r="E131" i="15"/>
  <c r="F131" i="15"/>
  <c r="G131" i="15"/>
  <c r="C132" i="15"/>
  <c r="D132" i="15"/>
  <c r="E132" i="15"/>
  <c r="F132" i="15"/>
  <c r="G132" i="15"/>
  <c r="C133" i="15"/>
  <c r="D133" i="15"/>
  <c r="E133" i="15"/>
  <c r="F133" i="15"/>
  <c r="G133" i="15"/>
  <c r="C134" i="15"/>
  <c r="D134" i="15"/>
  <c r="E134" i="15"/>
  <c r="F134" i="15"/>
  <c r="G134" i="15"/>
  <c r="C135" i="15"/>
  <c r="D135" i="15"/>
  <c r="E135" i="15"/>
  <c r="F135" i="15"/>
  <c r="G135" i="15"/>
  <c r="C136" i="15"/>
  <c r="D136" i="15"/>
  <c r="E136" i="15"/>
  <c r="F136" i="15"/>
  <c r="G136" i="15"/>
  <c r="C137" i="15"/>
  <c r="D137" i="15"/>
  <c r="E137" i="15"/>
  <c r="F137" i="15"/>
  <c r="G137" i="15"/>
  <c r="C138" i="15"/>
  <c r="D138" i="15"/>
  <c r="E138" i="15"/>
  <c r="F138" i="15"/>
  <c r="G138" i="15"/>
  <c r="C139" i="15"/>
  <c r="D139" i="15"/>
  <c r="E139" i="15"/>
  <c r="F139" i="15"/>
  <c r="G139" i="15"/>
  <c r="C140" i="15"/>
  <c r="D140" i="15"/>
  <c r="E140" i="15"/>
  <c r="F140" i="15"/>
  <c r="G140" i="15"/>
  <c r="C141" i="15"/>
  <c r="D141" i="15"/>
  <c r="E141" i="15"/>
  <c r="F141" i="15"/>
  <c r="G141" i="15"/>
  <c r="C142" i="15"/>
  <c r="D142" i="15"/>
  <c r="E142" i="15"/>
  <c r="F142" i="15"/>
  <c r="G142" i="15"/>
  <c r="C143" i="15"/>
  <c r="D143" i="15"/>
  <c r="E143" i="15"/>
  <c r="F143" i="15"/>
  <c r="G143" i="15"/>
  <c r="C144" i="15"/>
  <c r="D144" i="15"/>
  <c r="E144" i="15"/>
  <c r="F144" i="15"/>
  <c r="G144" i="15"/>
  <c r="C145" i="15"/>
  <c r="D145" i="15"/>
  <c r="E145" i="15"/>
  <c r="F145" i="15"/>
  <c r="G145" i="15"/>
  <c r="C146" i="15"/>
  <c r="D146" i="15"/>
  <c r="E146" i="15"/>
  <c r="F146" i="15"/>
  <c r="G146" i="15"/>
  <c r="C147" i="15"/>
  <c r="D147" i="15"/>
  <c r="E147" i="15"/>
  <c r="F147" i="15"/>
  <c r="G147" i="15"/>
  <c r="C148" i="15"/>
  <c r="D148" i="15"/>
  <c r="E148" i="15"/>
  <c r="F148" i="15"/>
  <c r="G148" i="15"/>
  <c r="C149" i="15"/>
  <c r="D149" i="15"/>
  <c r="E149" i="15"/>
  <c r="F149" i="15"/>
  <c r="G149" i="15"/>
  <c r="C150" i="15"/>
  <c r="D150" i="15"/>
  <c r="E150" i="15"/>
  <c r="F150" i="15"/>
  <c r="G150" i="15"/>
  <c r="C151" i="15"/>
  <c r="D151" i="15"/>
  <c r="E151" i="15"/>
  <c r="F151" i="15"/>
  <c r="G151" i="15"/>
  <c r="C152" i="15"/>
  <c r="D152" i="15"/>
  <c r="E152" i="15"/>
  <c r="F152" i="15"/>
  <c r="G152" i="15"/>
  <c r="C153" i="15"/>
  <c r="D153" i="15"/>
  <c r="E153" i="15"/>
  <c r="F153" i="15"/>
  <c r="G153" i="15"/>
  <c r="C154" i="15"/>
  <c r="D154" i="15"/>
  <c r="E154" i="15"/>
  <c r="F154" i="15"/>
  <c r="G154" i="15"/>
  <c r="C155" i="15"/>
  <c r="D155" i="15"/>
  <c r="E155" i="15"/>
  <c r="F155" i="15"/>
  <c r="G155" i="15"/>
  <c r="C156" i="15"/>
  <c r="D156" i="15"/>
  <c r="E156" i="15"/>
  <c r="F156" i="15"/>
  <c r="G156" i="15"/>
  <c r="C157" i="15"/>
  <c r="D157" i="15"/>
  <c r="E157" i="15"/>
  <c r="F157" i="15"/>
  <c r="G157" i="15"/>
  <c r="C158" i="15"/>
  <c r="D158" i="15"/>
  <c r="E158" i="15"/>
  <c r="F158" i="15"/>
  <c r="G158" i="15"/>
  <c r="C159" i="15"/>
  <c r="D159" i="15"/>
  <c r="E159" i="15"/>
  <c r="F159" i="15"/>
  <c r="G159" i="15"/>
  <c r="C160" i="15"/>
  <c r="D160" i="15"/>
  <c r="E160" i="15"/>
  <c r="F160" i="15"/>
  <c r="G160" i="15"/>
  <c r="C161" i="15"/>
  <c r="D161" i="15"/>
  <c r="E161" i="15"/>
  <c r="F161" i="15"/>
  <c r="G161" i="15"/>
  <c r="C162" i="15"/>
  <c r="D162" i="15"/>
  <c r="E162" i="15"/>
  <c r="F162" i="15"/>
  <c r="G162" i="15"/>
  <c r="C163" i="15"/>
  <c r="D163" i="15"/>
  <c r="E163" i="15"/>
  <c r="F163" i="15"/>
  <c r="G163" i="15"/>
  <c r="C164" i="15"/>
  <c r="D164" i="15"/>
  <c r="E164" i="15"/>
  <c r="F164" i="15"/>
  <c r="G164" i="15"/>
  <c r="C165" i="15"/>
  <c r="D165" i="15"/>
  <c r="E165" i="15"/>
  <c r="F165" i="15"/>
  <c r="G165" i="15"/>
  <c r="C166" i="15"/>
  <c r="D166" i="15"/>
  <c r="E166" i="15"/>
  <c r="F166" i="15"/>
  <c r="G166" i="15"/>
  <c r="C167" i="15"/>
  <c r="D167" i="15"/>
  <c r="E167" i="15"/>
  <c r="F167" i="15"/>
  <c r="G167" i="15"/>
  <c r="C168" i="15"/>
  <c r="D168" i="15"/>
  <c r="E168" i="15"/>
  <c r="F168" i="15"/>
  <c r="G168" i="15"/>
  <c r="C169" i="15"/>
  <c r="D169" i="15"/>
  <c r="E169" i="15"/>
  <c r="F169" i="15"/>
  <c r="G169" i="15"/>
  <c r="C170" i="15"/>
  <c r="D170" i="15"/>
  <c r="E170" i="15"/>
  <c r="F170" i="15"/>
  <c r="G170" i="15"/>
  <c r="C171" i="15"/>
  <c r="D171" i="15"/>
  <c r="E171" i="15"/>
  <c r="F171" i="15"/>
  <c r="G171" i="15"/>
  <c r="C172" i="15"/>
  <c r="D172" i="15"/>
  <c r="E172" i="15"/>
  <c r="F172" i="15"/>
  <c r="G172" i="15"/>
  <c r="C173" i="15"/>
  <c r="D173" i="15"/>
  <c r="E173" i="15"/>
  <c r="F173" i="15"/>
  <c r="G173" i="15"/>
  <c r="C174" i="15"/>
  <c r="D174" i="15"/>
  <c r="E174" i="15"/>
  <c r="F174" i="15"/>
  <c r="G174" i="15"/>
  <c r="C175" i="15"/>
  <c r="D175" i="15"/>
  <c r="E175" i="15"/>
  <c r="F175" i="15"/>
  <c r="G175" i="15"/>
  <c r="C176" i="15"/>
  <c r="D176" i="15"/>
  <c r="E176" i="15"/>
  <c r="F176" i="15"/>
  <c r="G176" i="15"/>
  <c r="C177" i="15"/>
  <c r="D177" i="15"/>
  <c r="E177" i="15"/>
  <c r="F177" i="15"/>
  <c r="G177" i="15"/>
  <c r="C178" i="15"/>
  <c r="D178" i="15"/>
  <c r="E178" i="15"/>
  <c r="F178" i="15"/>
  <c r="G178" i="15"/>
  <c r="C179" i="15"/>
  <c r="D179" i="15"/>
  <c r="E179" i="15"/>
  <c r="F179" i="15"/>
  <c r="G179" i="15"/>
  <c r="C180" i="15"/>
  <c r="D180" i="15"/>
  <c r="E180" i="15"/>
  <c r="F180" i="15"/>
  <c r="G180" i="15"/>
  <c r="C181" i="15"/>
  <c r="D181" i="15"/>
  <c r="E181" i="15"/>
  <c r="F181" i="15"/>
  <c r="G181" i="15"/>
  <c r="C182" i="15"/>
  <c r="D182" i="15"/>
  <c r="E182" i="15"/>
  <c r="F182" i="15"/>
  <c r="G182" i="15"/>
  <c r="C183" i="15"/>
  <c r="D183" i="15"/>
  <c r="E183" i="15"/>
  <c r="F183" i="15"/>
  <c r="G183" i="15"/>
  <c r="C184" i="15"/>
  <c r="D184" i="15"/>
  <c r="E184" i="15"/>
  <c r="F184" i="15"/>
  <c r="G184" i="15"/>
  <c r="C185" i="15"/>
  <c r="D185" i="15"/>
  <c r="E185" i="15"/>
  <c r="F185" i="15"/>
  <c r="G185" i="15"/>
  <c r="C186" i="15"/>
  <c r="D186" i="15"/>
  <c r="E186" i="15"/>
  <c r="F186" i="15"/>
  <c r="G186" i="15"/>
  <c r="C187" i="15"/>
  <c r="D187" i="15"/>
  <c r="E187" i="15"/>
  <c r="F187" i="15"/>
  <c r="G187" i="15"/>
  <c r="C188" i="15"/>
  <c r="D188" i="15"/>
  <c r="E188" i="15"/>
  <c r="F188" i="15"/>
  <c r="G188" i="15"/>
  <c r="C189" i="15"/>
  <c r="D189" i="15"/>
  <c r="E189" i="15"/>
  <c r="F189" i="15"/>
  <c r="G189" i="15"/>
  <c r="C190" i="15"/>
  <c r="D190" i="15"/>
  <c r="E190" i="15"/>
  <c r="F190" i="15"/>
  <c r="G190" i="15"/>
  <c r="C191" i="15"/>
  <c r="D191" i="15"/>
  <c r="E191" i="15"/>
  <c r="F191" i="15"/>
  <c r="G191" i="15"/>
  <c r="C192" i="15"/>
  <c r="D192" i="15"/>
  <c r="E192" i="15"/>
  <c r="F192" i="15"/>
  <c r="G192" i="15"/>
  <c r="C193" i="15"/>
  <c r="D193" i="15"/>
  <c r="E193" i="15"/>
  <c r="F193" i="15"/>
  <c r="G193" i="15"/>
  <c r="C194" i="15"/>
  <c r="D194" i="15"/>
  <c r="E194" i="15"/>
  <c r="F194" i="15"/>
  <c r="G194" i="15"/>
  <c r="C195" i="15"/>
  <c r="D195" i="15"/>
  <c r="E195" i="15"/>
  <c r="F195" i="15"/>
  <c r="G195" i="15"/>
  <c r="C196" i="15"/>
  <c r="D196" i="15"/>
  <c r="E196" i="15"/>
  <c r="F196" i="15"/>
  <c r="G196" i="15"/>
  <c r="C197" i="15"/>
  <c r="D197" i="15"/>
  <c r="E197" i="15"/>
  <c r="F197" i="15"/>
  <c r="G197" i="15"/>
  <c r="C198" i="15"/>
  <c r="D198" i="15"/>
  <c r="E198" i="15"/>
  <c r="F198" i="15"/>
  <c r="G198" i="15"/>
  <c r="C199" i="15"/>
  <c r="D199" i="15"/>
  <c r="E199" i="15"/>
  <c r="F199" i="15"/>
  <c r="G199" i="15"/>
  <c r="C200" i="15"/>
  <c r="D200" i="15"/>
  <c r="E200" i="15"/>
  <c r="F200" i="15"/>
  <c r="G200" i="15"/>
  <c r="A54" i="16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C54" i="16"/>
  <c r="D54" i="16"/>
  <c r="E54" i="16"/>
  <c r="F54" i="16"/>
  <c r="G54" i="16"/>
  <c r="C55" i="16"/>
  <c r="D55" i="16"/>
  <c r="E55" i="16"/>
  <c r="F55" i="16"/>
  <c r="G55" i="16"/>
  <c r="C56" i="16"/>
  <c r="D56" i="16"/>
  <c r="E56" i="16"/>
  <c r="F56" i="16"/>
  <c r="G56" i="16"/>
  <c r="C57" i="16"/>
  <c r="D57" i="16"/>
  <c r="E57" i="16"/>
  <c r="F57" i="16"/>
  <c r="G57" i="16"/>
  <c r="C58" i="16"/>
  <c r="D58" i="16"/>
  <c r="E58" i="16"/>
  <c r="F58" i="16"/>
  <c r="G58" i="16"/>
  <c r="C59" i="16"/>
  <c r="D59" i="16"/>
  <c r="E59" i="16"/>
  <c r="F59" i="16"/>
  <c r="G59" i="16"/>
  <c r="C60" i="16"/>
  <c r="D60" i="16"/>
  <c r="E60" i="16"/>
  <c r="F60" i="16"/>
  <c r="G60" i="16"/>
  <c r="C61" i="16"/>
  <c r="D61" i="16"/>
  <c r="E61" i="16"/>
  <c r="F61" i="16"/>
  <c r="G61" i="16"/>
  <c r="C62" i="16"/>
  <c r="D62" i="16"/>
  <c r="E62" i="16"/>
  <c r="F62" i="16"/>
  <c r="G62" i="16"/>
  <c r="C63" i="16"/>
  <c r="D63" i="16"/>
  <c r="E63" i="16"/>
  <c r="F63" i="16"/>
  <c r="G63" i="16"/>
  <c r="C64" i="16"/>
  <c r="D64" i="16"/>
  <c r="E64" i="16"/>
  <c r="F64" i="16"/>
  <c r="G64" i="16"/>
  <c r="C65" i="16"/>
  <c r="D65" i="16"/>
  <c r="E65" i="16"/>
  <c r="F65" i="16"/>
  <c r="G65" i="16"/>
  <c r="C66" i="16"/>
  <c r="D66" i="16"/>
  <c r="E66" i="16"/>
  <c r="F66" i="16"/>
  <c r="G66" i="16"/>
  <c r="C67" i="16"/>
  <c r="D67" i="16"/>
  <c r="E67" i="16"/>
  <c r="F67" i="16"/>
  <c r="G67" i="16"/>
  <c r="C68" i="16"/>
  <c r="D68" i="16"/>
  <c r="E68" i="16"/>
  <c r="F68" i="16"/>
  <c r="G68" i="16"/>
  <c r="C69" i="16"/>
  <c r="D69" i="16"/>
  <c r="E69" i="16"/>
  <c r="F69" i="16"/>
  <c r="G69" i="16"/>
  <c r="C70" i="16"/>
  <c r="D70" i="16"/>
  <c r="E70" i="16"/>
  <c r="F70" i="16"/>
  <c r="G70" i="16"/>
  <c r="C71" i="16"/>
  <c r="D71" i="16"/>
  <c r="E71" i="16"/>
  <c r="F71" i="16"/>
  <c r="G71" i="16"/>
  <c r="C72" i="16"/>
  <c r="D72" i="16"/>
  <c r="E72" i="16"/>
  <c r="F72" i="16"/>
  <c r="G72" i="16"/>
  <c r="C73" i="16"/>
  <c r="D73" i="16"/>
  <c r="E73" i="16"/>
  <c r="F73" i="16"/>
  <c r="G73" i="16"/>
  <c r="C74" i="16"/>
  <c r="D74" i="16"/>
  <c r="E74" i="16"/>
  <c r="F74" i="16"/>
  <c r="G74" i="16"/>
  <c r="C75" i="16"/>
  <c r="D75" i="16"/>
  <c r="E75" i="16"/>
  <c r="F75" i="16"/>
  <c r="G75" i="16"/>
  <c r="C76" i="16"/>
  <c r="D76" i="16"/>
  <c r="E76" i="16"/>
  <c r="F76" i="16"/>
  <c r="G76" i="16"/>
  <c r="C77" i="16"/>
  <c r="D77" i="16"/>
  <c r="E77" i="16"/>
  <c r="F77" i="16"/>
  <c r="G77" i="16"/>
  <c r="C78" i="16"/>
  <c r="D78" i="16"/>
  <c r="E78" i="16"/>
  <c r="F78" i="16"/>
  <c r="G78" i="16"/>
  <c r="C79" i="16"/>
  <c r="D79" i="16"/>
  <c r="E79" i="16"/>
  <c r="F79" i="16"/>
  <c r="G79" i="16"/>
  <c r="C80" i="16"/>
  <c r="D80" i="16"/>
  <c r="E80" i="16"/>
  <c r="F80" i="16"/>
  <c r="G80" i="16"/>
  <c r="C81" i="16"/>
  <c r="D81" i="16"/>
  <c r="E81" i="16"/>
  <c r="F81" i="16"/>
  <c r="G81" i="16"/>
  <c r="C82" i="16"/>
  <c r="D82" i="16"/>
  <c r="E82" i="16"/>
  <c r="F82" i="16"/>
  <c r="G82" i="16"/>
  <c r="C83" i="16"/>
  <c r="D83" i="16"/>
  <c r="E83" i="16"/>
  <c r="F83" i="16"/>
  <c r="G83" i="16"/>
  <c r="C84" i="16"/>
  <c r="D84" i="16"/>
  <c r="E84" i="16"/>
  <c r="F84" i="16"/>
  <c r="G84" i="16"/>
  <c r="C85" i="16"/>
  <c r="D85" i="16"/>
  <c r="E85" i="16"/>
  <c r="F85" i="16"/>
  <c r="G85" i="16"/>
  <c r="C86" i="16"/>
  <c r="D86" i="16"/>
  <c r="E86" i="16"/>
  <c r="F86" i="16"/>
  <c r="G86" i="16"/>
  <c r="C87" i="16"/>
  <c r="D87" i="16"/>
  <c r="E87" i="16"/>
  <c r="F87" i="16"/>
  <c r="G87" i="16"/>
  <c r="C88" i="16"/>
  <c r="D88" i="16"/>
  <c r="E88" i="16"/>
  <c r="F88" i="16"/>
  <c r="G88" i="16"/>
  <c r="C89" i="16"/>
  <c r="D89" i="16"/>
  <c r="E89" i="16"/>
  <c r="F89" i="16"/>
  <c r="G89" i="16"/>
  <c r="C90" i="16"/>
  <c r="D90" i="16"/>
  <c r="E90" i="16"/>
  <c r="F90" i="16"/>
  <c r="G90" i="16"/>
  <c r="C91" i="16"/>
  <c r="D91" i="16"/>
  <c r="E91" i="16"/>
  <c r="F91" i="16"/>
  <c r="G91" i="16"/>
  <c r="C92" i="16"/>
  <c r="D92" i="16"/>
  <c r="E92" i="16"/>
  <c r="F92" i="16"/>
  <c r="G92" i="16"/>
  <c r="C93" i="16"/>
  <c r="D93" i="16"/>
  <c r="E93" i="16"/>
  <c r="F93" i="16"/>
  <c r="G93" i="16"/>
  <c r="C94" i="16"/>
  <c r="D94" i="16"/>
  <c r="E94" i="16"/>
  <c r="F94" i="16"/>
  <c r="G94" i="16"/>
  <c r="C95" i="16"/>
  <c r="D95" i="16"/>
  <c r="E95" i="16"/>
  <c r="F95" i="16"/>
  <c r="G95" i="16"/>
  <c r="C96" i="16"/>
  <c r="D96" i="16"/>
  <c r="E96" i="16"/>
  <c r="F96" i="16"/>
  <c r="G96" i="16"/>
  <c r="C97" i="16"/>
  <c r="D97" i="16"/>
  <c r="E97" i="16"/>
  <c r="F97" i="16"/>
  <c r="G97" i="16"/>
  <c r="C98" i="16"/>
  <c r="D98" i="16"/>
  <c r="E98" i="16"/>
  <c r="F98" i="16"/>
  <c r="G98" i="16"/>
  <c r="C99" i="16"/>
  <c r="D99" i="16"/>
  <c r="E99" i="16"/>
  <c r="F99" i="16"/>
  <c r="G99" i="16"/>
  <c r="C100" i="16"/>
  <c r="D100" i="16"/>
  <c r="E100" i="16"/>
  <c r="F100" i="16"/>
  <c r="G100" i="16"/>
  <c r="C101" i="16"/>
  <c r="D101" i="16"/>
  <c r="E101" i="16"/>
  <c r="F101" i="16"/>
  <c r="G101" i="16"/>
  <c r="C102" i="16"/>
  <c r="D102" i="16"/>
  <c r="E102" i="16"/>
  <c r="F102" i="16"/>
  <c r="G102" i="16"/>
  <c r="C103" i="16"/>
  <c r="D103" i="16"/>
  <c r="E103" i="16"/>
  <c r="F103" i="16"/>
  <c r="G103" i="16"/>
  <c r="C104" i="16"/>
  <c r="D104" i="16"/>
  <c r="E104" i="16"/>
  <c r="F104" i="16"/>
  <c r="G104" i="16"/>
  <c r="C105" i="16"/>
  <c r="D105" i="16"/>
  <c r="E105" i="16"/>
  <c r="F105" i="16"/>
  <c r="G105" i="16"/>
  <c r="C106" i="16"/>
  <c r="D106" i="16"/>
  <c r="E106" i="16"/>
  <c r="F106" i="16"/>
  <c r="G106" i="16"/>
  <c r="C107" i="16"/>
  <c r="D107" i="16"/>
  <c r="E107" i="16"/>
  <c r="F107" i="16"/>
  <c r="G107" i="16"/>
  <c r="C108" i="16"/>
  <c r="D108" i="16"/>
  <c r="E108" i="16"/>
  <c r="F108" i="16"/>
  <c r="G108" i="16"/>
  <c r="C109" i="16"/>
  <c r="D109" i="16"/>
  <c r="E109" i="16"/>
  <c r="F109" i="16"/>
  <c r="G109" i="16"/>
  <c r="C110" i="16"/>
  <c r="D110" i="16"/>
  <c r="E110" i="16"/>
  <c r="F110" i="16"/>
  <c r="G110" i="16"/>
  <c r="C111" i="16"/>
  <c r="D111" i="16"/>
  <c r="E111" i="16"/>
  <c r="F111" i="16"/>
  <c r="G111" i="16"/>
  <c r="C112" i="16"/>
  <c r="D112" i="16"/>
  <c r="E112" i="16"/>
  <c r="F112" i="16"/>
  <c r="G112" i="16"/>
  <c r="C113" i="16"/>
  <c r="D113" i="16"/>
  <c r="E113" i="16"/>
  <c r="F113" i="16"/>
  <c r="G113" i="16"/>
  <c r="C114" i="16"/>
  <c r="D114" i="16"/>
  <c r="E114" i="16"/>
  <c r="F114" i="16"/>
  <c r="G114" i="16"/>
  <c r="C115" i="16"/>
  <c r="D115" i="16"/>
  <c r="E115" i="16"/>
  <c r="F115" i="16"/>
  <c r="G115" i="16"/>
  <c r="C116" i="16"/>
  <c r="D116" i="16"/>
  <c r="E116" i="16"/>
  <c r="F116" i="16"/>
  <c r="G116" i="16"/>
  <c r="C117" i="16"/>
  <c r="D117" i="16"/>
  <c r="E117" i="16"/>
  <c r="F117" i="16"/>
  <c r="G117" i="16"/>
  <c r="C118" i="16"/>
  <c r="D118" i="16"/>
  <c r="E118" i="16"/>
  <c r="F118" i="16"/>
  <c r="G118" i="16"/>
  <c r="C119" i="16"/>
  <c r="D119" i="16"/>
  <c r="E119" i="16"/>
  <c r="F119" i="16"/>
  <c r="G119" i="16"/>
  <c r="C120" i="16"/>
  <c r="D120" i="16"/>
  <c r="E120" i="16"/>
  <c r="F120" i="16"/>
  <c r="G120" i="16"/>
  <c r="C121" i="16"/>
  <c r="D121" i="16"/>
  <c r="E121" i="16"/>
  <c r="F121" i="16"/>
  <c r="G121" i="16"/>
  <c r="C122" i="16"/>
  <c r="D122" i="16"/>
  <c r="E122" i="16"/>
  <c r="F122" i="16"/>
  <c r="G122" i="16"/>
  <c r="C123" i="16"/>
  <c r="D123" i="16"/>
  <c r="E123" i="16"/>
  <c r="F123" i="16"/>
  <c r="G123" i="16"/>
  <c r="C124" i="16"/>
  <c r="D124" i="16"/>
  <c r="E124" i="16"/>
  <c r="F124" i="16"/>
  <c r="G124" i="16"/>
  <c r="C125" i="16"/>
  <c r="D125" i="16"/>
  <c r="E125" i="16"/>
  <c r="F125" i="16"/>
  <c r="G125" i="16"/>
  <c r="C126" i="16"/>
  <c r="D126" i="16"/>
  <c r="E126" i="16"/>
  <c r="F126" i="16"/>
  <c r="G126" i="16"/>
  <c r="C127" i="16"/>
  <c r="D127" i="16"/>
  <c r="E127" i="16"/>
  <c r="F127" i="16"/>
  <c r="G127" i="16"/>
  <c r="C128" i="16"/>
  <c r="D128" i="16"/>
  <c r="E128" i="16"/>
  <c r="F128" i="16"/>
  <c r="G128" i="16"/>
  <c r="C129" i="16"/>
  <c r="D129" i="16"/>
  <c r="E129" i="16"/>
  <c r="F129" i="16"/>
  <c r="G129" i="16"/>
  <c r="C130" i="16"/>
  <c r="D130" i="16"/>
  <c r="E130" i="16"/>
  <c r="F130" i="16"/>
  <c r="G130" i="16"/>
  <c r="C131" i="16"/>
  <c r="D131" i="16"/>
  <c r="E131" i="16"/>
  <c r="F131" i="16"/>
  <c r="G131" i="16"/>
  <c r="C132" i="16"/>
  <c r="D132" i="16"/>
  <c r="E132" i="16"/>
  <c r="F132" i="16"/>
  <c r="G132" i="16"/>
  <c r="C133" i="16"/>
  <c r="D133" i="16"/>
  <c r="E133" i="16"/>
  <c r="F133" i="16"/>
  <c r="G133" i="16"/>
  <c r="C134" i="16"/>
  <c r="D134" i="16"/>
  <c r="E134" i="16"/>
  <c r="F134" i="16"/>
  <c r="G134" i="16"/>
  <c r="C135" i="16"/>
  <c r="D135" i="16"/>
  <c r="E135" i="16"/>
  <c r="F135" i="16"/>
  <c r="G135" i="16"/>
  <c r="C136" i="16"/>
  <c r="D136" i="16"/>
  <c r="E136" i="16"/>
  <c r="F136" i="16"/>
  <c r="G136" i="16"/>
  <c r="C137" i="16"/>
  <c r="D137" i="16"/>
  <c r="E137" i="16"/>
  <c r="F137" i="16"/>
  <c r="G137" i="16"/>
  <c r="C138" i="16"/>
  <c r="D138" i="16"/>
  <c r="E138" i="16"/>
  <c r="F138" i="16"/>
  <c r="G138" i="16"/>
  <c r="C139" i="16"/>
  <c r="D139" i="16"/>
  <c r="E139" i="16"/>
  <c r="F139" i="16"/>
  <c r="G139" i="16"/>
  <c r="C140" i="16"/>
  <c r="D140" i="16"/>
  <c r="E140" i="16"/>
  <c r="F140" i="16"/>
  <c r="G140" i="16"/>
  <c r="C141" i="16"/>
  <c r="D141" i="16"/>
  <c r="E141" i="16"/>
  <c r="F141" i="16"/>
  <c r="G141" i="16"/>
  <c r="C142" i="16"/>
  <c r="D142" i="16"/>
  <c r="E142" i="16"/>
  <c r="F142" i="16"/>
  <c r="G142" i="16"/>
  <c r="C143" i="16"/>
  <c r="D143" i="16"/>
  <c r="E143" i="16"/>
  <c r="F143" i="16"/>
  <c r="G143" i="16"/>
  <c r="C144" i="16"/>
  <c r="D144" i="16"/>
  <c r="E144" i="16"/>
  <c r="F144" i="16"/>
  <c r="G144" i="16"/>
  <c r="C145" i="16"/>
  <c r="D145" i="16"/>
  <c r="E145" i="16"/>
  <c r="F145" i="16"/>
  <c r="G145" i="16"/>
  <c r="C146" i="16"/>
  <c r="D146" i="16"/>
  <c r="E146" i="16"/>
  <c r="F146" i="16"/>
  <c r="G146" i="16"/>
  <c r="C147" i="16"/>
  <c r="D147" i="16"/>
  <c r="E147" i="16"/>
  <c r="F147" i="16"/>
  <c r="G147" i="16"/>
  <c r="C148" i="16"/>
  <c r="D148" i="16"/>
  <c r="E148" i="16"/>
  <c r="F148" i="16"/>
  <c r="G148" i="16"/>
  <c r="C149" i="16"/>
  <c r="D149" i="16"/>
  <c r="E149" i="16"/>
  <c r="F149" i="16"/>
  <c r="G149" i="16"/>
  <c r="C150" i="16"/>
  <c r="D150" i="16"/>
  <c r="E150" i="16"/>
  <c r="F150" i="16"/>
  <c r="G150" i="16"/>
  <c r="C151" i="16"/>
  <c r="D151" i="16"/>
  <c r="E151" i="16"/>
  <c r="F151" i="16"/>
  <c r="G151" i="16"/>
  <c r="C152" i="16"/>
  <c r="D152" i="16"/>
  <c r="E152" i="16"/>
  <c r="F152" i="16"/>
  <c r="G152" i="16"/>
  <c r="C153" i="16"/>
  <c r="D153" i="16"/>
  <c r="E153" i="16"/>
  <c r="F153" i="16"/>
  <c r="G153" i="16"/>
  <c r="C154" i="16"/>
  <c r="D154" i="16"/>
  <c r="E154" i="16"/>
  <c r="F154" i="16"/>
  <c r="G154" i="16"/>
  <c r="C155" i="16"/>
  <c r="D155" i="16"/>
  <c r="E155" i="16"/>
  <c r="F155" i="16"/>
  <c r="G155" i="16"/>
  <c r="C156" i="16"/>
  <c r="D156" i="16"/>
  <c r="E156" i="16"/>
  <c r="F156" i="16"/>
  <c r="G156" i="16"/>
  <c r="C157" i="16"/>
  <c r="D157" i="16"/>
  <c r="E157" i="16"/>
  <c r="F157" i="16"/>
  <c r="G157" i="16"/>
  <c r="C158" i="16"/>
  <c r="D158" i="16"/>
  <c r="E158" i="16"/>
  <c r="F158" i="16"/>
  <c r="G158" i="16"/>
  <c r="C159" i="16"/>
  <c r="D159" i="16"/>
  <c r="E159" i="16"/>
  <c r="F159" i="16"/>
  <c r="G159" i="16"/>
  <c r="C160" i="16"/>
  <c r="D160" i="16"/>
  <c r="E160" i="16"/>
  <c r="F160" i="16"/>
  <c r="G160" i="16"/>
  <c r="C161" i="16"/>
  <c r="D161" i="16"/>
  <c r="E161" i="16"/>
  <c r="F161" i="16"/>
  <c r="G161" i="16"/>
  <c r="C162" i="16"/>
  <c r="D162" i="16"/>
  <c r="E162" i="16"/>
  <c r="F162" i="16"/>
  <c r="G162" i="16"/>
  <c r="C163" i="16"/>
  <c r="D163" i="16"/>
  <c r="E163" i="16"/>
  <c r="F163" i="16"/>
  <c r="G163" i="16"/>
  <c r="C164" i="16"/>
  <c r="D164" i="16"/>
  <c r="E164" i="16"/>
  <c r="F164" i="16"/>
  <c r="G164" i="16"/>
  <c r="C165" i="16"/>
  <c r="D165" i="16"/>
  <c r="E165" i="16"/>
  <c r="F165" i="16"/>
  <c r="G165" i="16"/>
  <c r="C166" i="16"/>
  <c r="D166" i="16"/>
  <c r="E166" i="16"/>
  <c r="F166" i="16"/>
  <c r="G166" i="16"/>
  <c r="C167" i="16"/>
  <c r="D167" i="16"/>
  <c r="E167" i="16"/>
  <c r="F167" i="16"/>
  <c r="G167" i="16"/>
  <c r="C168" i="16"/>
  <c r="D168" i="16"/>
  <c r="E168" i="16"/>
  <c r="F168" i="16"/>
  <c r="G168" i="16"/>
  <c r="C169" i="16"/>
  <c r="D169" i="16"/>
  <c r="E169" i="16"/>
  <c r="F169" i="16"/>
  <c r="G169" i="16"/>
  <c r="C170" i="16"/>
  <c r="D170" i="16"/>
  <c r="E170" i="16"/>
  <c r="F170" i="16"/>
  <c r="G170" i="16"/>
  <c r="C171" i="16"/>
  <c r="D171" i="16"/>
  <c r="E171" i="16"/>
  <c r="F171" i="16"/>
  <c r="G171" i="16"/>
  <c r="C172" i="16"/>
  <c r="D172" i="16"/>
  <c r="E172" i="16"/>
  <c r="F172" i="16"/>
  <c r="G172" i="16"/>
  <c r="C173" i="16"/>
  <c r="D173" i="16"/>
  <c r="E173" i="16"/>
  <c r="F173" i="16"/>
  <c r="G173" i="16"/>
  <c r="C174" i="16"/>
  <c r="D174" i="16"/>
  <c r="E174" i="16"/>
  <c r="F174" i="16"/>
  <c r="G174" i="16"/>
  <c r="C175" i="16"/>
  <c r="D175" i="16"/>
  <c r="E175" i="16"/>
  <c r="F175" i="16"/>
  <c r="G175" i="16"/>
  <c r="C176" i="16"/>
  <c r="D176" i="16"/>
  <c r="E176" i="16"/>
  <c r="F176" i="16"/>
  <c r="G176" i="16"/>
  <c r="C177" i="16"/>
  <c r="D177" i="16"/>
  <c r="E177" i="16"/>
  <c r="F177" i="16"/>
  <c r="G177" i="16"/>
  <c r="C178" i="16"/>
  <c r="D178" i="16"/>
  <c r="E178" i="16"/>
  <c r="F178" i="16"/>
  <c r="G178" i="16"/>
  <c r="C179" i="16"/>
  <c r="D179" i="16"/>
  <c r="E179" i="16"/>
  <c r="F179" i="16"/>
  <c r="G179" i="16"/>
  <c r="C180" i="16"/>
  <c r="D180" i="16"/>
  <c r="E180" i="16"/>
  <c r="F180" i="16"/>
  <c r="G180" i="16"/>
  <c r="C181" i="16"/>
  <c r="D181" i="16"/>
  <c r="E181" i="16"/>
  <c r="F181" i="16"/>
  <c r="G181" i="16"/>
  <c r="C182" i="16"/>
  <c r="D182" i="16"/>
  <c r="E182" i="16"/>
  <c r="F182" i="16"/>
  <c r="G182" i="16"/>
  <c r="C183" i="16"/>
  <c r="D183" i="16"/>
  <c r="E183" i="16"/>
  <c r="F183" i="16"/>
  <c r="G183" i="16"/>
  <c r="C184" i="16"/>
  <c r="D184" i="16"/>
  <c r="E184" i="16"/>
  <c r="F184" i="16"/>
  <c r="G184" i="16"/>
  <c r="C185" i="16"/>
  <c r="D185" i="16"/>
  <c r="E185" i="16"/>
  <c r="F185" i="16"/>
  <c r="G185" i="16"/>
  <c r="C186" i="16"/>
  <c r="D186" i="16"/>
  <c r="E186" i="16"/>
  <c r="F186" i="16"/>
  <c r="G186" i="16"/>
  <c r="C187" i="16"/>
  <c r="D187" i="16"/>
  <c r="E187" i="16"/>
  <c r="F187" i="16"/>
  <c r="G187" i="16"/>
  <c r="C188" i="16"/>
  <c r="D188" i="16"/>
  <c r="E188" i="16"/>
  <c r="F188" i="16"/>
  <c r="G188" i="16"/>
  <c r="C189" i="16"/>
  <c r="D189" i="16"/>
  <c r="E189" i="16"/>
  <c r="F189" i="16"/>
  <c r="G189" i="16"/>
  <c r="C190" i="16"/>
  <c r="D190" i="16"/>
  <c r="E190" i="16"/>
  <c r="F190" i="16"/>
  <c r="G190" i="16"/>
  <c r="C191" i="16"/>
  <c r="D191" i="16"/>
  <c r="E191" i="16"/>
  <c r="F191" i="16"/>
  <c r="G191" i="16"/>
  <c r="C192" i="16"/>
  <c r="D192" i="16"/>
  <c r="E192" i="16"/>
  <c r="F192" i="16"/>
  <c r="G192" i="16"/>
  <c r="C193" i="16"/>
  <c r="D193" i="16"/>
  <c r="E193" i="16"/>
  <c r="F193" i="16"/>
  <c r="G193" i="16"/>
  <c r="C194" i="16"/>
  <c r="D194" i="16"/>
  <c r="E194" i="16"/>
  <c r="F194" i="16"/>
  <c r="G194" i="16"/>
  <c r="C195" i="16"/>
  <c r="D195" i="16"/>
  <c r="E195" i="16"/>
  <c r="F195" i="16"/>
  <c r="G195" i="16"/>
  <c r="C196" i="16"/>
  <c r="D196" i="16"/>
  <c r="E196" i="16"/>
  <c r="F196" i="16"/>
  <c r="G196" i="16"/>
  <c r="C197" i="16"/>
  <c r="D197" i="16"/>
  <c r="E197" i="16"/>
  <c r="F197" i="16"/>
  <c r="G197" i="16"/>
  <c r="C198" i="16"/>
  <c r="D198" i="16"/>
  <c r="E198" i="16"/>
  <c r="F198" i="16"/>
  <c r="G198" i="16"/>
  <c r="C199" i="16"/>
  <c r="D199" i="16"/>
  <c r="E199" i="16"/>
  <c r="F199" i="16"/>
  <c r="G199" i="16"/>
  <c r="C200" i="16"/>
  <c r="D200" i="16"/>
  <c r="E200" i="16"/>
  <c r="F200" i="16"/>
  <c r="G200" i="16"/>
  <c r="I3" i="16"/>
  <c r="I4" i="16" s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H3" i="16"/>
  <c r="H4" i="16" s="1"/>
  <c r="H5" i="16" s="1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H19" i="16" s="1"/>
  <c r="H20" i="16" s="1"/>
  <c r="H21" i="16" s="1"/>
  <c r="H22" i="16" s="1"/>
  <c r="H23" i="16" s="1"/>
  <c r="H24" i="16" s="1"/>
  <c r="H25" i="16" s="1"/>
  <c r="H26" i="16" s="1"/>
  <c r="H27" i="16" s="1"/>
  <c r="H28" i="16" s="1"/>
  <c r="H29" i="16" s="1"/>
  <c r="H30" i="16" s="1"/>
  <c r="H31" i="16" s="1"/>
  <c r="H32" i="16" s="1"/>
  <c r="H33" i="16" s="1"/>
  <c r="H34" i="16" s="1"/>
  <c r="H35" i="16" s="1"/>
  <c r="H36" i="16" s="1"/>
  <c r="H37" i="16" s="1"/>
  <c r="H38" i="16" s="1"/>
  <c r="H39" i="16" s="1"/>
  <c r="H40" i="16" s="1"/>
  <c r="H41" i="16" s="1"/>
  <c r="H42" i="16" s="1"/>
  <c r="H43" i="16" s="1"/>
  <c r="H44" i="16" s="1"/>
  <c r="H45" i="16" s="1"/>
  <c r="H46" i="16" s="1"/>
  <c r="H47" i="16" s="1"/>
  <c r="H48" i="16" s="1"/>
  <c r="H49" i="16" s="1"/>
  <c r="H50" i="16" s="1"/>
  <c r="H51" i="16" s="1"/>
  <c r="H52" i="16" s="1"/>
  <c r="H53" i="16" s="1"/>
  <c r="H54" i="16" s="1"/>
  <c r="H55" i="16" s="1"/>
  <c r="H56" i="16" s="1"/>
  <c r="H57" i="16" s="1"/>
  <c r="H58" i="16" s="1"/>
  <c r="H59" i="16" s="1"/>
  <c r="H60" i="16" s="1"/>
  <c r="H61" i="16" s="1"/>
  <c r="H62" i="16" s="1"/>
  <c r="H63" i="16" s="1"/>
  <c r="H64" i="16" s="1"/>
  <c r="H65" i="16" s="1"/>
  <c r="H66" i="16" s="1"/>
  <c r="H67" i="16" s="1"/>
  <c r="H68" i="16" s="1"/>
  <c r="H69" i="16" s="1"/>
  <c r="H70" i="16" s="1"/>
  <c r="H71" i="16" s="1"/>
  <c r="H72" i="16" s="1"/>
  <c r="H73" i="16" s="1"/>
  <c r="H74" i="16" s="1"/>
  <c r="H75" i="16" s="1"/>
  <c r="H76" i="16" s="1"/>
  <c r="H77" i="16" s="1"/>
  <c r="H78" i="16" s="1"/>
  <c r="H79" i="16" s="1"/>
  <c r="H80" i="16" s="1"/>
  <c r="H81" i="16" s="1"/>
  <c r="H82" i="16" s="1"/>
  <c r="H83" i="16" s="1"/>
  <c r="H84" i="16" s="1"/>
  <c r="H85" i="16" s="1"/>
  <c r="H86" i="16" s="1"/>
  <c r="H87" i="16" s="1"/>
  <c r="H88" i="16" s="1"/>
  <c r="H89" i="16" s="1"/>
  <c r="H90" i="16" s="1"/>
  <c r="H91" i="16" s="1"/>
  <c r="H92" i="16" s="1"/>
  <c r="H93" i="16" s="1"/>
  <c r="H94" i="16" s="1"/>
  <c r="H95" i="16" s="1"/>
  <c r="H96" i="16" s="1"/>
  <c r="H97" i="16" s="1"/>
  <c r="H98" i="16" s="1"/>
  <c r="H99" i="16" s="1"/>
  <c r="H100" i="16" s="1"/>
  <c r="H101" i="16" s="1"/>
  <c r="H102" i="16" s="1"/>
  <c r="H103" i="16" s="1"/>
  <c r="H104" i="16" s="1"/>
  <c r="H105" i="16" s="1"/>
  <c r="H106" i="16" s="1"/>
  <c r="H107" i="16" s="1"/>
  <c r="H108" i="16" s="1"/>
  <c r="H109" i="16" s="1"/>
  <c r="H110" i="16" s="1"/>
  <c r="H111" i="16" s="1"/>
  <c r="H112" i="16" s="1"/>
  <c r="H113" i="16" s="1"/>
  <c r="H114" i="16" s="1"/>
  <c r="H115" i="16" s="1"/>
  <c r="H116" i="16" s="1"/>
  <c r="H117" i="16" s="1"/>
  <c r="H118" i="16" s="1"/>
  <c r="H119" i="16" s="1"/>
  <c r="H120" i="16" s="1"/>
  <c r="H121" i="16" s="1"/>
  <c r="H122" i="16" s="1"/>
  <c r="H123" i="16" s="1"/>
  <c r="H124" i="16" s="1"/>
  <c r="H125" i="16" s="1"/>
  <c r="H126" i="16" s="1"/>
  <c r="H127" i="16" s="1"/>
  <c r="H128" i="16" s="1"/>
  <c r="H129" i="16" s="1"/>
  <c r="H130" i="16" s="1"/>
  <c r="H131" i="16" s="1"/>
  <c r="H132" i="16" s="1"/>
  <c r="H133" i="16" s="1"/>
  <c r="H134" i="16" s="1"/>
  <c r="H135" i="16" s="1"/>
  <c r="H136" i="16" s="1"/>
  <c r="H137" i="16" s="1"/>
  <c r="H138" i="16" s="1"/>
  <c r="H139" i="16" s="1"/>
  <c r="H140" i="16" s="1"/>
  <c r="H141" i="16" s="1"/>
  <c r="H142" i="16" s="1"/>
  <c r="H143" i="16" s="1"/>
  <c r="H144" i="16" s="1"/>
  <c r="H145" i="16" s="1"/>
  <c r="H146" i="16" s="1"/>
  <c r="H147" i="16" s="1"/>
  <c r="H148" i="16" s="1"/>
  <c r="H149" i="16" s="1"/>
  <c r="H150" i="16" s="1"/>
  <c r="H151" i="16" s="1"/>
  <c r="H152" i="16" s="1"/>
  <c r="H153" i="16" s="1"/>
  <c r="H154" i="16" s="1"/>
  <c r="H155" i="16" s="1"/>
  <c r="H156" i="16" s="1"/>
  <c r="H157" i="16" s="1"/>
  <c r="H158" i="16" s="1"/>
  <c r="H159" i="16" s="1"/>
  <c r="H160" i="16" s="1"/>
  <c r="H161" i="16" s="1"/>
  <c r="H162" i="16" s="1"/>
  <c r="H163" i="16" s="1"/>
  <c r="H164" i="16" s="1"/>
  <c r="H165" i="16" s="1"/>
  <c r="H166" i="16" s="1"/>
  <c r="H167" i="16" s="1"/>
  <c r="H168" i="16" s="1"/>
  <c r="H169" i="16" s="1"/>
  <c r="H170" i="16" s="1"/>
  <c r="H171" i="16" s="1"/>
  <c r="H172" i="16" s="1"/>
  <c r="H173" i="16" s="1"/>
  <c r="H174" i="16" s="1"/>
  <c r="H175" i="16" s="1"/>
  <c r="H176" i="16" s="1"/>
  <c r="H177" i="16" s="1"/>
  <c r="H178" i="16" s="1"/>
  <c r="H179" i="16" s="1"/>
  <c r="H180" i="16" s="1"/>
  <c r="H181" i="16" s="1"/>
  <c r="H182" i="16" s="1"/>
  <c r="H183" i="16" s="1"/>
  <c r="H184" i="16" s="1"/>
  <c r="H185" i="16" s="1"/>
  <c r="H186" i="16" s="1"/>
  <c r="H187" i="16" s="1"/>
  <c r="H188" i="16" s="1"/>
  <c r="H189" i="16" s="1"/>
  <c r="H190" i="16" s="1"/>
  <c r="H191" i="16" s="1"/>
  <c r="H192" i="16" s="1"/>
  <c r="H193" i="16" s="1"/>
  <c r="H194" i="16" s="1"/>
  <c r="H195" i="16" s="1"/>
  <c r="H196" i="16" s="1"/>
  <c r="H197" i="16" s="1"/>
  <c r="H198" i="16" s="1"/>
  <c r="H199" i="16" s="1"/>
  <c r="H200" i="16" s="1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G53" i="15"/>
  <c r="F53" i="15"/>
  <c r="E53" i="15"/>
  <c r="D53" i="15"/>
  <c r="C53" i="15"/>
  <c r="G52" i="15"/>
  <c r="F52" i="15"/>
  <c r="E52" i="15"/>
  <c r="D52" i="15"/>
  <c r="C52" i="15"/>
  <c r="G51" i="15"/>
  <c r="F51" i="15"/>
  <c r="E51" i="15"/>
  <c r="D51" i="15"/>
  <c r="C51" i="15"/>
  <c r="G50" i="15"/>
  <c r="F50" i="15"/>
  <c r="E50" i="15"/>
  <c r="D50" i="15"/>
  <c r="C50" i="15"/>
  <c r="G49" i="15"/>
  <c r="F49" i="15"/>
  <c r="E49" i="15"/>
  <c r="D49" i="15"/>
  <c r="C49" i="15"/>
  <c r="G48" i="15"/>
  <c r="F48" i="15"/>
  <c r="E48" i="15"/>
  <c r="D48" i="15"/>
  <c r="C48" i="15"/>
  <c r="G47" i="15"/>
  <c r="F47" i="15"/>
  <c r="E47" i="15"/>
  <c r="D47" i="15"/>
  <c r="C47" i="15"/>
  <c r="G46" i="15"/>
  <c r="F46" i="15"/>
  <c r="E46" i="15"/>
  <c r="D46" i="15"/>
  <c r="C46" i="15"/>
  <c r="G45" i="15"/>
  <c r="F45" i="15"/>
  <c r="E45" i="15"/>
  <c r="D45" i="15"/>
  <c r="C45" i="15"/>
  <c r="G44" i="15"/>
  <c r="F44" i="15"/>
  <c r="E44" i="15"/>
  <c r="D44" i="15"/>
  <c r="C44" i="15"/>
  <c r="G43" i="15"/>
  <c r="F43" i="15"/>
  <c r="E43" i="15"/>
  <c r="D43" i="15"/>
  <c r="C43" i="15"/>
  <c r="G42" i="15"/>
  <c r="F42" i="15"/>
  <c r="E42" i="15"/>
  <c r="D42" i="15"/>
  <c r="C42" i="15"/>
  <c r="G41" i="15"/>
  <c r="F41" i="15"/>
  <c r="E41" i="15"/>
  <c r="D41" i="15"/>
  <c r="C41" i="15"/>
  <c r="G40" i="15"/>
  <c r="F40" i="15"/>
  <c r="E40" i="15"/>
  <c r="D40" i="15"/>
  <c r="C40" i="15"/>
  <c r="G39" i="15"/>
  <c r="F39" i="15"/>
  <c r="E39" i="15"/>
  <c r="D39" i="15"/>
  <c r="C39" i="15"/>
  <c r="G38" i="15"/>
  <c r="F38" i="15"/>
  <c r="E38" i="15"/>
  <c r="D38" i="15"/>
  <c r="C38" i="15"/>
  <c r="G37" i="15"/>
  <c r="F37" i="15"/>
  <c r="E37" i="15"/>
  <c r="D37" i="15"/>
  <c r="C37" i="15"/>
  <c r="G36" i="15"/>
  <c r="F36" i="15"/>
  <c r="E36" i="15"/>
  <c r="D36" i="15"/>
  <c r="C36" i="15"/>
  <c r="G35" i="15"/>
  <c r="F35" i="15"/>
  <c r="E35" i="15"/>
  <c r="D35" i="15"/>
  <c r="C35" i="15"/>
  <c r="G34" i="15"/>
  <c r="F34" i="15"/>
  <c r="E34" i="15"/>
  <c r="D34" i="15"/>
  <c r="C34" i="15"/>
  <c r="G33" i="15"/>
  <c r="F33" i="15"/>
  <c r="E33" i="15"/>
  <c r="D33" i="15"/>
  <c r="C33" i="15"/>
  <c r="G32" i="15"/>
  <c r="F32" i="15"/>
  <c r="E32" i="15"/>
  <c r="D32" i="15"/>
  <c r="C32" i="15"/>
  <c r="G31" i="15"/>
  <c r="F31" i="15"/>
  <c r="E31" i="15"/>
  <c r="D31" i="15"/>
  <c r="C31" i="15"/>
  <c r="G30" i="15"/>
  <c r="F30" i="15"/>
  <c r="E30" i="15"/>
  <c r="D30" i="15"/>
  <c r="C30" i="15"/>
  <c r="G29" i="15"/>
  <c r="F29" i="15"/>
  <c r="E29" i="15"/>
  <c r="D29" i="15"/>
  <c r="C29" i="15"/>
  <c r="G28" i="15"/>
  <c r="F28" i="15"/>
  <c r="E28" i="15"/>
  <c r="D28" i="15"/>
  <c r="C28" i="15"/>
  <c r="G27" i="15"/>
  <c r="F27" i="15"/>
  <c r="E27" i="15"/>
  <c r="D27" i="15"/>
  <c r="C27" i="15"/>
  <c r="G26" i="15"/>
  <c r="F26" i="15"/>
  <c r="E26" i="15"/>
  <c r="D26" i="15"/>
  <c r="C26" i="15"/>
  <c r="G25" i="15"/>
  <c r="F25" i="15"/>
  <c r="E25" i="15"/>
  <c r="D25" i="15"/>
  <c r="C25" i="15"/>
  <c r="G24" i="15"/>
  <c r="F24" i="15"/>
  <c r="E24" i="15"/>
  <c r="D24" i="15"/>
  <c r="C24" i="15"/>
  <c r="G23" i="15"/>
  <c r="F23" i="15"/>
  <c r="E23" i="15"/>
  <c r="D23" i="15"/>
  <c r="C23" i="15"/>
  <c r="G22" i="15"/>
  <c r="F22" i="15"/>
  <c r="E22" i="15"/>
  <c r="D22" i="15"/>
  <c r="C22" i="15"/>
  <c r="G21" i="15"/>
  <c r="F21" i="15"/>
  <c r="E21" i="15"/>
  <c r="D21" i="15"/>
  <c r="C21" i="15"/>
  <c r="G20" i="15"/>
  <c r="F20" i="15"/>
  <c r="E20" i="15"/>
  <c r="D20" i="15"/>
  <c r="C20" i="15"/>
  <c r="G19" i="15"/>
  <c r="F19" i="15"/>
  <c r="E19" i="15"/>
  <c r="D19" i="15"/>
  <c r="C19" i="15"/>
  <c r="G18" i="15"/>
  <c r="F18" i="15"/>
  <c r="E18" i="15"/>
  <c r="D18" i="15"/>
  <c r="C18" i="15"/>
  <c r="G17" i="15"/>
  <c r="F17" i="15"/>
  <c r="E17" i="15"/>
  <c r="D17" i="15"/>
  <c r="C17" i="15"/>
  <c r="G16" i="15"/>
  <c r="F16" i="15"/>
  <c r="E16" i="15"/>
  <c r="D16" i="15"/>
  <c r="C16" i="15"/>
  <c r="G15" i="15"/>
  <c r="F15" i="15"/>
  <c r="E15" i="15"/>
  <c r="D15" i="15"/>
  <c r="C15" i="15"/>
  <c r="G14" i="15"/>
  <c r="F14" i="15"/>
  <c r="E14" i="15"/>
  <c r="D14" i="15"/>
  <c r="C14" i="15"/>
  <c r="G13" i="15"/>
  <c r="F13" i="15"/>
  <c r="E13" i="15"/>
  <c r="D13" i="15"/>
  <c r="C13" i="15"/>
  <c r="G12" i="15"/>
  <c r="F12" i="15"/>
  <c r="E12" i="15"/>
  <c r="D12" i="15"/>
  <c r="C12" i="15"/>
  <c r="G11" i="15"/>
  <c r="F11" i="15"/>
  <c r="E11" i="15"/>
  <c r="D11" i="15"/>
  <c r="C11" i="15"/>
  <c r="G10" i="15"/>
  <c r="F10" i="15"/>
  <c r="E10" i="15"/>
  <c r="D10" i="15"/>
  <c r="C10" i="15"/>
  <c r="G9" i="15"/>
  <c r="F9" i="15"/>
  <c r="E9" i="15"/>
  <c r="D9" i="15"/>
  <c r="C9" i="15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G4" i="15"/>
  <c r="F4" i="15"/>
  <c r="E4" i="15"/>
  <c r="D4" i="15"/>
  <c r="C4" i="15"/>
  <c r="B4" i="15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I48" i="15" s="1"/>
  <c r="I49" i="15" s="1"/>
  <c r="I50" i="15" s="1"/>
  <c r="I51" i="15" s="1"/>
  <c r="I52" i="15" s="1"/>
  <c r="I53" i="15" s="1"/>
  <c r="H3" i="15"/>
  <c r="G3" i="15"/>
  <c r="F3" i="15"/>
  <c r="E3" i="15"/>
  <c r="D3" i="15"/>
  <c r="C3" i="15"/>
  <c r="B3" i="15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G2" i="15"/>
  <c r="F2" i="15"/>
  <c r="E2" i="15"/>
  <c r="D2" i="15"/>
  <c r="C2" i="15"/>
  <c r="G200" i="13"/>
  <c r="F200" i="13"/>
  <c r="E200" i="13"/>
  <c r="D200" i="13"/>
  <c r="C200" i="13"/>
  <c r="G199" i="13"/>
  <c r="F199" i="13"/>
  <c r="E199" i="13"/>
  <c r="D199" i="13"/>
  <c r="C199" i="13"/>
  <c r="G198" i="13"/>
  <c r="F198" i="13"/>
  <c r="E198" i="13"/>
  <c r="D198" i="13"/>
  <c r="C198" i="13"/>
  <c r="G197" i="13"/>
  <c r="F197" i="13"/>
  <c r="E197" i="13"/>
  <c r="D197" i="13"/>
  <c r="C197" i="13"/>
  <c r="G196" i="13"/>
  <c r="F196" i="13"/>
  <c r="E196" i="13"/>
  <c r="D196" i="13"/>
  <c r="C196" i="13"/>
  <c r="G195" i="13"/>
  <c r="F195" i="13"/>
  <c r="E195" i="13"/>
  <c r="D195" i="13"/>
  <c r="C195" i="13"/>
  <c r="G194" i="13"/>
  <c r="F194" i="13"/>
  <c r="E194" i="13"/>
  <c r="D194" i="13"/>
  <c r="C194" i="13"/>
  <c r="G193" i="13"/>
  <c r="F193" i="13"/>
  <c r="E193" i="13"/>
  <c r="D193" i="13"/>
  <c r="C193" i="13"/>
  <c r="G192" i="13"/>
  <c r="F192" i="13"/>
  <c r="E192" i="13"/>
  <c r="D192" i="13"/>
  <c r="C192" i="13"/>
  <c r="G191" i="13"/>
  <c r="F191" i="13"/>
  <c r="E191" i="13"/>
  <c r="D191" i="13"/>
  <c r="C191" i="13"/>
  <c r="G190" i="13"/>
  <c r="F190" i="13"/>
  <c r="E190" i="13"/>
  <c r="D190" i="13"/>
  <c r="C190" i="13"/>
  <c r="G189" i="13"/>
  <c r="F189" i="13"/>
  <c r="E189" i="13"/>
  <c r="D189" i="13"/>
  <c r="C189" i="13"/>
  <c r="G188" i="13"/>
  <c r="F188" i="13"/>
  <c r="E188" i="13"/>
  <c r="D188" i="13"/>
  <c r="C188" i="13"/>
  <c r="G187" i="13"/>
  <c r="F187" i="13"/>
  <c r="E187" i="13"/>
  <c r="D187" i="13"/>
  <c r="C187" i="13"/>
  <c r="G186" i="13"/>
  <c r="F186" i="13"/>
  <c r="E186" i="13"/>
  <c r="D186" i="13"/>
  <c r="C186" i="13"/>
  <c r="G185" i="13"/>
  <c r="F185" i="13"/>
  <c r="E185" i="13"/>
  <c r="D185" i="13"/>
  <c r="C185" i="13"/>
  <c r="G184" i="13"/>
  <c r="F184" i="13"/>
  <c r="E184" i="13"/>
  <c r="D184" i="13"/>
  <c r="C184" i="13"/>
  <c r="G183" i="13"/>
  <c r="F183" i="13"/>
  <c r="E183" i="13"/>
  <c r="D183" i="13"/>
  <c r="C183" i="13"/>
  <c r="G182" i="13"/>
  <c r="F182" i="13"/>
  <c r="E182" i="13"/>
  <c r="D182" i="13"/>
  <c r="C182" i="13"/>
  <c r="G181" i="13"/>
  <c r="F181" i="13"/>
  <c r="E181" i="13"/>
  <c r="D181" i="13"/>
  <c r="C181" i="13"/>
  <c r="G180" i="13"/>
  <c r="F180" i="13"/>
  <c r="E180" i="13"/>
  <c r="D180" i="13"/>
  <c r="C180" i="13"/>
  <c r="G179" i="13"/>
  <c r="F179" i="13"/>
  <c r="E179" i="13"/>
  <c r="D179" i="13"/>
  <c r="C179" i="13"/>
  <c r="G178" i="13"/>
  <c r="F178" i="13"/>
  <c r="E178" i="13"/>
  <c r="D178" i="13"/>
  <c r="C178" i="13"/>
  <c r="G177" i="13"/>
  <c r="F177" i="13"/>
  <c r="E177" i="13"/>
  <c r="D177" i="13"/>
  <c r="C177" i="13"/>
  <c r="G176" i="13"/>
  <c r="F176" i="13"/>
  <c r="E176" i="13"/>
  <c r="D176" i="13"/>
  <c r="C176" i="13"/>
  <c r="G175" i="13"/>
  <c r="F175" i="13"/>
  <c r="E175" i="13"/>
  <c r="D175" i="13"/>
  <c r="C175" i="13"/>
  <c r="G174" i="13"/>
  <c r="F174" i="13"/>
  <c r="E174" i="13"/>
  <c r="D174" i="13"/>
  <c r="C174" i="13"/>
  <c r="G173" i="13"/>
  <c r="F173" i="13"/>
  <c r="E173" i="13"/>
  <c r="D173" i="13"/>
  <c r="C173" i="13"/>
  <c r="G172" i="13"/>
  <c r="F172" i="13"/>
  <c r="E172" i="13"/>
  <c r="D172" i="13"/>
  <c r="C172" i="13"/>
  <c r="G171" i="13"/>
  <c r="F171" i="13"/>
  <c r="E171" i="13"/>
  <c r="D171" i="13"/>
  <c r="C171" i="13"/>
  <c r="G170" i="13"/>
  <c r="F170" i="13"/>
  <c r="E170" i="13"/>
  <c r="D170" i="13"/>
  <c r="C170" i="13"/>
  <c r="G169" i="13"/>
  <c r="F169" i="13"/>
  <c r="E169" i="13"/>
  <c r="D169" i="13"/>
  <c r="C169" i="13"/>
  <c r="G168" i="13"/>
  <c r="F168" i="13"/>
  <c r="E168" i="13"/>
  <c r="D168" i="13"/>
  <c r="C168" i="13"/>
  <c r="G167" i="13"/>
  <c r="F167" i="13"/>
  <c r="E167" i="13"/>
  <c r="D167" i="13"/>
  <c r="C167" i="13"/>
  <c r="G166" i="13"/>
  <c r="F166" i="13"/>
  <c r="E166" i="13"/>
  <c r="D166" i="13"/>
  <c r="C166" i="13"/>
  <c r="G165" i="13"/>
  <c r="F165" i="13"/>
  <c r="E165" i="13"/>
  <c r="D165" i="13"/>
  <c r="C165" i="13"/>
  <c r="G164" i="13"/>
  <c r="F164" i="13"/>
  <c r="E164" i="13"/>
  <c r="D164" i="13"/>
  <c r="C164" i="13"/>
  <c r="G163" i="13"/>
  <c r="F163" i="13"/>
  <c r="E163" i="13"/>
  <c r="D163" i="13"/>
  <c r="C163" i="13"/>
  <c r="G162" i="13"/>
  <c r="F162" i="13"/>
  <c r="E162" i="13"/>
  <c r="D162" i="13"/>
  <c r="C162" i="13"/>
  <c r="G161" i="13"/>
  <c r="F161" i="13"/>
  <c r="E161" i="13"/>
  <c r="D161" i="13"/>
  <c r="C161" i="13"/>
  <c r="G160" i="13"/>
  <c r="F160" i="13"/>
  <c r="E160" i="13"/>
  <c r="D160" i="13"/>
  <c r="C160" i="13"/>
  <c r="G159" i="13"/>
  <c r="F159" i="13"/>
  <c r="E159" i="13"/>
  <c r="D159" i="13"/>
  <c r="C159" i="13"/>
  <c r="G158" i="13"/>
  <c r="F158" i="13"/>
  <c r="E158" i="13"/>
  <c r="D158" i="13"/>
  <c r="C158" i="13"/>
  <c r="G157" i="13"/>
  <c r="F157" i="13"/>
  <c r="E157" i="13"/>
  <c r="D157" i="13"/>
  <c r="C157" i="13"/>
  <c r="G156" i="13"/>
  <c r="F156" i="13"/>
  <c r="E156" i="13"/>
  <c r="D156" i="13"/>
  <c r="C156" i="13"/>
  <c r="G155" i="13"/>
  <c r="F155" i="13"/>
  <c r="E155" i="13"/>
  <c r="D155" i="13"/>
  <c r="C155" i="13"/>
  <c r="G154" i="13"/>
  <c r="F154" i="13"/>
  <c r="E154" i="13"/>
  <c r="D154" i="13"/>
  <c r="C154" i="13"/>
  <c r="G153" i="13"/>
  <c r="F153" i="13"/>
  <c r="E153" i="13"/>
  <c r="D153" i="13"/>
  <c r="C153" i="13"/>
  <c r="G152" i="13"/>
  <c r="F152" i="13"/>
  <c r="E152" i="13"/>
  <c r="D152" i="13"/>
  <c r="C152" i="13"/>
  <c r="G151" i="13"/>
  <c r="F151" i="13"/>
  <c r="E151" i="13"/>
  <c r="D151" i="13"/>
  <c r="C151" i="13"/>
  <c r="G150" i="13"/>
  <c r="F150" i="13"/>
  <c r="E150" i="13"/>
  <c r="D150" i="13"/>
  <c r="C150" i="13"/>
  <c r="G149" i="13"/>
  <c r="F149" i="13"/>
  <c r="E149" i="13"/>
  <c r="D149" i="13"/>
  <c r="C149" i="13"/>
  <c r="G148" i="13"/>
  <c r="F148" i="13"/>
  <c r="E148" i="13"/>
  <c r="D148" i="13"/>
  <c r="C148" i="13"/>
  <c r="G147" i="13"/>
  <c r="F147" i="13"/>
  <c r="E147" i="13"/>
  <c r="D147" i="13"/>
  <c r="C147" i="13"/>
  <c r="G146" i="13"/>
  <c r="F146" i="13"/>
  <c r="E146" i="13"/>
  <c r="D146" i="13"/>
  <c r="C146" i="13"/>
  <c r="G145" i="13"/>
  <c r="F145" i="13"/>
  <c r="E145" i="13"/>
  <c r="D145" i="13"/>
  <c r="C145" i="13"/>
  <c r="G144" i="13"/>
  <c r="F144" i="13"/>
  <c r="E144" i="13"/>
  <c r="D144" i="13"/>
  <c r="C144" i="13"/>
  <c r="G143" i="13"/>
  <c r="F143" i="13"/>
  <c r="E143" i="13"/>
  <c r="D143" i="13"/>
  <c r="C143" i="13"/>
  <c r="G142" i="13"/>
  <c r="F142" i="13"/>
  <c r="E142" i="13"/>
  <c r="D142" i="13"/>
  <c r="C142" i="13"/>
  <c r="G141" i="13"/>
  <c r="F141" i="13"/>
  <c r="E141" i="13"/>
  <c r="D141" i="13"/>
  <c r="C141" i="13"/>
  <c r="G140" i="13"/>
  <c r="F140" i="13"/>
  <c r="E140" i="13"/>
  <c r="D140" i="13"/>
  <c r="C140" i="13"/>
  <c r="G139" i="13"/>
  <c r="F139" i="13"/>
  <c r="E139" i="13"/>
  <c r="D139" i="13"/>
  <c r="C139" i="13"/>
  <c r="G138" i="13"/>
  <c r="F138" i="13"/>
  <c r="E138" i="13"/>
  <c r="D138" i="13"/>
  <c r="C138" i="13"/>
  <c r="G137" i="13"/>
  <c r="F137" i="13"/>
  <c r="E137" i="13"/>
  <c r="D137" i="13"/>
  <c r="C137" i="13"/>
  <c r="G136" i="13"/>
  <c r="F136" i="13"/>
  <c r="E136" i="13"/>
  <c r="D136" i="13"/>
  <c r="C136" i="13"/>
  <c r="G135" i="13"/>
  <c r="F135" i="13"/>
  <c r="E135" i="13"/>
  <c r="D135" i="13"/>
  <c r="C135" i="13"/>
  <c r="G134" i="13"/>
  <c r="F134" i="13"/>
  <c r="E134" i="13"/>
  <c r="D134" i="13"/>
  <c r="C134" i="13"/>
  <c r="G133" i="13"/>
  <c r="F133" i="13"/>
  <c r="E133" i="13"/>
  <c r="D133" i="13"/>
  <c r="C133" i="13"/>
  <c r="G132" i="13"/>
  <c r="F132" i="13"/>
  <c r="E132" i="13"/>
  <c r="D132" i="13"/>
  <c r="C132" i="13"/>
  <c r="G131" i="13"/>
  <c r="F131" i="13"/>
  <c r="E131" i="13"/>
  <c r="D131" i="13"/>
  <c r="C131" i="13"/>
  <c r="G130" i="13"/>
  <c r="F130" i="13"/>
  <c r="E130" i="13"/>
  <c r="D130" i="13"/>
  <c r="C130" i="13"/>
  <c r="G129" i="13"/>
  <c r="F129" i="13"/>
  <c r="E129" i="13"/>
  <c r="D129" i="13"/>
  <c r="C129" i="13"/>
  <c r="G128" i="13"/>
  <c r="F128" i="13"/>
  <c r="E128" i="13"/>
  <c r="D128" i="13"/>
  <c r="C128" i="13"/>
  <c r="G127" i="13"/>
  <c r="F127" i="13"/>
  <c r="E127" i="13"/>
  <c r="D127" i="13"/>
  <c r="C127" i="13"/>
  <c r="G126" i="13"/>
  <c r="F126" i="13"/>
  <c r="E126" i="13"/>
  <c r="D126" i="13"/>
  <c r="C126" i="13"/>
  <c r="G125" i="13"/>
  <c r="F125" i="13"/>
  <c r="E125" i="13"/>
  <c r="D125" i="13"/>
  <c r="C125" i="13"/>
  <c r="G124" i="13"/>
  <c r="F124" i="13"/>
  <c r="E124" i="13"/>
  <c r="D124" i="13"/>
  <c r="C124" i="13"/>
  <c r="G123" i="13"/>
  <c r="F123" i="13"/>
  <c r="E123" i="13"/>
  <c r="D123" i="13"/>
  <c r="C123" i="13"/>
  <c r="G122" i="13"/>
  <c r="F122" i="13"/>
  <c r="E122" i="13"/>
  <c r="D122" i="13"/>
  <c r="C122" i="13"/>
  <c r="G121" i="13"/>
  <c r="F121" i="13"/>
  <c r="E121" i="13"/>
  <c r="D121" i="13"/>
  <c r="C121" i="13"/>
  <c r="G120" i="13"/>
  <c r="F120" i="13"/>
  <c r="E120" i="13"/>
  <c r="D120" i="13"/>
  <c r="C120" i="13"/>
  <c r="G119" i="13"/>
  <c r="F119" i="13"/>
  <c r="E119" i="13"/>
  <c r="D119" i="13"/>
  <c r="C119" i="13"/>
  <c r="G118" i="13"/>
  <c r="F118" i="13"/>
  <c r="E118" i="13"/>
  <c r="D118" i="13"/>
  <c r="C118" i="13"/>
  <c r="G117" i="13"/>
  <c r="F117" i="13"/>
  <c r="E117" i="13"/>
  <c r="D117" i="13"/>
  <c r="C117" i="13"/>
  <c r="G116" i="13"/>
  <c r="F116" i="13"/>
  <c r="E116" i="13"/>
  <c r="D116" i="13"/>
  <c r="C116" i="13"/>
  <c r="G115" i="13"/>
  <c r="F115" i="13"/>
  <c r="E115" i="13"/>
  <c r="D115" i="13"/>
  <c r="C115" i="13"/>
  <c r="G114" i="13"/>
  <c r="F114" i="13"/>
  <c r="E114" i="13"/>
  <c r="D114" i="13"/>
  <c r="C114" i="13"/>
  <c r="G113" i="13"/>
  <c r="F113" i="13"/>
  <c r="E113" i="13"/>
  <c r="D113" i="13"/>
  <c r="C113" i="13"/>
  <c r="G112" i="13"/>
  <c r="F112" i="13"/>
  <c r="E112" i="13"/>
  <c r="D112" i="13"/>
  <c r="C112" i="13"/>
  <c r="G111" i="13"/>
  <c r="F111" i="13"/>
  <c r="E111" i="13"/>
  <c r="D111" i="13"/>
  <c r="C111" i="13"/>
  <c r="G110" i="13"/>
  <c r="F110" i="13"/>
  <c r="E110" i="13"/>
  <c r="D110" i="13"/>
  <c r="C110" i="13"/>
  <c r="G109" i="13"/>
  <c r="F109" i="13"/>
  <c r="E109" i="13"/>
  <c r="D109" i="13"/>
  <c r="C109" i="13"/>
  <c r="G108" i="13"/>
  <c r="F108" i="13"/>
  <c r="E108" i="13"/>
  <c r="D108" i="13"/>
  <c r="C108" i="13"/>
  <c r="G107" i="13"/>
  <c r="F107" i="13"/>
  <c r="E107" i="13"/>
  <c r="D107" i="13"/>
  <c r="C107" i="13"/>
  <c r="G106" i="13"/>
  <c r="F106" i="13"/>
  <c r="E106" i="13"/>
  <c r="D106" i="13"/>
  <c r="C106" i="13"/>
  <c r="G105" i="13"/>
  <c r="F105" i="13"/>
  <c r="E105" i="13"/>
  <c r="D105" i="13"/>
  <c r="C105" i="13"/>
  <c r="G104" i="13"/>
  <c r="F104" i="13"/>
  <c r="E104" i="13"/>
  <c r="D104" i="13"/>
  <c r="C104" i="13"/>
  <c r="G103" i="13"/>
  <c r="F103" i="13"/>
  <c r="E103" i="13"/>
  <c r="D103" i="13"/>
  <c r="C103" i="13"/>
  <c r="G102" i="13"/>
  <c r="F102" i="13"/>
  <c r="E102" i="13"/>
  <c r="D102" i="13"/>
  <c r="C102" i="13"/>
  <c r="G101" i="13"/>
  <c r="F101" i="13"/>
  <c r="E101" i="13"/>
  <c r="D101" i="13"/>
  <c r="C101" i="13"/>
  <c r="G100" i="13"/>
  <c r="F100" i="13"/>
  <c r="E100" i="13"/>
  <c r="D100" i="13"/>
  <c r="C100" i="13"/>
  <c r="G99" i="13"/>
  <c r="F99" i="13"/>
  <c r="E99" i="13"/>
  <c r="D99" i="13"/>
  <c r="C99" i="13"/>
  <c r="G98" i="13"/>
  <c r="F98" i="13"/>
  <c r="E98" i="13"/>
  <c r="D98" i="13"/>
  <c r="C98" i="13"/>
  <c r="G97" i="13"/>
  <c r="F97" i="13"/>
  <c r="E97" i="13"/>
  <c r="D97" i="13"/>
  <c r="C97" i="13"/>
  <c r="G96" i="13"/>
  <c r="F96" i="13"/>
  <c r="E96" i="13"/>
  <c r="D96" i="13"/>
  <c r="C96" i="13"/>
  <c r="G95" i="13"/>
  <c r="F95" i="13"/>
  <c r="E95" i="13"/>
  <c r="D95" i="13"/>
  <c r="C95" i="13"/>
  <c r="G94" i="13"/>
  <c r="F94" i="13"/>
  <c r="E94" i="13"/>
  <c r="D94" i="13"/>
  <c r="C94" i="13"/>
  <c r="G93" i="13"/>
  <c r="F93" i="13"/>
  <c r="E93" i="13"/>
  <c r="D93" i="13"/>
  <c r="C93" i="13"/>
  <c r="G92" i="13"/>
  <c r="F92" i="13"/>
  <c r="E92" i="13"/>
  <c r="D92" i="13"/>
  <c r="C92" i="13"/>
  <c r="G91" i="13"/>
  <c r="F91" i="13"/>
  <c r="E91" i="13"/>
  <c r="D91" i="13"/>
  <c r="C91" i="13"/>
  <c r="G90" i="13"/>
  <c r="F90" i="13"/>
  <c r="E90" i="13"/>
  <c r="D90" i="13"/>
  <c r="C90" i="13"/>
  <c r="G89" i="13"/>
  <c r="F89" i="13"/>
  <c r="E89" i="13"/>
  <c r="D89" i="13"/>
  <c r="C89" i="13"/>
  <c r="G88" i="13"/>
  <c r="F88" i="13"/>
  <c r="E88" i="13"/>
  <c r="D88" i="13"/>
  <c r="C88" i="13"/>
  <c r="G87" i="13"/>
  <c r="F87" i="13"/>
  <c r="E87" i="13"/>
  <c r="D87" i="13"/>
  <c r="C87" i="13"/>
  <c r="G86" i="13"/>
  <c r="F86" i="13"/>
  <c r="E86" i="13"/>
  <c r="D86" i="13"/>
  <c r="C86" i="13"/>
  <c r="G85" i="13"/>
  <c r="F85" i="13"/>
  <c r="E85" i="13"/>
  <c r="D85" i="13"/>
  <c r="C85" i="13"/>
  <c r="G84" i="13"/>
  <c r="F84" i="13"/>
  <c r="E84" i="13"/>
  <c r="D84" i="13"/>
  <c r="C84" i="13"/>
  <c r="G83" i="13"/>
  <c r="F83" i="13"/>
  <c r="E83" i="13"/>
  <c r="D83" i="13"/>
  <c r="C83" i="13"/>
  <c r="G82" i="13"/>
  <c r="F82" i="13"/>
  <c r="E82" i="13"/>
  <c r="D82" i="13"/>
  <c r="C82" i="13"/>
  <c r="G81" i="13"/>
  <c r="F81" i="13"/>
  <c r="E81" i="13"/>
  <c r="D81" i="13"/>
  <c r="C81" i="13"/>
  <c r="G80" i="13"/>
  <c r="F80" i="13"/>
  <c r="E80" i="13"/>
  <c r="D80" i="13"/>
  <c r="C80" i="13"/>
  <c r="G79" i="13"/>
  <c r="F79" i="13"/>
  <c r="E79" i="13"/>
  <c r="D79" i="13"/>
  <c r="C79" i="13"/>
  <c r="G78" i="13"/>
  <c r="F78" i="13"/>
  <c r="E78" i="13"/>
  <c r="D78" i="13"/>
  <c r="C78" i="13"/>
  <c r="G77" i="13"/>
  <c r="F77" i="13"/>
  <c r="E77" i="13"/>
  <c r="D77" i="13"/>
  <c r="C77" i="13"/>
  <c r="G76" i="13"/>
  <c r="F76" i="13"/>
  <c r="E76" i="13"/>
  <c r="D76" i="13"/>
  <c r="C76" i="13"/>
  <c r="G75" i="13"/>
  <c r="F75" i="13"/>
  <c r="E75" i="13"/>
  <c r="D75" i="13"/>
  <c r="C75" i="13"/>
  <c r="G74" i="13"/>
  <c r="F74" i="13"/>
  <c r="E74" i="13"/>
  <c r="D74" i="13"/>
  <c r="C74" i="13"/>
  <c r="G73" i="13"/>
  <c r="F73" i="13"/>
  <c r="E73" i="13"/>
  <c r="D73" i="13"/>
  <c r="C73" i="13"/>
  <c r="G72" i="13"/>
  <c r="F72" i="13"/>
  <c r="E72" i="13"/>
  <c r="D72" i="13"/>
  <c r="C72" i="13"/>
  <c r="G71" i="13"/>
  <c r="F71" i="13"/>
  <c r="E71" i="13"/>
  <c r="D71" i="13"/>
  <c r="C71" i="13"/>
  <c r="G70" i="13"/>
  <c r="F70" i="13"/>
  <c r="E70" i="13"/>
  <c r="D70" i="13"/>
  <c r="C70" i="13"/>
  <c r="G69" i="13"/>
  <c r="F69" i="13"/>
  <c r="E69" i="13"/>
  <c r="D69" i="13"/>
  <c r="C69" i="13"/>
  <c r="G68" i="13"/>
  <c r="F68" i="13"/>
  <c r="E68" i="13"/>
  <c r="D68" i="13"/>
  <c r="C68" i="13"/>
  <c r="G67" i="13"/>
  <c r="F67" i="13"/>
  <c r="E67" i="13"/>
  <c r="D67" i="13"/>
  <c r="C67" i="13"/>
  <c r="G66" i="13"/>
  <c r="F66" i="13"/>
  <c r="E66" i="13"/>
  <c r="D66" i="13"/>
  <c r="C66" i="13"/>
  <c r="G65" i="13"/>
  <c r="F65" i="13"/>
  <c r="E65" i="13"/>
  <c r="D65" i="13"/>
  <c r="C65" i="13"/>
  <c r="G64" i="13"/>
  <c r="F64" i="13"/>
  <c r="E64" i="13"/>
  <c r="D64" i="13"/>
  <c r="C64" i="13"/>
  <c r="G63" i="13"/>
  <c r="F63" i="13"/>
  <c r="E63" i="13"/>
  <c r="D63" i="13"/>
  <c r="C63" i="13"/>
  <c r="G62" i="13"/>
  <c r="F62" i="13"/>
  <c r="E62" i="13"/>
  <c r="D62" i="13"/>
  <c r="C62" i="13"/>
  <c r="G61" i="13"/>
  <c r="F61" i="13"/>
  <c r="E61" i="13"/>
  <c r="D61" i="13"/>
  <c r="C61" i="13"/>
  <c r="G60" i="13"/>
  <c r="F60" i="13"/>
  <c r="E60" i="13"/>
  <c r="D60" i="13"/>
  <c r="C60" i="13"/>
  <c r="G59" i="13"/>
  <c r="F59" i="13"/>
  <c r="E59" i="13"/>
  <c r="D59" i="13"/>
  <c r="C59" i="13"/>
  <c r="G58" i="13"/>
  <c r="F58" i="13"/>
  <c r="E58" i="13"/>
  <c r="D58" i="13"/>
  <c r="C58" i="13"/>
  <c r="G57" i="13"/>
  <c r="F57" i="13"/>
  <c r="E57" i="13"/>
  <c r="D57" i="13"/>
  <c r="C57" i="13"/>
  <c r="G56" i="13"/>
  <c r="F56" i="13"/>
  <c r="E56" i="13"/>
  <c r="D56" i="13"/>
  <c r="C56" i="13"/>
  <c r="G55" i="13"/>
  <c r="F55" i="13"/>
  <c r="E55" i="13"/>
  <c r="D55" i="13"/>
  <c r="C55" i="13"/>
  <c r="G54" i="13"/>
  <c r="F54" i="13"/>
  <c r="E54" i="13"/>
  <c r="D54" i="13"/>
  <c r="C54" i="13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I48" i="13" s="1"/>
  <c r="I49" i="13" s="1"/>
  <c r="I50" i="13" s="1"/>
  <c r="I51" i="13" s="1"/>
  <c r="I52" i="13" s="1"/>
  <c r="I53" i="13" s="1"/>
  <c r="H3" i="13"/>
  <c r="H4" i="13" s="1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C11" i="12"/>
  <c r="D11" i="12"/>
  <c r="E11" i="12"/>
  <c r="F11" i="12"/>
  <c r="G11" i="12"/>
  <c r="C12" i="12"/>
  <c r="D12" i="12"/>
  <c r="E12" i="12"/>
  <c r="F12" i="12"/>
  <c r="G12" i="12"/>
  <c r="C13" i="12"/>
  <c r="D13" i="12"/>
  <c r="E13" i="12"/>
  <c r="F13" i="12"/>
  <c r="G13" i="12"/>
  <c r="C14" i="12"/>
  <c r="D14" i="12"/>
  <c r="E14" i="12"/>
  <c r="F14" i="12"/>
  <c r="G14" i="12"/>
  <c r="C15" i="12"/>
  <c r="D15" i="12"/>
  <c r="E15" i="12"/>
  <c r="F15" i="12"/>
  <c r="G15" i="12"/>
  <c r="C16" i="12"/>
  <c r="D16" i="12"/>
  <c r="E16" i="12"/>
  <c r="F16" i="12"/>
  <c r="G16" i="12"/>
  <c r="C17" i="12"/>
  <c r="D17" i="12"/>
  <c r="E17" i="12"/>
  <c r="F17" i="12"/>
  <c r="G17" i="12"/>
  <c r="C18" i="12"/>
  <c r="D18" i="12"/>
  <c r="E18" i="12"/>
  <c r="F18" i="12"/>
  <c r="G18" i="12"/>
  <c r="C19" i="12"/>
  <c r="D19" i="12"/>
  <c r="E19" i="12"/>
  <c r="F19" i="12"/>
  <c r="G19" i="12"/>
  <c r="C20" i="12"/>
  <c r="D20" i="12"/>
  <c r="E20" i="12"/>
  <c r="F20" i="12"/>
  <c r="G20" i="12"/>
  <c r="C21" i="12"/>
  <c r="D21" i="12"/>
  <c r="E21" i="12"/>
  <c r="F21" i="12"/>
  <c r="G21" i="12"/>
  <c r="C22" i="12"/>
  <c r="D22" i="12"/>
  <c r="E22" i="12"/>
  <c r="F22" i="12"/>
  <c r="G22" i="12"/>
  <c r="C23" i="12"/>
  <c r="D23" i="12"/>
  <c r="E23" i="12"/>
  <c r="F23" i="12"/>
  <c r="G23" i="12"/>
  <c r="C24" i="12"/>
  <c r="D24" i="12"/>
  <c r="E24" i="12"/>
  <c r="F24" i="12"/>
  <c r="G24" i="12"/>
  <c r="C25" i="12"/>
  <c r="D25" i="12"/>
  <c r="E25" i="12"/>
  <c r="F25" i="12"/>
  <c r="G25" i="12"/>
  <c r="C26" i="12"/>
  <c r="D26" i="12"/>
  <c r="E26" i="12"/>
  <c r="F26" i="12"/>
  <c r="G26" i="12"/>
  <c r="C27" i="12"/>
  <c r="D27" i="12"/>
  <c r="E27" i="12"/>
  <c r="F27" i="12"/>
  <c r="G27" i="12"/>
  <c r="C28" i="12"/>
  <c r="D28" i="12"/>
  <c r="E28" i="12"/>
  <c r="F28" i="12"/>
  <c r="G28" i="12"/>
  <c r="C29" i="12"/>
  <c r="D29" i="12"/>
  <c r="E29" i="12"/>
  <c r="F29" i="12"/>
  <c r="G29" i="12"/>
  <c r="C30" i="12"/>
  <c r="D30" i="12"/>
  <c r="E30" i="12"/>
  <c r="F30" i="12"/>
  <c r="G30" i="12"/>
  <c r="C31" i="12"/>
  <c r="D31" i="12"/>
  <c r="E31" i="12"/>
  <c r="F31" i="12"/>
  <c r="G31" i="12"/>
  <c r="C32" i="12"/>
  <c r="D32" i="12"/>
  <c r="E32" i="12"/>
  <c r="F32" i="12"/>
  <c r="G32" i="12"/>
  <c r="C33" i="12"/>
  <c r="D33" i="12"/>
  <c r="E33" i="12"/>
  <c r="F33" i="12"/>
  <c r="G33" i="12"/>
  <c r="C34" i="12"/>
  <c r="D34" i="12"/>
  <c r="E34" i="12"/>
  <c r="F34" i="12"/>
  <c r="G34" i="12"/>
  <c r="C35" i="12"/>
  <c r="D35" i="12"/>
  <c r="E35" i="12"/>
  <c r="F35" i="12"/>
  <c r="G35" i="12"/>
  <c r="C36" i="12"/>
  <c r="D36" i="12"/>
  <c r="E36" i="12"/>
  <c r="F36" i="12"/>
  <c r="G36" i="12"/>
  <c r="C37" i="12"/>
  <c r="D37" i="12"/>
  <c r="E37" i="12"/>
  <c r="F37" i="12"/>
  <c r="G37" i="12"/>
  <c r="C38" i="12"/>
  <c r="D38" i="12"/>
  <c r="E38" i="12"/>
  <c r="F38" i="12"/>
  <c r="G38" i="12"/>
  <c r="C39" i="12"/>
  <c r="D39" i="12"/>
  <c r="E39" i="12"/>
  <c r="F39" i="12"/>
  <c r="G39" i="12"/>
  <c r="C40" i="12"/>
  <c r="D40" i="12"/>
  <c r="E40" i="12"/>
  <c r="F40" i="12"/>
  <c r="G40" i="12"/>
  <c r="C41" i="12"/>
  <c r="D41" i="12"/>
  <c r="E41" i="12"/>
  <c r="F41" i="12"/>
  <c r="G41" i="12"/>
  <c r="C42" i="12"/>
  <c r="D42" i="12"/>
  <c r="E42" i="12"/>
  <c r="F42" i="12"/>
  <c r="G42" i="12"/>
  <c r="C43" i="12"/>
  <c r="D43" i="12"/>
  <c r="E43" i="12"/>
  <c r="F43" i="12"/>
  <c r="G43" i="12"/>
  <c r="C44" i="12"/>
  <c r="D44" i="12"/>
  <c r="E44" i="12"/>
  <c r="F44" i="12"/>
  <c r="G44" i="12"/>
  <c r="C45" i="12"/>
  <c r="D45" i="12"/>
  <c r="E45" i="12"/>
  <c r="F45" i="12"/>
  <c r="G45" i="12"/>
  <c r="C46" i="12"/>
  <c r="D46" i="12"/>
  <c r="E46" i="12"/>
  <c r="F46" i="12"/>
  <c r="G46" i="12"/>
  <c r="C47" i="12"/>
  <c r="D47" i="12"/>
  <c r="E47" i="12"/>
  <c r="F47" i="12"/>
  <c r="G47" i="12"/>
  <c r="C48" i="12"/>
  <c r="D48" i="12"/>
  <c r="E48" i="12"/>
  <c r="F48" i="12"/>
  <c r="G48" i="12"/>
  <c r="C49" i="12"/>
  <c r="D49" i="12"/>
  <c r="E49" i="12"/>
  <c r="F49" i="12"/>
  <c r="G49" i="12"/>
  <c r="C50" i="12"/>
  <c r="D50" i="12"/>
  <c r="E50" i="12"/>
  <c r="F50" i="12"/>
  <c r="G50" i="12"/>
  <c r="C51" i="12"/>
  <c r="D51" i="12"/>
  <c r="E51" i="12"/>
  <c r="F51" i="12"/>
  <c r="G51" i="12"/>
  <c r="C52" i="12"/>
  <c r="D52" i="12"/>
  <c r="E52" i="12"/>
  <c r="F52" i="12"/>
  <c r="G52" i="12"/>
  <c r="C53" i="12"/>
  <c r="D53" i="12"/>
  <c r="E53" i="12"/>
  <c r="F53" i="12"/>
  <c r="G53" i="12"/>
  <c r="D10" i="12"/>
  <c r="E10" i="12"/>
  <c r="F10" i="12"/>
  <c r="G10" i="12"/>
  <c r="C10" i="12"/>
  <c r="C7" i="12"/>
  <c r="D7" i="12"/>
  <c r="E7" i="12"/>
  <c r="F7" i="12"/>
  <c r="G7" i="12"/>
  <c r="C8" i="12"/>
  <c r="D8" i="12"/>
  <c r="E8" i="12"/>
  <c r="F8" i="12"/>
  <c r="G8" i="12"/>
  <c r="C9" i="12"/>
  <c r="D9" i="12"/>
  <c r="E9" i="12"/>
  <c r="F9" i="12"/>
  <c r="G9" i="12"/>
  <c r="B20" i="12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12" i="12"/>
  <c r="B13" i="12" s="1"/>
  <c r="B14" i="12" s="1"/>
  <c r="B15" i="12" s="1"/>
  <c r="B16" i="12" s="1"/>
  <c r="B17" i="12" s="1"/>
  <c r="B18" i="12" s="1"/>
  <c r="B19" i="12" s="1"/>
  <c r="G6" i="12"/>
  <c r="F6" i="12"/>
  <c r="E6" i="12"/>
  <c r="D6" i="12"/>
  <c r="C6" i="12"/>
  <c r="G5" i="12"/>
  <c r="F5" i="12"/>
  <c r="E5" i="12"/>
  <c r="D5" i="12"/>
  <c r="C5" i="12"/>
  <c r="H4" i="12"/>
  <c r="H5" i="12" s="1"/>
  <c r="H6" i="12" s="1"/>
  <c r="H7" i="12" s="1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H31" i="12" s="1"/>
  <c r="H32" i="12" s="1"/>
  <c r="H33" i="12" s="1"/>
  <c r="H34" i="12" s="1"/>
  <c r="H35" i="12" s="1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G4" i="12"/>
  <c r="F4" i="12"/>
  <c r="E4" i="12"/>
  <c r="D4" i="12"/>
  <c r="C4" i="12"/>
  <c r="B4" i="12"/>
  <c r="B5" i="12" s="1"/>
  <c r="B6" i="12" s="1"/>
  <c r="B7" i="12" s="1"/>
  <c r="B8" i="12" s="1"/>
  <c r="B9" i="12" s="1"/>
  <c r="B10" i="12" s="1"/>
  <c r="B11" i="12" s="1"/>
  <c r="I3" i="12"/>
  <c r="I4" i="12" s="1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I36" i="12" s="1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H3" i="12"/>
  <c r="G3" i="12"/>
  <c r="F3" i="12"/>
  <c r="E3" i="12"/>
  <c r="D3" i="12"/>
  <c r="C3" i="12"/>
  <c r="B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G2" i="12"/>
  <c r="F2" i="12"/>
  <c r="E2" i="12"/>
  <c r="D2" i="12"/>
  <c r="C2" i="12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7" i="10"/>
  <c r="C8" i="10"/>
  <c r="D8" i="10"/>
  <c r="E8" i="10"/>
  <c r="F8" i="10"/>
  <c r="C9" i="10"/>
  <c r="D9" i="10"/>
  <c r="E9" i="10"/>
  <c r="F9" i="10"/>
  <c r="C10" i="10"/>
  <c r="D10" i="10"/>
  <c r="E10" i="10"/>
  <c r="F10" i="10"/>
  <c r="C11" i="10"/>
  <c r="D11" i="10"/>
  <c r="E11" i="10"/>
  <c r="F11" i="10"/>
  <c r="C12" i="10"/>
  <c r="D12" i="10"/>
  <c r="E12" i="10"/>
  <c r="F12" i="10"/>
  <c r="C13" i="10"/>
  <c r="D13" i="10"/>
  <c r="E13" i="10"/>
  <c r="F13" i="10"/>
  <c r="C14" i="10"/>
  <c r="D14" i="10"/>
  <c r="E14" i="10"/>
  <c r="F14" i="10"/>
  <c r="C15" i="10"/>
  <c r="D15" i="10"/>
  <c r="E15" i="10"/>
  <c r="F15" i="10"/>
  <c r="C16" i="10"/>
  <c r="D16" i="10"/>
  <c r="E16" i="10"/>
  <c r="F16" i="10"/>
  <c r="C17" i="10"/>
  <c r="D17" i="10"/>
  <c r="E17" i="10"/>
  <c r="F17" i="10"/>
  <c r="C18" i="10"/>
  <c r="D18" i="10"/>
  <c r="E18" i="10"/>
  <c r="F18" i="10"/>
  <c r="C19" i="10"/>
  <c r="D19" i="10"/>
  <c r="E19" i="10"/>
  <c r="F19" i="10"/>
  <c r="C20" i="10"/>
  <c r="D20" i="10"/>
  <c r="E20" i="10"/>
  <c r="F20" i="10"/>
  <c r="C21" i="10"/>
  <c r="D21" i="10"/>
  <c r="E21" i="10"/>
  <c r="F21" i="10"/>
  <c r="C22" i="10"/>
  <c r="D22" i="10"/>
  <c r="E22" i="10"/>
  <c r="F22" i="10"/>
  <c r="C23" i="10"/>
  <c r="D23" i="10"/>
  <c r="E23" i="10"/>
  <c r="F23" i="10"/>
  <c r="C24" i="10"/>
  <c r="D24" i="10"/>
  <c r="E24" i="10"/>
  <c r="F24" i="10"/>
  <c r="C25" i="10"/>
  <c r="D25" i="10"/>
  <c r="E25" i="10"/>
  <c r="F25" i="10"/>
  <c r="C26" i="10"/>
  <c r="D26" i="10"/>
  <c r="E26" i="10"/>
  <c r="F26" i="10"/>
  <c r="C27" i="10"/>
  <c r="D27" i="10"/>
  <c r="E27" i="10"/>
  <c r="F27" i="10"/>
  <c r="C28" i="10"/>
  <c r="D28" i="10"/>
  <c r="E28" i="10"/>
  <c r="F28" i="10"/>
  <c r="C29" i="10"/>
  <c r="D29" i="10"/>
  <c r="E29" i="10"/>
  <c r="F29" i="10"/>
  <c r="C30" i="10"/>
  <c r="D30" i="10"/>
  <c r="E30" i="10"/>
  <c r="F30" i="10"/>
  <c r="C31" i="10"/>
  <c r="D31" i="10"/>
  <c r="E31" i="10"/>
  <c r="F31" i="10"/>
  <c r="C32" i="10"/>
  <c r="D32" i="10"/>
  <c r="E32" i="10"/>
  <c r="F32" i="10"/>
  <c r="C33" i="10"/>
  <c r="D33" i="10"/>
  <c r="E33" i="10"/>
  <c r="F33" i="10"/>
  <c r="C34" i="10"/>
  <c r="D34" i="10"/>
  <c r="E34" i="10"/>
  <c r="F34" i="10"/>
  <c r="C35" i="10"/>
  <c r="D35" i="10"/>
  <c r="E35" i="10"/>
  <c r="F35" i="10"/>
  <c r="C36" i="10"/>
  <c r="D36" i="10"/>
  <c r="E36" i="10"/>
  <c r="F36" i="10"/>
  <c r="C37" i="10"/>
  <c r="D37" i="10"/>
  <c r="E37" i="10"/>
  <c r="F37" i="10"/>
  <c r="C38" i="10"/>
  <c r="D38" i="10"/>
  <c r="E38" i="10"/>
  <c r="F38" i="10"/>
  <c r="C39" i="10"/>
  <c r="D39" i="10"/>
  <c r="E39" i="10"/>
  <c r="F39" i="10"/>
  <c r="C40" i="10"/>
  <c r="D40" i="10"/>
  <c r="E40" i="10"/>
  <c r="F40" i="10"/>
  <c r="C41" i="10"/>
  <c r="D41" i="10"/>
  <c r="E41" i="10"/>
  <c r="F41" i="10"/>
  <c r="C42" i="10"/>
  <c r="D42" i="10"/>
  <c r="E42" i="10"/>
  <c r="F42" i="10"/>
  <c r="C43" i="10"/>
  <c r="D43" i="10"/>
  <c r="E43" i="10"/>
  <c r="F43" i="10"/>
  <c r="C44" i="10"/>
  <c r="D44" i="10"/>
  <c r="E44" i="10"/>
  <c r="F44" i="10"/>
  <c r="C45" i="10"/>
  <c r="D45" i="10"/>
  <c r="E45" i="10"/>
  <c r="F45" i="10"/>
  <c r="C46" i="10"/>
  <c r="D46" i="10"/>
  <c r="E46" i="10"/>
  <c r="F46" i="10"/>
  <c r="C47" i="10"/>
  <c r="D47" i="10"/>
  <c r="E47" i="10"/>
  <c r="F47" i="10"/>
  <c r="C48" i="10"/>
  <c r="D48" i="10"/>
  <c r="E48" i="10"/>
  <c r="F48" i="10"/>
  <c r="C49" i="10"/>
  <c r="D49" i="10"/>
  <c r="E49" i="10"/>
  <c r="F49" i="10"/>
  <c r="C50" i="10"/>
  <c r="D50" i="10"/>
  <c r="E50" i="10"/>
  <c r="F50" i="10"/>
  <c r="C51" i="10"/>
  <c r="D51" i="10"/>
  <c r="E51" i="10"/>
  <c r="F51" i="10"/>
  <c r="C52" i="10"/>
  <c r="D52" i="10"/>
  <c r="E52" i="10"/>
  <c r="F52" i="10"/>
  <c r="C53" i="10"/>
  <c r="D53" i="10"/>
  <c r="E53" i="10"/>
  <c r="F53" i="10"/>
  <c r="D7" i="10"/>
  <c r="E7" i="10"/>
  <c r="F7" i="10"/>
  <c r="C7" i="10"/>
  <c r="G6" i="10"/>
  <c r="F6" i="10"/>
  <c r="E6" i="10"/>
  <c r="D6" i="10"/>
  <c r="C6" i="10"/>
  <c r="G5" i="10"/>
  <c r="F5" i="10"/>
  <c r="E5" i="10"/>
  <c r="D5" i="10"/>
  <c r="C5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G200" i="11"/>
  <c r="F200" i="11"/>
  <c r="E200" i="11"/>
  <c r="D200" i="11"/>
  <c r="C200" i="11"/>
  <c r="G199" i="11"/>
  <c r="F199" i="11"/>
  <c r="E199" i="11"/>
  <c r="D199" i="11"/>
  <c r="C199" i="11"/>
  <c r="G198" i="11"/>
  <c r="F198" i="11"/>
  <c r="E198" i="11"/>
  <c r="D198" i="11"/>
  <c r="C198" i="11"/>
  <c r="G197" i="11"/>
  <c r="F197" i="11"/>
  <c r="E197" i="11"/>
  <c r="D197" i="11"/>
  <c r="C197" i="11"/>
  <c r="G196" i="11"/>
  <c r="F196" i="11"/>
  <c r="E196" i="11"/>
  <c r="D196" i="11"/>
  <c r="C196" i="11"/>
  <c r="G195" i="11"/>
  <c r="F195" i="11"/>
  <c r="E195" i="11"/>
  <c r="D195" i="11"/>
  <c r="C195" i="11"/>
  <c r="G194" i="11"/>
  <c r="F194" i="11"/>
  <c r="E194" i="11"/>
  <c r="D194" i="11"/>
  <c r="C194" i="11"/>
  <c r="G193" i="11"/>
  <c r="F193" i="11"/>
  <c r="E193" i="11"/>
  <c r="D193" i="11"/>
  <c r="C193" i="11"/>
  <c r="G192" i="11"/>
  <c r="F192" i="11"/>
  <c r="E192" i="11"/>
  <c r="D192" i="11"/>
  <c r="C192" i="11"/>
  <c r="G191" i="11"/>
  <c r="F191" i="11"/>
  <c r="E191" i="11"/>
  <c r="D191" i="11"/>
  <c r="C191" i="11"/>
  <c r="G190" i="11"/>
  <c r="F190" i="11"/>
  <c r="E190" i="11"/>
  <c r="D190" i="11"/>
  <c r="C190" i="11"/>
  <c r="G189" i="11"/>
  <c r="F189" i="11"/>
  <c r="E189" i="11"/>
  <c r="D189" i="11"/>
  <c r="C189" i="11"/>
  <c r="G188" i="11"/>
  <c r="F188" i="11"/>
  <c r="E188" i="11"/>
  <c r="D188" i="11"/>
  <c r="C188" i="11"/>
  <c r="G187" i="11"/>
  <c r="F187" i="11"/>
  <c r="E187" i="11"/>
  <c r="D187" i="11"/>
  <c r="C187" i="11"/>
  <c r="G186" i="11"/>
  <c r="F186" i="11"/>
  <c r="E186" i="11"/>
  <c r="D186" i="11"/>
  <c r="C186" i="11"/>
  <c r="G185" i="11"/>
  <c r="F185" i="11"/>
  <c r="E185" i="11"/>
  <c r="D185" i="11"/>
  <c r="C185" i="11"/>
  <c r="G184" i="11"/>
  <c r="F184" i="11"/>
  <c r="E184" i="11"/>
  <c r="D184" i="11"/>
  <c r="C184" i="11"/>
  <c r="G183" i="11"/>
  <c r="F183" i="11"/>
  <c r="E183" i="11"/>
  <c r="D183" i="11"/>
  <c r="C183" i="11"/>
  <c r="G182" i="11"/>
  <c r="F182" i="11"/>
  <c r="E182" i="11"/>
  <c r="D182" i="11"/>
  <c r="C182" i="11"/>
  <c r="G181" i="11"/>
  <c r="F181" i="11"/>
  <c r="E181" i="11"/>
  <c r="D181" i="11"/>
  <c r="C181" i="11"/>
  <c r="G180" i="11"/>
  <c r="F180" i="11"/>
  <c r="E180" i="11"/>
  <c r="D180" i="11"/>
  <c r="C180" i="11"/>
  <c r="G179" i="11"/>
  <c r="F179" i="11"/>
  <c r="E179" i="11"/>
  <c r="D179" i="11"/>
  <c r="C179" i="11"/>
  <c r="G178" i="11"/>
  <c r="F178" i="11"/>
  <c r="E178" i="11"/>
  <c r="D178" i="11"/>
  <c r="C178" i="11"/>
  <c r="G177" i="11"/>
  <c r="F177" i="11"/>
  <c r="E177" i="11"/>
  <c r="D177" i="11"/>
  <c r="C177" i="11"/>
  <c r="G176" i="11"/>
  <c r="F176" i="11"/>
  <c r="E176" i="11"/>
  <c r="D176" i="11"/>
  <c r="C176" i="11"/>
  <c r="G175" i="11"/>
  <c r="F175" i="11"/>
  <c r="E175" i="11"/>
  <c r="D175" i="11"/>
  <c r="C175" i="11"/>
  <c r="G174" i="11"/>
  <c r="F174" i="11"/>
  <c r="E174" i="11"/>
  <c r="D174" i="11"/>
  <c r="C174" i="11"/>
  <c r="G173" i="11"/>
  <c r="F173" i="11"/>
  <c r="E173" i="11"/>
  <c r="D173" i="11"/>
  <c r="C173" i="11"/>
  <c r="G172" i="11"/>
  <c r="F172" i="11"/>
  <c r="E172" i="11"/>
  <c r="D172" i="11"/>
  <c r="C172" i="11"/>
  <c r="G171" i="11"/>
  <c r="F171" i="11"/>
  <c r="E171" i="11"/>
  <c r="D171" i="11"/>
  <c r="C171" i="11"/>
  <c r="G170" i="11"/>
  <c r="F170" i="11"/>
  <c r="E170" i="11"/>
  <c r="D170" i="11"/>
  <c r="C170" i="11"/>
  <c r="G169" i="11"/>
  <c r="F169" i="11"/>
  <c r="E169" i="11"/>
  <c r="D169" i="11"/>
  <c r="C169" i="11"/>
  <c r="G168" i="11"/>
  <c r="F168" i="11"/>
  <c r="E168" i="11"/>
  <c r="D168" i="11"/>
  <c r="C168" i="11"/>
  <c r="G167" i="11"/>
  <c r="F167" i="11"/>
  <c r="E167" i="11"/>
  <c r="D167" i="11"/>
  <c r="C167" i="11"/>
  <c r="G166" i="11"/>
  <c r="F166" i="11"/>
  <c r="E166" i="11"/>
  <c r="D166" i="11"/>
  <c r="C166" i="11"/>
  <c r="G165" i="11"/>
  <c r="F165" i="11"/>
  <c r="E165" i="11"/>
  <c r="D165" i="11"/>
  <c r="C165" i="11"/>
  <c r="G164" i="11"/>
  <c r="F164" i="11"/>
  <c r="E164" i="11"/>
  <c r="D164" i="11"/>
  <c r="C164" i="11"/>
  <c r="G163" i="11"/>
  <c r="F163" i="11"/>
  <c r="E163" i="11"/>
  <c r="D163" i="11"/>
  <c r="C163" i="11"/>
  <c r="G162" i="11"/>
  <c r="F162" i="11"/>
  <c r="E162" i="11"/>
  <c r="D162" i="11"/>
  <c r="C162" i="11"/>
  <c r="G161" i="11"/>
  <c r="F161" i="11"/>
  <c r="E161" i="11"/>
  <c r="D161" i="11"/>
  <c r="C161" i="11"/>
  <c r="G160" i="11"/>
  <c r="F160" i="11"/>
  <c r="E160" i="11"/>
  <c r="D160" i="11"/>
  <c r="C160" i="11"/>
  <c r="G159" i="11"/>
  <c r="F159" i="11"/>
  <c r="E159" i="11"/>
  <c r="D159" i="11"/>
  <c r="C159" i="11"/>
  <c r="G158" i="11"/>
  <c r="F158" i="11"/>
  <c r="E158" i="11"/>
  <c r="D158" i="11"/>
  <c r="C158" i="11"/>
  <c r="G157" i="11"/>
  <c r="F157" i="11"/>
  <c r="E157" i="11"/>
  <c r="D157" i="11"/>
  <c r="C157" i="11"/>
  <c r="G156" i="11"/>
  <c r="F156" i="11"/>
  <c r="E156" i="11"/>
  <c r="D156" i="11"/>
  <c r="C156" i="11"/>
  <c r="G155" i="11"/>
  <c r="F155" i="11"/>
  <c r="E155" i="11"/>
  <c r="D155" i="11"/>
  <c r="C155" i="11"/>
  <c r="G154" i="11"/>
  <c r="F154" i="11"/>
  <c r="E154" i="11"/>
  <c r="D154" i="11"/>
  <c r="C154" i="11"/>
  <c r="G153" i="11"/>
  <c r="F153" i="11"/>
  <c r="E153" i="11"/>
  <c r="D153" i="11"/>
  <c r="C153" i="11"/>
  <c r="G152" i="11"/>
  <c r="F152" i="11"/>
  <c r="E152" i="11"/>
  <c r="D152" i="11"/>
  <c r="C152" i="11"/>
  <c r="G151" i="11"/>
  <c r="F151" i="11"/>
  <c r="E151" i="11"/>
  <c r="D151" i="11"/>
  <c r="C151" i="11"/>
  <c r="G150" i="11"/>
  <c r="F150" i="11"/>
  <c r="E150" i="11"/>
  <c r="D150" i="11"/>
  <c r="C150" i="11"/>
  <c r="G149" i="11"/>
  <c r="F149" i="11"/>
  <c r="E149" i="11"/>
  <c r="D149" i="11"/>
  <c r="C149" i="11"/>
  <c r="G148" i="11"/>
  <c r="F148" i="11"/>
  <c r="E148" i="11"/>
  <c r="D148" i="11"/>
  <c r="C148" i="11"/>
  <c r="G147" i="11"/>
  <c r="F147" i="11"/>
  <c r="E147" i="11"/>
  <c r="D147" i="11"/>
  <c r="C147" i="11"/>
  <c r="G146" i="11"/>
  <c r="F146" i="11"/>
  <c r="E146" i="11"/>
  <c r="D146" i="11"/>
  <c r="C146" i="11"/>
  <c r="G145" i="11"/>
  <c r="F145" i="11"/>
  <c r="E145" i="11"/>
  <c r="D145" i="11"/>
  <c r="C145" i="11"/>
  <c r="G144" i="11"/>
  <c r="F144" i="11"/>
  <c r="E144" i="11"/>
  <c r="D144" i="11"/>
  <c r="C144" i="11"/>
  <c r="G143" i="11"/>
  <c r="F143" i="11"/>
  <c r="E143" i="11"/>
  <c r="D143" i="11"/>
  <c r="C143" i="11"/>
  <c r="G142" i="11"/>
  <c r="F142" i="11"/>
  <c r="E142" i="11"/>
  <c r="D142" i="11"/>
  <c r="C142" i="11"/>
  <c r="G141" i="11"/>
  <c r="F141" i="11"/>
  <c r="E141" i="11"/>
  <c r="D141" i="11"/>
  <c r="C141" i="11"/>
  <c r="G140" i="11"/>
  <c r="F140" i="11"/>
  <c r="E140" i="11"/>
  <c r="D140" i="11"/>
  <c r="C140" i="11"/>
  <c r="G139" i="11"/>
  <c r="F139" i="11"/>
  <c r="E139" i="11"/>
  <c r="D139" i="11"/>
  <c r="C139" i="11"/>
  <c r="G138" i="11"/>
  <c r="F138" i="11"/>
  <c r="E138" i="11"/>
  <c r="D138" i="11"/>
  <c r="C138" i="11"/>
  <c r="G137" i="11"/>
  <c r="F137" i="11"/>
  <c r="E137" i="11"/>
  <c r="D137" i="11"/>
  <c r="C137" i="11"/>
  <c r="G136" i="11"/>
  <c r="F136" i="11"/>
  <c r="E136" i="11"/>
  <c r="D136" i="11"/>
  <c r="C136" i="11"/>
  <c r="G135" i="11"/>
  <c r="F135" i="11"/>
  <c r="E135" i="11"/>
  <c r="D135" i="11"/>
  <c r="C135" i="11"/>
  <c r="G134" i="11"/>
  <c r="F134" i="11"/>
  <c r="E134" i="11"/>
  <c r="D134" i="11"/>
  <c r="C134" i="11"/>
  <c r="G133" i="11"/>
  <c r="F133" i="11"/>
  <c r="E133" i="11"/>
  <c r="D133" i="11"/>
  <c r="C133" i="11"/>
  <c r="G132" i="11"/>
  <c r="F132" i="11"/>
  <c r="E132" i="11"/>
  <c r="D132" i="11"/>
  <c r="C132" i="11"/>
  <c r="G131" i="11"/>
  <c r="F131" i="11"/>
  <c r="E131" i="11"/>
  <c r="D131" i="11"/>
  <c r="C131" i="11"/>
  <c r="G130" i="11"/>
  <c r="F130" i="11"/>
  <c r="E130" i="11"/>
  <c r="D130" i="11"/>
  <c r="C130" i="11"/>
  <c r="G129" i="11"/>
  <c r="F129" i="11"/>
  <c r="E129" i="11"/>
  <c r="D129" i="11"/>
  <c r="C129" i="11"/>
  <c r="G128" i="11"/>
  <c r="F128" i="11"/>
  <c r="E128" i="11"/>
  <c r="D128" i="11"/>
  <c r="C128" i="11"/>
  <c r="G127" i="11"/>
  <c r="F127" i="11"/>
  <c r="E127" i="11"/>
  <c r="D127" i="11"/>
  <c r="C127" i="11"/>
  <c r="G126" i="11"/>
  <c r="F126" i="11"/>
  <c r="E126" i="11"/>
  <c r="D126" i="11"/>
  <c r="C126" i="11"/>
  <c r="G125" i="11"/>
  <c r="F125" i="11"/>
  <c r="E125" i="11"/>
  <c r="D125" i="11"/>
  <c r="C125" i="11"/>
  <c r="G124" i="11"/>
  <c r="F124" i="11"/>
  <c r="E124" i="11"/>
  <c r="D124" i="11"/>
  <c r="C124" i="11"/>
  <c r="G123" i="11"/>
  <c r="F123" i="11"/>
  <c r="E123" i="11"/>
  <c r="D123" i="11"/>
  <c r="C123" i="11"/>
  <c r="G122" i="11"/>
  <c r="F122" i="11"/>
  <c r="E122" i="11"/>
  <c r="D122" i="11"/>
  <c r="C122" i="11"/>
  <c r="G121" i="11"/>
  <c r="F121" i="11"/>
  <c r="E121" i="11"/>
  <c r="D121" i="11"/>
  <c r="C121" i="11"/>
  <c r="G120" i="11"/>
  <c r="F120" i="11"/>
  <c r="E120" i="11"/>
  <c r="D120" i="11"/>
  <c r="C120" i="11"/>
  <c r="G119" i="11"/>
  <c r="F119" i="11"/>
  <c r="E119" i="11"/>
  <c r="D119" i="11"/>
  <c r="C119" i="11"/>
  <c r="G118" i="11"/>
  <c r="F118" i="11"/>
  <c r="E118" i="11"/>
  <c r="D118" i="11"/>
  <c r="C118" i="11"/>
  <c r="G117" i="11"/>
  <c r="F117" i="11"/>
  <c r="E117" i="11"/>
  <c r="D117" i="11"/>
  <c r="C117" i="11"/>
  <c r="G116" i="11"/>
  <c r="F116" i="11"/>
  <c r="E116" i="11"/>
  <c r="D116" i="11"/>
  <c r="C116" i="11"/>
  <c r="G115" i="11"/>
  <c r="F115" i="11"/>
  <c r="E115" i="11"/>
  <c r="D115" i="11"/>
  <c r="C115" i="11"/>
  <c r="G114" i="11"/>
  <c r="F114" i="11"/>
  <c r="E114" i="11"/>
  <c r="D114" i="11"/>
  <c r="C114" i="11"/>
  <c r="G113" i="11"/>
  <c r="F113" i="11"/>
  <c r="E113" i="11"/>
  <c r="D113" i="11"/>
  <c r="C113" i="11"/>
  <c r="G112" i="11"/>
  <c r="F112" i="11"/>
  <c r="E112" i="11"/>
  <c r="D112" i="11"/>
  <c r="C112" i="11"/>
  <c r="G111" i="11"/>
  <c r="F111" i="11"/>
  <c r="E111" i="11"/>
  <c r="D111" i="11"/>
  <c r="C111" i="11"/>
  <c r="G110" i="11"/>
  <c r="F110" i="11"/>
  <c r="E110" i="11"/>
  <c r="D110" i="11"/>
  <c r="C110" i="11"/>
  <c r="G109" i="11"/>
  <c r="F109" i="11"/>
  <c r="E109" i="11"/>
  <c r="D109" i="11"/>
  <c r="C109" i="11"/>
  <c r="G108" i="11"/>
  <c r="F108" i="11"/>
  <c r="E108" i="11"/>
  <c r="D108" i="11"/>
  <c r="C108" i="11"/>
  <c r="G107" i="11"/>
  <c r="F107" i="11"/>
  <c r="E107" i="11"/>
  <c r="D107" i="11"/>
  <c r="C107" i="11"/>
  <c r="G106" i="11"/>
  <c r="F106" i="11"/>
  <c r="E106" i="11"/>
  <c r="D106" i="11"/>
  <c r="C106" i="11"/>
  <c r="G105" i="11"/>
  <c r="F105" i="11"/>
  <c r="E105" i="11"/>
  <c r="D105" i="11"/>
  <c r="C105" i="11"/>
  <c r="G104" i="11"/>
  <c r="F104" i="11"/>
  <c r="E104" i="11"/>
  <c r="D104" i="11"/>
  <c r="C104" i="11"/>
  <c r="G103" i="11"/>
  <c r="F103" i="11"/>
  <c r="E103" i="11"/>
  <c r="D103" i="11"/>
  <c r="C103" i="11"/>
  <c r="G102" i="11"/>
  <c r="F102" i="11"/>
  <c r="E102" i="11"/>
  <c r="D102" i="11"/>
  <c r="C102" i="11"/>
  <c r="G101" i="11"/>
  <c r="F101" i="11"/>
  <c r="E101" i="11"/>
  <c r="D101" i="11"/>
  <c r="C101" i="11"/>
  <c r="G100" i="11"/>
  <c r="F100" i="11"/>
  <c r="E100" i="11"/>
  <c r="D100" i="11"/>
  <c r="C100" i="11"/>
  <c r="G99" i="11"/>
  <c r="F99" i="11"/>
  <c r="E99" i="11"/>
  <c r="D99" i="11"/>
  <c r="C99" i="11"/>
  <c r="G98" i="11"/>
  <c r="F98" i="11"/>
  <c r="E98" i="11"/>
  <c r="D98" i="11"/>
  <c r="C98" i="11"/>
  <c r="G97" i="11"/>
  <c r="F97" i="11"/>
  <c r="E97" i="11"/>
  <c r="D97" i="11"/>
  <c r="C97" i="11"/>
  <c r="G96" i="11"/>
  <c r="F96" i="11"/>
  <c r="E96" i="11"/>
  <c r="D96" i="11"/>
  <c r="C96" i="11"/>
  <c r="G95" i="11"/>
  <c r="F95" i="11"/>
  <c r="E95" i="11"/>
  <c r="D95" i="11"/>
  <c r="C95" i="11"/>
  <c r="G94" i="11"/>
  <c r="F94" i="11"/>
  <c r="E94" i="11"/>
  <c r="D94" i="11"/>
  <c r="C94" i="11"/>
  <c r="G93" i="11"/>
  <c r="F93" i="11"/>
  <c r="E93" i="11"/>
  <c r="D93" i="11"/>
  <c r="C93" i="11"/>
  <c r="G92" i="11"/>
  <c r="F92" i="11"/>
  <c r="E92" i="11"/>
  <c r="D92" i="11"/>
  <c r="C92" i="11"/>
  <c r="G91" i="11"/>
  <c r="F91" i="11"/>
  <c r="E91" i="11"/>
  <c r="D91" i="11"/>
  <c r="C91" i="11"/>
  <c r="G90" i="11"/>
  <c r="F90" i="11"/>
  <c r="E90" i="11"/>
  <c r="D90" i="11"/>
  <c r="C90" i="11"/>
  <c r="G89" i="11"/>
  <c r="F89" i="11"/>
  <c r="E89" i="11"/>
  <c r="D89" i="11"/>
  <c r="C89" i="11"/>
  <c r="G88" i="11"/>
  <c r="F88" i="11"/>
  <c r="E88" i="11"/>
  <c r="D88" i="11"/>
  <c r="C88" i="11"/>
  <c r="G87" i="11"/>
  <c r="F87" i="11"/>
  <c r="E87" i="11"/>
  <c r="D87" i="11"/>
  <c r="C87" i="11"/>
  <c r="G86" i="11"/>
  <c r="F86" i="11"/>
  <c r="E86" i="11"/>
  <c r="D86" i="11"/>
  <c r="C86" i="11"/>
  <c r="G85" i="11"/>
  <c r="F85" i="11"/>
  <c r="E85" i="11"/>
  <c r="D85" i="11"/>
  <c r="C85" i="11"/>
  <c r="G84" i="11"/>
  <c r="F84" i="11"/>
  <c r="E84" i="11"/>
  <c r="D84" i="11"/>
  <c r="C84" i="11"/>
  <c r="G83" i="11"/>
  <c r="F83" i="11"/>
  <c r="E83" i="11"/>
  <c r="D83" i="11"/>
  <c r="C83" i="11"/>
  <c r="G82" i="11"/>
  <c r="F82" i="11"/>
  <c r="E82" i="11"/>
  <c r="D82" i="11"/>
  <c r="C82" i="11"/>
  <c r="G81" i="11"/>
  <c r="F81" i="11"/>
  <c r="E81" i="11"/>
  <c r="D81" i="11"/>
  <c r="C81" i="11"/>
  <c r="G80" i="11"/>
  <c r="F80" i="11"/>
  <c r="E80" i="11"/>
  <c r="D80" i="11"/>
  <c r="C80" i="11"/>
  <c r="G79" i="11"/>
  <c r="F79" i="11"/>
  <c r="E79" i="11"/>
  <c r="D79" i="11"/>
  <c r="C79" i="11"/>
  <c r="G78" i="11"/>
  <c r="F78" i="11"/>
  <c r="E78" i="11"/>
  <c r="D78" i="11"/>
  <c r="C78" i="11"/>
  <c r="G77" i="11"/>
  <c r="F77" i="11"/>
  <c r="E77" i="11"/>
  <c r="D77" i="11"/>
  <c r="C77" i="11"/>
  <c r="G76" i="11"/>
  <c r="F76" i="11"/>
  <c r="E76" i="11"/>
  <c r="D76" i="11"/>
  <c r="C76" i="11"/>
  <c r="G75" i="11"/>
  <c r="F75" i="11"/>
  <c r="E75" i="11"/>
  <c r="D75" i="11"/>
  <c r="C75" i="11"/>
  <c r="G74" i="11"/>
  <c r="F74" i="11"/>
  <c r="E74" i="11"/>
  <c r="D74" i="11"/>
  <c r="C74" i="11"/>
  <c r="G73" i="11"/>
  <c r="F73" i="11"/>
  <c r="E73" i="11"/>
  <c r="D73" i="11"/>
  <c r="C73" i="11"/>
  <c r="G72" i="11"/>
  <c r="F72" i="11"/>
  <c r="E72" i="11"/>
  <c r="D72" i="11"/>
  <c r="C72" i="11"/>
  <c r="G71" i="11"/>
  <c r="F71" i="11"/>
  <c r="E71" i="11"/>
  <c r="D71" i="11"/>
  <c r="C71" i="11"/>
  <c r="G70" i="11"/>
  <c r="F70" i="11"/>
  <c r="E70" i="11"/>
  <c r="D70" i="11"/>
  <c r="C70" i="11"/>
  <c r="G69" i="11"/>
  <c r="F69" i="11"/>
  <c r="E69" i="11"/>
  <c r="D69" i="11"/>
  <c r="C69" i="11"/>
  <c r="G68" i="11"/>
  <c r="F68" i="11"/>
  <c r="E68" i="11"/>
  <c r="D68" i="11"/>
  <c r="C68" i="11"/>
  <c r="G67" i="11"/>
  <c r="F67" i="11"/>
  <c r="E67" i="11"/>
  <c r="D67" i="11"/>
  <c r="C67" i="11"/>
  <c r="G66" i="11"/>
  <c r="F66" i="11"/>
  <c r="E66" i="11"/>
  <c r="D66" i="11"/>
  <c r="C66" i="11"/>
  <c r="G65" i="11"/>
  <c r="F65" i="11"/>
  <c r="E65" i="11"/>
  <c r="D65" i="11"/>
  <c r="C65" i="11"/>
  <c r="G64" i="11"/>
  <c r="F64" i="11"/>
  <c r="E64" i="11"/>
  <c r="D64" i="11"/>
  <c r="C64" i="11"/>
  <c r="G63" i="11"/>
  <c r="F63" i="11"/>
  <c r="E63" i="11"/>
  <c r="D63" i="11"/>
  <c r="C63" i="11"/>
  <c r="G62" i="11"/>
  <c r="F62" i="11"/>
  <c r="E62" i="11"/>
  <c r="D62" i="11"/>
  <c r="C62" i="11"/>
  <c r="G61" i="11"/>
  <c r="F61" i="11"/>
  <c r="E61" i="11"/>
  <c r="D61" i="11"/>
  <c r="C61" i="11"/>
  <c r="G60" i="11"/>
  <c r="F60" i="11"/>
  <c r="E60" i="11"/>
  <c r="D60" i="11"/>
  <c r="C60" i="11"/>
  <c r="G59" i="11"/>
  <c r="F59" i="11"/>
  <c r="E59" i="11"/>
  <c r="D59" i="11"/>
  <c r="C59" i="11"/>
  <c r="G58" i="11"/>
  <c r="F58" i="11"/>
  <c r="E58" i="11"/>
  <c r="D58" i="11"/>
  <c r="C58" i="11"/>
  <c r="G57" i="11"/>
  <c r="F57" i="11"/>
  <c r="E57" i="11"/>
  <c r="D57" i="11"/>
  <c r="C57" i="11"/>
  <c r="G56" i="11"/>
  <c r="F56" i="11"/>
  <c r="E56" i="11"/>
  <c r="D56" i="11"/>
  <c r="C56" i="11"/>
  <c r="G55" i="11"/>
  <c r="F55" i="11"/>
  <c r="E55" i="11"/>
  <c r="D55" i="11"/>
  <c r="C55" i="11"/>
  <c r="G54" i="11"/>
  <c r="F54" i="11"/>
  <c r="E54" i="11"/>
  <c r="D54" i="11"/>
  <c r="C54" i="1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H3" i="11"/>
  <c r="H4" i="11" s="1"/>
  <c r="H5" i="11" s="1"/>
  <c r="H6" i="11" s="1"/>
  <c r="H7" i="11" s="1"/>
  <c r="H8" i="11" s="1"/>
  <c r="H9" i="11" s="1"/>
  <c r="H10" i="11" s="1"/>
  <c r="H11" i="11" s="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H4" i="10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I3" i="10"/>
  <c r="I4" i="10" s="1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52" i="10" s="1"/>
  <c r="I53" i="10" s="1"/>
  <c r="H3" i="10"/>
  <c r="B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G200" i="9"/>
  <c r="F200" i="9"/>
  <c r="E200" i="9"/>
  <c r="D200" i="9"/>
  <c r="C200" i="9"/>
  <c r="G199" i="9"/>
  <c r="F199" i="9"/>
  <c r="E199" i="9"/>
  <c r="D199" i="9"/>
  <c r="C199" i="9"/>
  <c r="G198" i="9"/>
  <c r="F198" i="9"/>
  <c r="E198" i="9"/>
  <c r="D198" i="9"/>
  <c r="C198" i="9"/>
  <c r="G197" i="9"/>
  <c r="F197" i="9"/>
  <c r="E197" i="9"/>
  <c r="D197" i="9"/>
  <c r="C197" i="9"/>
  <c r="G196" i="9"/>
  <c r="F196" i="9"/>
  <c r="E196" i="9"/>
  <c r="D196" i="9"/>
  <c r="C196" i="9"/>
  <c r="G195" i="9"/>
  <c r="F195" i="9"/>
  <c r="E195" i="9"/>
  <c r="D195" i="9"/>
  <c r="C195" i="9"/>
  <c r="G194" i="9"/>
  <c r="F194" i="9"/>
  <c r="E194" i="9"/>
  <c r="D194" i="9"/>
  <c r="C194" i="9"/>
  <c r="G193" i="9"/>
  <c r="F193" i="9"/>
  <c r="E193" i="9"/>
  <c r="D193" i="9"/>
  <c r="C193" i="9"/>
  <c r="G192" i="9"/>
  <c r="F192" i="9"/>
  <c r="E192" i="9"/>
  <c r="D192" i="9"/>
  <c r="C192" i="9"/>
  <c r="G191" i="9"/>
  <c r="F191" i="9"/>
  <c r="E191" i="9"/>
  <c r="D191" i="9"/>
  <c r="C191" i="9"/>
  <c r="G190" i="9"/>
  <c r="F190" i="9"/>
  <c r="E190" i="9"/>
  <c r="D190" i="9"/>
  <c r="C190" i="9"/>
  <c r="G189" i="9"/>
  <c r="F189" i="9"/>
  <c r="E189" i="9"/>
  <c r="D189" i="9"/>
  <c r="C189" i="9"/>
  <c r="G188" i="9"/>
  <c r="F188" i="9"/>
  <c r="E188" i="9"/>
  <c r="D188" i="9"/>
  <c r="C188" i="9"/>
  <c r="G187" i="9"/>
  <c r="F187" i="9"/>
  <c r="E187" i="9"/>
  <c r="D187" i="9"/>
  <c r="C187" i="9"/>
  <c r="G186" i="9"/>
  <c r="F186" i="9"/>
  <c r="E186" i="9"/>
  <c r="D186" i="9"/>
  <c r="C186" i="9"/>
  <c r="G185" i="9"/>
  <c r="F185" i="9"/>
  <c r="E185" i="9"/>
  <c r="D185" i="9"/>
  <c r="C185" i="9"/>
  <c r="G184" i="9"/>
  <c r="F184" i="9"/>
  <c r="E184" i="9"/>
  <c r="D184" i="9"/>
  <c r="C184" i="9"/>
  <c r="G183" i="9"/>
  <c r="F183" i="9"/>
  <c r="E183" i="9"/>
  <c r="D183" i="9"/>
  <c r="C183" i="9"/>
  <c r="G182" i="9"/>
  <c r="F182" i="9"/>
  <c r="E182" i="9"/>
  <c r="D182" i="9"/>
  <c r="C182" i="9"/>
  <c r="G181" i="9"/>
  <c r="F181" i="9"/>
  <c r="E181" i="9"/>
  <c r="D181" i="9"/>
  <c r="C181" i="9"/>
  <c r="G180" i="9"/>
  <c r="F180" i="9"/>
  <c r="E180" i="9"/>
  <c r="D180" i="9"/>
  <c r="C180" i="9"/>
  <c r="G179" i="9"/>
  <c r="F179" i="9"/>
  <c r="E179" i="9"/>
  <c r="D179" i="9"/>
  <c r="C179" i="9"/>
  <c r="G178" i="9"/>
  <c r="F178" i="9"/>
  <c r="E178" i="9"/>
  <c r="D178" i="9"/>
  <c r="C178" i="9"/>
  <c r="G177" i="9"/>
  <c r="F177" i="9"/>
  <c r="E177" i="9"/>
  <c r="D177" i="9"/>
  <c r="C177" i="9"/>
  <c r="G176" i="9"/>
  <c r="F176" i="9"/>
  <c r="E176" i="9"/>
  <c r="D176" i="9"/>
  <c r="C176" i="9"/>
  <c r="G175" i="9"/>
  <c r="F175" i="9"/>
  <c r="E175" i="9"/>
  <c r="D175" i="9"/>
  <c r="C175" i="9"/>
  <c r="G174" i="9"/>
  <c r="F174" i="9"/>
  <c r="E174" i="9"/>
  <c r="D174" i="9"/>
  <c r="C174" i="9"/>
  <c r="G173" i="9"/>
  <c r="F173" i="9"/>
  <c r="E173" i="9"/>
  <c r="D173" i="9"/>
  <c r="C173" i="9"/>
  <c r="G172" i="9"/>
  <c r="F172" i="9"/>
  <c r="E172" i="9"/>
  <c r="D172" i="9"/>
  <c r="C172" i="9"/>
  <c r="G171" i="9"/>
  <c r="F171" i="9"/>
  <c r="E171" i="9"/>
  <c r="D171" i="9"/>
  <c r="C171" i="9"/>
  <c r="G170" i="9"/>
  <c r="F170" i="9"/>
  <c r="E170" i="9"/>
  <c r="D170" i="9"/>
  <c r="C170" i="9"/>
  <c r="G169" i="9"/>
  <c r="F169" i="9"/>
  <c r="E169" i="9"/>
  <c r="D169" i="9"/>
  <c r="C169" i="9"/>
  <c r="G168" i="9"/>
  <c r="F168" i="9"/>
  <c r="E168" i="9"/>
  <c r="D168" i="9"/>
  <c r="C168" i="9"/>
  <c r="G167" i="9"/>
  <c r="F167" i="9"/>
  <c r="E167" i="9"/>
  <c r="D167" i="9"/>
  <c r="C167" i="9"/>
  <c r="G166" i="9"/>
  <c r="F166" i="9"/>
  <c r="E166" i="9"/>
  <c r="D166" i="9"/>
  <c r="C166" i="9"/>
  <c r="G165" i="9"/>
  <c r="F165" i="9"/>
  <c r="E165" i="9"/>
  <c r="D165" i="9"/>
  <c r="C165" i="9"/>
  <c r="G164" i="9"/>
  <c r="F164" i="9"/>
  <c r="E164" i="9"/>
  <c r="D164" i="9"/>
  <c r="C164" i="9"/>
  <c r="G163" i="9"/>
  <c r="F163" i="9"/>
  <c r="E163" i="9"/>
  <c r="D163" i="9"/>
  <c r="C163" i="9"/>
  <c r="G162" i="9"/>
  <c r="F162" i="9"/>
  <c r="E162" i="9"/>
  <c r="D162" i="9"/>
  <c r="C162" i="9"/>
  <c r="G161" i="9"/>
  <c r="F161" i="9"/>
  <c r="E161" i="9"/>
  <c r="D161" i="9"/>
  <c r="C161" i="9"/>
  <c r="G160" i="9"/>
  <c r="F160" i="9"/>
  <c r="E160" i="9"/>
  <c r="D160" i="9"/>
  <c r="C160" i="9"/>
  <c r="G159" i="9"/>
  <c r="F159" i="9"/>
  <c r="E159" i="9"/>
  <c r="D159" i="9"/>
  <c r="C159" i="9"/>
  <c r="G158" i="9"/>
  <c r="F158" i="9"/>
  <c r="E158" i="9"/>
  <c r="D158" i="9"/>
  <c r="C158" i="9"/>
  <c r="G157" i="9"/>
  <c r="F157" i="9"/>
  <c r="E157" i="9"/>
  <c r="D157" i="9"/>
  <c r="C157" i="9"/>
  <c r="G156" i="9"/>
  <c r="F156" i="9"/>
  <c r="E156" i="9"/>
  <c r="D156" i="9"/>
  <c r="C156" i="9"/>
  <c r="G155" i="9"/>
  <c r="F155" i="9"/>
  <c r="E155" i="9"/>
  <c r="D155" i="9"/>
  <c r="C155" i="9"/>
  <c r="G154" i="9"/>
  <c r="F154" i="9"/>
  <c r="E154" i="9"/>
  <c r="D154" i="9"/>
  <c r="C154" i="9"/>
  <c r="G153" i="9"/>
  <c r="F153" i="9"/>
  <c r="E153" i="9"/>
  <c r="D153" i="9"/>
  <c r="C153" i="9"/>
  <c r="G152" i="9"/>
  <c r="F152" i="9"/>
  <c r="E152" i="9"/>
  <c r="D152" i="9"/>
  <c r="C152" i="9"/>
  <c r="G151" i="9"/>
  <c r="F151" i="9"/>
  <c r="E151" i="9"/>
  <c r="D151" i="9"/>
  <c r="C151" i="9"/>
  <c r="G150" i="9"/>
  <c r="F150" i="9"/>
  <c r="E150" i="9"/>
  <c r="D150" i="9"/>
  <c r="C150" i="9"/>
  <c r="G149" i="9"/>
  <c r="F149" i="9"/>
  <c r="E149" i="9"/>
  <c r="D149" i="9"/>
  <c r="C149" i="9"/>
  <c r="G148" i="9"/>
  <c r="F148" i="9"/>
  <c r="E148" i="9"/>
  <c r="D148" i="9"/>
  <c r="C148" i="9"/>
  <c r="G147" i="9"/>
  <c r="F147" i="9"/>
  <c r="E147" i="9"/>
  <c r="D147" i="9"/>
  <c r="C147" i="9"/>
  <c r="G146" i="9"/>
  <c r="F146" i="9"/>
  <c r="E146" i="9"/>
  <c r="D146" i="9"/>
  <c r="C146" i="9"/>
  <c r="G145" i="9"/>
  <c r="F145" i="9"/>
  <c r="E145" i="9"/>
  <c r="D145" i="9"/>
  <c r="C145" i="9"/>
  <c r="G144" i="9"/>
  <c r="F144" i="9"/>
  <c r="E144" i="9"/>
  <c r="D144" i="9"/>
  <c r="C144" i="9"/>
  <c r="G143" i="9"/>
  <c r="F143" i="9"/>
  <c r="E143" i="9"/>
  <c r="D143" i="9"/>
  <c r="C143" i="9"/>
  <c r="G142" i="9"/>
  <c r="F142" i="9"/>
  <c r="E142" i="9"/>
  <c r="D142" i="9"/>
  <c r="C142" i="9"/>
  <c r="G141" i="9"/>
  <c r="F141" i="9"/>
  <c r="E141" i="9"/>
  <c r="D141" i="9"/>
  <c r="C141" i="9"/>
  <c r="G140" i="9"/>
  <c r="F140" i="9"/>
  <c r="E140" i="9"/>
  <c r="D140" i="9"/>
  <c r="C140" i="9"/>
  <c r="G139" i="9"/>
  <c r="F139" i="9"/>
  <c r="E139" i="9"/>
  <c r="D139" i="9"/>
  <c r="C139" i="9"/>
  <c r="G138" i="9"/>
  <c r="F138" i="9"/>
  <c r="E138" i="9"/>
  <c r="D138" i="9"/>
  <c r="C138" i="9"/>
  <c r="G137" i="9"/>
  <c r="F137" i="9"/>
  <c r="E137" i="9"/>
  <c r="D137" i="9"/>
  <c r="C137" i="9"/>
  <c r="G136" i="9"/>
  <c r="F136" i="9"/>
  <c r="E136" i="9"/>
  <c r="D136" i="9"/>
  <c r="C136" i="9"/>
  <c r="G135" i="9"/>
  <c r="F135" i="9"/>
  <c r="E135" i="9"/>
  <c r="D135" i="9"/>
  <c r="C135" i="9"/>
  <c r="G134" i="9"/>
  <c r="F134" i="9"/>
  <c r="E134" i="9"/>
  <c r="D134" i="9"/>
  <c r="C134" i="9"/>
  <c r="G133" i="9"/>
  <c r="F133" i="9"/>
  <c r="E133" i="9"/>
  <c r="D133" i="9"/>
  <c r="C133" i="9"/>
  <c r="G132" i="9"/>
  <c r="F132" i="9"/>
  <c r="E132" i="9"/>
  <c r="D132" i="9"/>
  <c r="C132" i="9"/>
  <c r="G131" i="9"/>
  <c r="F131" i="9"/>
  <c r="E131" i="9"/>
  <c r="D131" i="9"/>
  <c r="C131" i="9"/>
  <c r="G130" i="9"/>
  <c r="F130" i="9"/>
  <c r="E130" i="9"/>
  <c r="D130" i="9"/>
  <c r="C130" i="9"/>
  <c r="G129" i="9"/>
  <c r="F129" i="9"/>
  <c r="E129" i="9"/>
  <c r="D129" i="9"/>
  <c r="C129" i="9"/>
  <c r="G128" i="9"/>
  <c r="F128" i="9"/>
  <c r="E128" i="9"/>
  <c r="D128" i="9"/>
  <c r="C128" i="9"/>
  <c r="G127" i="9"/>
  <c r="F127" i="9"/>
  <c r="E127" i="9"/>
  <c r="D127" i="9"/>
  <c r="C127" i="9"/>
  <c r="G126" i="9"/>
  <c r="F126" i="9"/>
  <c r="E126" i="9"/>
  <c r="D126" i="9"/>
  <c r="C126" i="9"/>
  <c r="G125" i="9"/>
  <c r="F125" i="9"/>
  <c r="E125" i="9"/>
  <c r="D125" i="9"/>
  <c r="C125" i="9"/>
  <c r="G124" i="9"/>
  <c r="F124" i="9"/>
  <c r="E124" i="9"/>
  <c r="D124" i="9"/>
  <c r="C124" i="9"/>
  <c r="G123" i="9"/>
  <c r="F123" i="9"/>
  <c r="E123" i="9"/>
  <c r="D123" i="9"/>
  <c r="C123" i="9"/>
  <c r="G122" i="9"/>
  <c r="F122" i="9"/>
  <c r="E122" i="9"/>
  <c r="D122" i="9"/>
  <c r="C122" i="9"/>
  <c r="G121" i="9"/>
  <c r="F121" i="9"/>
  <c r="E121" i="9"/>
  <c r="D121" i="9"/>
  <c r="C121" i="9"/>
  <c r="G120" i="9"/>
  <c r="F120" i="9"/>
  <c r="E120" i="9"/>
  <c r="D120" i="9"/>
  <c r="C120" i="9"/>
  <c r="G119" i="9"/>
  <c r="F119" i="9"/>
  <c r="E119" i="9"/>
  <c r="D119" i="9"/>
  <c r="C119" i="9"/>
  <c r="G118" i="9"/>
  <c r="F118" i="9"/>
  <c r="E118" i="9"/>
  <c r="D118" i="9"/>
  <c r="C118" i="9"/>
  <c r="G117" i="9"/>
  <c r="F117" i="9"/>
  <c r="E117" i="9"/>
  <c r="D117" i="9"/>
  <c r="C117" i="9"/>
  <c r="G116" i="9"/>
  <c r="F116" i="9"/>
  <c r="E116" i="9"/>
  <c r="D116" i="9"/>
  <c r="C116" i="9"/>
  <c r="G115" i="9"/>
  <c r="F115" i="9"/>
  <c r="E115" i="9"/>
  <c r="D115" i="9"/>
  <c r="C115" i="9"/>
  <c r="G114" i="9"/>
  <c r="F114" i="9"/>
  <c r="E114" i="9"/>
  <c r="D114" i="9"/>
  <c r="C114" i="9"/>
  <c r="G113" i="9"/>
  <c r="F113" i="9"/>
  <c r="E113" i="9"/>
  <c r="D113" i="9"/>
  <c r="C113" i="9"/>
  <c r="G112" i="9"/>
  <c r="F112" i="9"/>
  <c r="E112" i="9"/>
  <c r="D112" i="9"/>
  <c r="C112" i="9"/>
  <c r="G111" i="9"/>
  <c r="F111" i="9"/>
  <c r="E111" i="9"/>
  <c r="D111" i="9"/>
  <c r="C111" i="9"/>
  <c r="G110" i="9"/>
  <c r="F110" i="9"/>
  <c r="E110" i="9"/>
  <c r="D110" i="9"/>
  <c r="C110" i="9"/>
  <c r="G109" i="9"/>
  <c r="F109" i="9"/>
  <c r="E109" i="9"/>
  <c r="D109" i="9"/>
  <c r="C109" i="9"/>
  <c r="G108" i="9"/>
  <c r="F108" i="9"/>
  <c r="E108" i="9"/>
  <c r="D108" i="9"/>
  <c r="C108" i="9"/>
  <c r="G107" i="9"/>
  <c r="F107" i="9"/>
  <c r="E107" i="9"/>
  <c r="D107" i="9"/>
  <c r="C107" i="9"/>
  <c r="G106" i="9"/>
  <c r="F106" i="9"/>
  <c r="E106" i="9"/>
  <c r="D106" i="9"/>
  <c r="C106" i="9"/>
  <c r="G105" i="9"/>
  <c r="F105" i="9"/>
  <c r="E105" i="9"/>
  <c r="D105" i="9"/>
  <c r="C105" i="9"/>
  <c r="G104" i="9"/>
  <c r="F104" i="9"/>
  <c r="E104" i="9"/>
  <c r="D104" i="9"/>
  <c r="C104" i="9"/>
  <c r="G103" i="9"/>
  <c r="F103" i="9"/>
  <c r="E103" i="9"/>
  <c r="D103" i="9"/>
  <c r="C103" i="9"/>
  <c r="G102" i="9"/>
  <c r="F102" i="9"/>
  <c r="E102" i="9"/>
  <c r="D102" i="9"/>
  <c r="C102" i="9"/>
  <c r="G101" i="9"/>
  <c r="F101" i="9"/>
  <c r="E101" i="9"/>
  <c r="D101" i="9"/>
  <c r="C101" i="9"/>
  <c r="G100" i="9"/>
  <c r="F100" i="9"/>
  <c r="E100" i="9"/>
  <c r="D100" i="9"/>
  <c r="C100" i="9"/>
  <c r="G99" i="9"/>
  <c r="F99" i="9"/>
  <c r="E99" i="9"/>
  <c r="D99" i="9"/>
  <c r="C99" i="9"/>
  <c r="G98" i="9"/>
  <c r="F98" i="9"/>
  <c r="E98" i="9"/>
  <c r="D98" i="9"/>
  <c r="C98" i="9"/>
  <c r="G97" i="9"/>
  <c r="F97" i="9"/>
  <c r="E97" i="9"/>
  <c r="D97" i="9"/>
  <c r="C97" i="9"/>
  <c r="G96" i="9"/>
  <c r="F96" i="9"/>
  <c r="E96" i="9"/>
  <c r="D96" i="9"/>
  <c r="C96" i="9"/>
  <c r="G95" i="9"/>
  <c r="F95" i="9"/>
  <c r="E95" i="9"/>
  <c r="D95" i="9"/>
  <c r="C95" i="9"/>
  <c r="G94" i="9"/>
  <c r="F94" i="9"/>
  <c r="E94" i="9"/>
  <c r="D94" i="9"/>
  <c r="C94" i="9"/>
  <c r="G93" i="9"/>
  <c r="F93" i="9"/>
  <c r="E93" i="9"/>
  <c r="D93" i="9"/>
  <c r="C93" i="9"/>
  <c r="G92" i="9"/>
  <c r="F92" i="9"/>
  <c r="E92" i="9"/>
  <c r="D92" i="9"/>
  <c r="C92" i="9"/>
  <c r="G91" i="9"/>
  <c r="F91" i="9"/>
  <c r="E91" i="9"/>
  <c r="D91" i="9"/>
  <c r="C91" i="9"/>
  <c r="G90" i="9"/>
  <c r="F90" i="9"/>
  <c r="E90" i="9"/>
  <c r="D90" i="9"/>
  <c r="C90" i="9"/>
  <c r="G89" i="9"/>
  <c r="F89" i="9"/>
  <c r="E89" i="9"/>
  <c r="D89" i="9"/>
  <c r="C89" i="9"/>
  <c r="G88" i="9"/>
  <c r="F88" i="9"/>
  <c r="E88" i="9"/>
  <c r="D88" i="9"/>
  <c r="C88" i="9"/>
  <c r="G87" i="9"/>
  <c r="F87" i="9"/>
  <c r="E87" i="9"/>
  <c r="D87" i="9"/>
  <c r="C87" i="9"/>
  <c r="G86" i="9"/>
  <c r="F86" i="9"/>
  <c r="E86" i="9"/>
  <c r="D86" i="9"/>
  <c r="C86" i="9"/>
  <c r="G85" i="9"/>
  <c r="F85" i="9"/>
  <c r="E85" i="9"/>
  <c r="D85" i="9"/>
  <c r="C85" i="9"/>
  <c r="G84" i="9"/>
  <c r="F84" i="9"/>
  <c r="E84" i="9"/>
  <c r="D84" i="9"/>
  <c r="C84" i="9"/>
  <c r="G83" i="9"/>
  <c r="F83" i="9"/>
  <c r="E83" i="9"/>
  <c r="D83" i="9"/>
  <c r="C83" i="9"/>
  <c r="G82" i="9"/>
  <c r="F82" i="9"/>
  <c r="E82" i="9"/>
  <c r="D82" i="9"/>
  <c r="C82" i="9"/>
  <c r="G81" i="9"/>
  <c r="F81" i="9"/>
  <c r="E81" i="9"/>
  <c r="D81" i="9"/>
  <c r="C81" i="9"/>
  <c r="G80" i="9"/>
  <c r="F80" i="9"/>
  <c r="E80" i="9"/>
  <c r="D80" i="9"/>
  <c r="C80" i="9"/>
  <c r="G79" i="9"/>
  <c r="F79" i="9"/>
  <c r="E79" i="9"/>
  <c r="D79" i="9"/>
  <c r="C79" i="9"/>
  <c r="G78" i="9"/>
  <c r="F78" i="9"/>
  <c r="E78" i="9"/>
  <c r="D78" i="9"/>
  <c r="C78" i="9"/>
  <c r="G77" i="9"/>
  <c r="F77" i="9"/>
  <c r="E77" i="9"/>
  <c r="D77" i="9"/>
  <c r="C77" i="9"/>
  <c r="G76" i="9"/>
  <c r="F76" i="9"/>
  <c r="E76" i="9"/>
  <c r="D76" i="9"/>
  <c r="C76" i="9"/>
  <c r="G75" i="9"/>
  <c r="F75" i="9"/>
  <c r="E75" i="9"/>
  <c r="D75" i="9"/>
  <c r="C75" i="9"/>
  <c r="G74" i="9"/>
  <c r="F74" i="9"/>
  <c r="E74" i="9"/>
  <c r="D74" i="9"/>
  <c r="C74" i="9"/>
  <c r="G73" i="9"/>
  <c r="F73" i="9"/>
  <c r="E73" i="9"/>
  <c r="D73" i="9"/>
  <c r="C73" i="9"/>
  <c r="G72" i="9"/>
  <c r="F72" i="9"/>
  <c r="E72" i="9"/>
  <c r="D72" i="9"/>
  <c r="C72" i="9"/>
  <c r="G71" i="9"/>
  <c r="F71" i="9"/>
  <c r="E71" i="9"/>
  <c r="D71" i="9"/>
  <c r="C71" i="9"/>
  <c r="G70" i="9"/>
  <c r="F70" i="9"/>
  <c r="E70" i="9"/>
  <c r="D70" i="9"/>
  <c r="C70" i="9"/>
  <c r="G69" i="9"/>
  <c r="F69" i="9"/>
  <c r="E69" i="9"/>
  <c r="D69" i="9"/>
  <c r="C69" i="9"/>
  <c r="G68" i="9"/>
  <c r="F68" i="9"/>
  <c r="E68" i="9"/>
  <c r="D68" i="9"/>
  <c r="C68" i="9"/>
  <c r="G67" i="9"/>
  <c r="F67" i="9"/>
  <c r="E67" i="9"/>
  <c r="D67" i="9"/>
  <c r="C67" i="9"/>
  <c r="G66" i="9"/>
  <c r="F66" i="9"/>
  <c r="E66" i="9"/>
  <c r="D66" i="9"/>
  <c r="C66" i="9"/>
  <c r="G65" i="9"/>
  <c r="F65" i="9"/>
  <c r="E65" i="9"/>
  <c r="D65" i="9"/>
  <c r="C65" i="9"/>
  <c r="G64" i="9"/>
  <c r="F64" i="9"/>
  <c r="E64" i="9"/>
  <c r="D64" i="9"/>
  <c r="C64" i="9"/>
  <c r="G63" i="9"/>
  <c r="F63" i="9"/>
  <c r="E63" i="9"/>
  <c r="D63" i="9"/>
  <c r="C63" i="9"/>
  <c r="G62" i="9"/>
  <c r="F62" i="9"/>
  <c r="E62" i="9"/>
  <c r="D62" i="9"/>
  <c r="C62" i="9"/>
  <c r="G61" i="9"/>
  <c r="F61" i="9"/>
  <c r="E61" i="9"/>
  <c r="D61" i="9"/>
  <c r="C61" i="9"/>
  <c r="G60" i="9"/>
  <c r="F60" i="9"/>
  <c r="E60" i="9"/>
  <c r="D60" i="9"/>
  <c r="C60" i="9"/>
  <c r="G59" i="9"/>
  <c r="F59" i="9"/>
  <c r="E59" i="9"/>
  <c r="D59" i="9"/>
  <c r="C59" i="9"/>
  <c r="G58" i="9"/>
  <c r="F58" i="9"/>
  <c r="E58" i="9"/>
  <c r="D58" i="9"/>
  <c r="C58" i="9"/>
  <c r="G57" i="9"/>
  <c r="F57" i="9"/>
  <c r="E57" i="9"/>
  <c r="D57" i="9"/>
  <c r="C57" i="9"/>
  <c r="G56" i="9"/>
  <c r="F56" i="9"/>
  <c r="E56" i="9"/>
  <c r="D56" i="9"/>
  <c r="C56" i="9"/>
  <c r="G55" i="9"/>
  <c r="F55" i="9"/>
  <c r="E55" i="9"/>
  <c r="D55" i="9"/>
  <c r="C55" i="9"/>
  <c r="G54" i="9"/>
  <c r="F54" i="9"/>
  <c r="E54" i="9"/>
  <c r="D54" i="9"/>
  <c r="C54" i="9"/>
  <c r="I3" i="9"/>
  <c r="I4" i="9" s="1"/>
  <c r="I5" i="9" s="1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50" i="9" s="1"/>
  <c r="I51" i="9" s="1"/>
  <c r="I52" i="9" s="1"/>
  <c r="I53" i="9" s="1"/>
  <c r="H3" i="9"/>
  <c r="H4" i="9" s="1"/>
  <c r="H5" i="9" s="1"/>
  <c r="H6" i="9" s="1"/>
  <c r="H7" i="9" s="1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I3" i="1"/>
  <c r="I4" i="1" s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A4" i="8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A1" i="8"/>
  <c r="A2" i="8" l="1"/>
  <c r="A54" i="1" l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<sst xmlns="http://schemas.openxmlformats.org/spreadsheetml/2006/main" count="104" uniqueCount="31">
  <si>
    <t>ゼロ</t>
    <phoneticPr fontId="1"/>
  </si>
  <si>
    <t>カリブレーション</t>
    <phoneticPr fontId="1"/>
  </si>
  <si>
    <t>ベンチマーク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</si>
  <si>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</si>
  <si>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</si>
  <si>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</si>
  <si>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</si>
  <si>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</si>
  <si>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</si>
  <si>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</si>
  <si>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</si>
  <si>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</si>
  <si>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</si>
  <si>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</si>
  <si>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</si>
  <si>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期</t>
    <rPh sb="0" eb="1">
      <t>キ</t>
    </rPh>
    <phoneticPr fontId="1"/>
  </si>
  <si>
    <t>物価目標</t>
    <rPh sb="0" eb="4">
      <t>ブッカモクヒョウ</t>
    </rPh>
    <phoneticPr fontId="1"/>
  </si>
  <si>
    <t>ターミナルレート</t>
    <phoneticPr fontId="1"/>
  </si>
  <si>
    <t>縦軸</t>
    <rPh sb="0" eb="2">
      <t>タテジク</t>
    </rPh>
    <phoneticPr fontId="1"/>
  </si>
  <si>
    <t>benchmark</t>
  </si>
  <si>
    <t>25bps利上げパターン</t>
    <rPh sb="5" eb="7">
      <t>リア</t>
    </rPh>
    <phoneticPr fontId="1"/>
  </si>
  <si>
    <t>25hike</t>
  </si>
  <si>
    <t>25bps利上げ&amp;直近で輸入物価ショック5％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</si>
  <si>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IPI_plus</t>
  </si>
  <si>
    <t>25bps利上げ&amp;ターミナルレート付近で輸入物価ショック5％</t>
    <rPh sb="5" eb="7">
      <t>リア</t>
    </rPh>
    <rPh sb="17" eb="19">
      <t>フキン</t>
    </rPh>
    <rPh sb="20" eb="22">
      <t>ユニュウ</t>
    </rPh>
    <rPh sb="22" eb="24">
      <t>ブッカ</t>
    </rPh>
    <phoneticPr fontId="1"/>
  </si>
  <si>
    <t>IPI_minus</t>
  </si>
  <si>
    <t>IPI_minus</t>
    <phoneticPr fontId="1"/>
  </si>
  <si>
    <t>25bps利上げ&amp;直近で輸入物価ショック▲5％</t>
    <rPh sb="5" eb="7">
      <t>リア</t>
    </rPh>
    <rPh sb="9" eb="11">
      <t>チョッキン</t>
    </rPh>
    <rPh sb="12" eb="14">
      <t>ユニュウ</t>
    </rPh>
    <rPh sb="14" eb="16">
      <t>ブッカ</t>
    </rPh>
    <phoneticPr fontId="1"/>
  </si>
  <si>
    <t>IPIzero</t>
  </si>
  <si>
    <t>IPIzero</t>
    <phoneticPr fontId="1"/>
  </si>
  <si>
    <t>過去に輸入物価ショック5％</t>
    <rPh sb="0" eb="2">
      <t>カコ</t>
    </rPh>
    <rPh sb="3" eb="5">
      <t>チョクユニュウ</t>
    </rPh>
    <rPh sb="5" eb="7">
      <t>ブッカ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</si>
</sst>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0"/>
      <color rgb="FF0000FF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>
      <alignment vertical="center"/>
    </xf>
    <xf numFmtId="0" fontId="6" fillId="3" borderId="0" xfId="0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>
      <alignment vertical="center"/>
    </xf>
    <xf numFmtId="0" fontId="9" fillId="2" borderId="1" xfId="0" applyFont="1" applyFill="1" applyBorder="1">
      <alignment vertical="center"/>
    </xf>
    <xf numFmtId="176" fontId="10" fillId="0" borderId="0" xfId="0" applyNumberFormat="1" applyFont="1" applyAlignment="1">
      <alignment vertical="center" wrapText="1"/>
    </xf>
    <xf numFmtId="176" fontId="9" fillId="0" borderId="0" xfId="0" applyNumberFormat="1" applyFont="1">
      <alignment vertical="center"/>
    </xf>
    <xf numFmtId="0" fontId="12" fillId="0" borderId="0" xfId="0" applyFont="1" applyAlignment="1">
      <alignment vertical="center" wrapText="1"/>
    </xf>
    <xf numFmtId="176" fontId="5" fillId="0" borderId="0" xfId="0" applyNumberFormat="1" applyFont="1">
      <alignment vertical="center"/>
    </xf>
    <xf numFmtId="0" fontId="5" fillId="0" borderId="0" xfId="0" applyFont="1">
      <alignment vertical="center"/>
    </xf>
    <xf numFmtId="176" fontId="9" fillId="2" borderId="0" xfId="0" applyNumberFormat="1" applyFont="1" applyFill="1">
      <alignment vertical="center"/>
    </xf>
    <xf numFmtId="0" fontId="2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11" fillId="2" borderId="4" xfId="0" applyFont="1" applyFill="1" applyBorder="1">
      <alignment vertical="center"/>
    </xf>
    <xf numFmtId="0" fontId="11" fillId="2" borderId="5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3" fillId="0" borderId="0" xfId="0" applyFont="1" applyAlignment="1">
      <alignment horizontal="center" vertical="center"/>
    </xf>
    <xf numFmtId="176" fontId="10" fillId="0" borderId="0" xfId="0" applyNumberFormat="1" applyFont="1" applyFill="1" applyAlignment="1">
      <alignment vertical="center" wrapText="1"/>
    </xf>
    <xf numFmtId="176" fontId="9" fillId="0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1.4860880493934758</c:v>
                </c:pt>
                <c:pt idx="2">
                  <c:v>1.6823611648084293</c:v>
                </c:pt>
                <c:pt idx="3">
                  <c:v>1.86647929190935</c:v>
                </c:pt>
                <c:pt idx="4">
                  <c:v>2.0181482613658881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2.1100256656772012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2.0181705650975434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E-4A75-BC3F-DAC4A864028F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1.5513878077363521</c:v>
                </c:pt>
                <c:pt idx="3">
                  <c:v>1.6600384839000062</c:v>
                </c:pt>
                <c:pt idx="4">
                  <c:v>1.7481303365945939</c:v>
                </c:pt>
                <c:pt idx="5">
                  <c:v>1.810713896064194</c:v>
                </c:pt>
                <c:pt idx="6">
                  <c:v>1.8485298505934096</c:v>
                </c:pt>
                <c:pt idx="7">
                  <c:v>1.8681783761752564</c:v>
                </c:pt>
                <c:pt idx="8">
                  <c:v>1.8778486451314116</c:v>
                </c:pt>
                <c:pt idx="9">
                  <c:v>1.8841029198827006</c:v>
                </c:pt>
                <c:pt idx="10">
                  <c:v>1.8906987606110179</c:v>
                </c:pt>
                <c:pt idx="11">
                  <c:v>1.8988942557461408</c:v>
                </c:pt>
                <c:pt idx="12">
                  <c:v>1.9083927339788556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1.9361803478724735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1.9596180506185361</c:v>
                </c:pt>
                <c:pt idx="20">
                  <c:v>1.9637414923014205</c:v>
                </c:pt>
                <c:pt idx="21">
                  <c:v>1.9674581151009236</c:v>
                </c:pt>
                <c:pt idx="22">
                  <c:v>1.970826375015069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E-4A75-BC3F-DAC4A864028F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1.6798530095973663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1.8145831724956447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1.8812783212370634</c:v>
                </c:pt>
                <c:pt idx="19">
                  <c:v>1.893825039887139</c:v>
                </c:pt>
                <c:pt idx="20">
                  <c:v>1.9050161371560754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FE-4A75-BC3F-DAC4A864028F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FE-4A75-BC3F-DAC4A864028F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FE-4A75-BC3F-DAC4A8640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-1.0000000000004976E-5</c:v>
                </c:pt>
                <c:pt idx="2">
                  <c:v>-9.9999999999981526E-6</c:v>
                </c:pt>
                <c:pt idx="3">
                  <c:v>-9.9999999999961231E-6</c:v>
                </c:pt>
                <c:pt idx="4">
                  <c:v>0.21972549121774831</c:v>
                </c:pt>
                <c:pt idx="5">
                  <c:v>0.53464176442118072</c:v>
                </c:pt>
                <c:pt idx="6">
                  <c:v>0.72249314916556939</c:v>
                </c:pt>
                <c:pt idx="7">
                  <c:v>0.79376250322361697</c:v>
                </c:pt>
                <c:pt idx="8">
                  <c:v>0.78972003917163069</c:v>
                </c:pt>
                <c:pt idx="9">
                  <c:v>0.7537867837257558</c:v>
                </c:pt>
                <c:pt idx="10">
                  <c:v>0.71661634988494438</c:v>
                </c:pt>
                <c:pt idx="11">
                  <c:v>0.69293776830641951</c:v>
                </c:pt>
                <c:pt idx="12">
                  <c:v>0.68515997910814563</c:v>
                </c:pt>
                <c:pt idx="13">
                  <c:v>0.68907069780361707</c:v>
                </c:pt>
                <c:pt idx="14">
                  <c:v>0.69869515533087745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0.72374184609358205</c:v>
                </c:pt>
                <c:pt idx="18">
                  <c:v>0.7273846139071285</c:v>
                </c:pt>
                <c:pt idx="19">
                  <c:v>0.72955903351779716</c:v>
                </c:pt>
                <c:pt idx="20">
                  <c:v>0.73105289835919829</c:v>
                </c:pt>
                <c:pt idx="21">
                  <c:v>0.73238586490048141</c:v>
                </c:pt>
                <c:pt idx="22">
                  <c:v>0.73378870841345378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A4-4B32-802A-F8CD1AEBB628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5.0232967956058687E-2</c:v>
                </c:pt>
                <c:pt idx="2">
                  <c:v>0.13615592072401358</c:v>
                </c:pt>
                <c:pt idx="3">
                  <c:v>0.24774535458654837</c:v>
                </c:pt>
                <c:pt idx="4">
                  <c:v>0.33954837962445611</c:v>
                </c:pt>
                <c:pt idx="5">
                  <c:v>0.37489509211216554</c:v>
                </c:pt>
                <c:pt idx="6">
                  <c:v>0.35969419459574459</c:v>
                </c:pt>
                <c:pt idx="7">
                  <c:v>0.31547471801959809</c:v>
                </c:pt>
                <c:pt idx="8">
                  <c:v>0.26327088883191951</c:v>
                </c:pt>
                <c:pt idx="9">
                  <c:v>0.21668730322318777</c:v>
                </c:pt>
                <c:pt idx="10">
                  <c:v>0.18119790590537352</c:v>
                </c:pt>
                <c:pt idx="11">
                  <c:v>0.15651849202618223</c:v>
                </c:pt>
                <c:pt idx="12">
                  <c:v>0.13963351566524013</c:v>
                </c:pt>
                <c:pt idx="13">
                  <c:v>0.12713843392930771</c:v>
                </c:pt>
                <c:pt idx="14">
                  <c:v>0.11649034860870687</c:v>
                </c:pt>
                <c:pt idx="15">
                  <c:v>0.10633028113800491</c:v>
                </c:pt>
                <c:pt idx="16">
                  <c:v>9.6257470846779172E-2</c:v>
                </c:pt>
                <c:pt idx="17">
                  <c:v>8.641533432093404E-2</c:v>
                </c:pt>
                <c:pt idx="18">
                  <c:v>7.7121768530052814E-2</c:v>
                </c:pt>
                <c:pt idx="19">
                  <c:v>6.8640303604220257E-2</c:v>
                </c:pt>
                <c:pt idx="20">
                  <c:v>6.1092340614564838E-2</c:v>
                </c:pt>
                <c:pt idx="21">
                  <c:v>5.4464762812490124E-2</c:v>
                </c:pt>
                <c:pt idx="22">
                  <c:v>4.8660170690647389E-2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4-4B32-802A-F8CD1AEBB62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4-4B32-802A-F8CD1AEBB628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A4-4B32-802A-F8CD1AEBB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5303314100473484"/>
          <c:w val="0.4388255418582177"/>
          <c:h val="0.1301411558713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2.0301758284179581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2.0208434802619761</c:v>
                </c:pt>
                <c:pt idx="20">
                  <c:v>2.0183326407871034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83-486F-AA24-93523B0B5A77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1.8768310834529216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1.898654848834715</c:v>
                </c:pt>
                <c:pt idx="12">
                  <c:v>1.9079960058588568</c:v>
                </c:pt>
                <c:pt idx="13">
                  <c:v>1.9177727558025737</c:v>
                </c:pt>
                <c:pt idx="14">
                  <c:v>1.9271640785754036</c:v>
                </c:pt>
                <c:pt idx="15">
                  <c:v>1.9356322630129754</c:v>
                </c:pt>
                <c:pt idx="16">
                  <c:v>1.9429778864962757</c:v>
                </c:pt>
                <c:pt idx="17">
                  <c:v>1.9492530707801157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83-486F-AA24-93523B0B5A77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1.6371707110464644</c:v>
                </c:pt>
                <c:pt idx="9">
                  <c:v>1.6772116298587489</c:v>
                </c:pt>
                <c:pt idx="10">
                  <c:v>1.711543819725682</c:v>
                </c:pt>
                <c:pt idx="11">
                  <c:v>1.7414282299387804</c:v>
                </c:pt>
                <c:pt idx="12">
                  <c:v>1.7679190620783689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1.8328097441998401</c:v>
                </c:pt>
                <c:pt idx="16">
                  <c:v>1.8504248479824543</c:v>
                </c:pt>
                <c:pt idx="17">
                  <c:v>1.8662481096978045</c:v>
                </c:pt>
                <c:pt idx="18">
                  <c:v>1.8804064372369707</c:v>
                </c:pt>
                <c:pt idx="19">
                  <c:v>1.8930457711092212</c:v>
                </c:pt>
                <c:pt idx="20">
                  <c:v>1.9043215893802308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83-486F-AA24-93523B0B5A77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83-486F-AA24-93523B0B5A77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83-486F-AA24-93523B0B5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0.68702652005285147</c:v>
                </c:pt>
                <c:pt idx="13">
                  <c:v>0.68969543000576261</c:v>
                </c:pt>
                <c:pt idx="14">
                  <c:v>0.69843759197845157</c:v>
                </c:pt>
                <c:pt idx="15">
                  <c:v>0.70850734603149168</c:v>
                </c:pt>
                <c:pt idx="16">
                  <c:v>0.71707764509176086</c:v>
                </c:pt>
                <c:pt idx="17">
                  <c:v>0.72316885295556466</c:v>
                </c:pt>
                <c:pt idx="18">
                  <c:v>0.72701260424075986</c:v>
                </c:pt>
                <c:pt idx="19">
                  <c:v>0.72935354739595382</c:v>
                </c:pt>
                <c:pt idx="20">
                  <c:v>0.73094865524743424</c:v>
                </c:pt>
                <c:pt idx="21">
                  <c:v>0.73232356973955259</c:v>
                </c:pt>
                <c:pt idx="22">
                  <c:v>0.73373069930579304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71-426C-9552-7415379BA98E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0.2661805135780213</c:v>
                </c:pt>
                <c:pt idx="9">
                  <c:v>0.22016011688356751</c:v>
                </c:pt>
                <c:pt idx="10">
                  <c:v>0.18422664229325839</c:v>
                </c:pt>
                <c:pt idx="11">
                  <c:v>0.15872259311044459</c:v>
                </c:pt>
                <c:pt idx="12">
                  <c:v>0.14106041591928237</c:v>
                </c:pt>
                <c:pt idx="13">
                  <c:v>0.12802841753733576</c:v>
                </c:pt>
                <c:pt idx="14">
                  <c:v>0.11710118413182996</c:v>
                </c:pt>
                <c:pt idx="15">
                  <c:v>0.10684755665791355</c:v>
                </c:pt>
                <c:pt idx="16">
                  <c:v>9.6774989132813696E-2</c:v>
                </c:pt>
                <c:pt idx="17">
                  <c:v>8.6955304163263303E-2</c:v>
                </c:pt>
                <c:pt idx="18">
                  <c:v>7.7667424784810146E-2</c:v>
                </c:pt>
                <c:pt idx="19">
                  <c:v>6.9163872027702356E-2</c:v>
                </c:pt>
                <c:pt idx="20">
                  <c:v>6.15717186971333E-2</c:v>
                </c:pt>
                <c:pt idx="21">
                  <c:v>5.4889424530941082E-2</c:v>
                </c:pt>
                <c:pt idx="22">
                  <c:v>4.9030038327224051E-2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71-426C-9552-7415379BA98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71-426C-9552-7415379BA98E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71-426C-9552-7415379BA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4709062247179758"/>
          <c:w val="0.4388255418582177"/>
          <c:h val="0.13608367440426253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2.7563505341658141</c:v>
                </c:pt>
                <c:pt idx="6">
                  <c:v>2.5482625426785668</c:v>
                </c:pt>
                <c:pt idx="7">
                  <c:v>2.2794879275066431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2.0081168830929443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</c:v>
                </c:pt>
                <c:pt idx="15">
                  <c:v>2.0317502515435808</c:v>
                </c:pt>
                <c:pt idx="16">
                  <c:v>2.0276750033804758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2.0153665318868539</c:v>
                </c:pt>
                <c:pt idx="20">
                  <c:v>2.0132097748029558</c:v>
                </c:pt>
                <c:pt idx="21">
                  <c:v>2.0117885395687578</c:v>
                </c:pt>
                <c:pt idx="22">
                  <c:v>2.0107670519318308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4C-4452-B22A-99FA8261E86B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1.9757981731736383</c:v>
                </c:pt>
                <c:pt idx="6">
                  <c:v>2.0287332614161233</c:v>
                </c:pt>
                <c:pt idx="7">
                  <c:v>1.9656224068483541</c:v>
                </c:pt>
                <c:pt idx="8">
                  <c:v>1.9171966386632895</c:v>
                </c:pt>
                <c:pt idx="9">
                  <c:v>1.8982059779824196</c:v>
                </c:pt>
                <c:pt idx="10">
                  <c:v>1.8996441026388853</c:v>
                </c:pt>
                <c:pt idx="11">
                  <c:v>1.9109065796495364</c:v>
                </c:pt>
                <c:pt idx="12">
                  <c:v>1.9245517138985693</c:v>
                </c:pt>
                <c:pt idx="13">
                  <c:v>1.9366436262060651</c:v>
                </c:pt>
                <c:pt idx="14">
                  <c:v>1.9458798278148384</c:v>
                </c:pt>
                <c:pt idx="15">
                  <c:v>1.952484543704037</c:v>
                </c:pt>
                <c:pt idx="16">
                  <c:v>1.957280861548969</c:v>
                </c:pt>
                <c:pt idx="17">
                  <c:v>1.961097730642428</c:v>
                </c:pt>
                <c:pt idx="18">
                  <c:v>1.9645029030473069</c:v>
                </c:pt>
                <c:pt idx="19">
                  <c:v>1.9677664613162373</c:v>
                </c:pt>
                <c:pt idx="20">
                  <c:v>1.9709414686023963</c:v>
                </c:pt>
                <c:pt idx="21">
                  <c:v>1.9739724942149606</c:v>
                </c:pt>
                <c:pt idx="22">
                  <c:v>1.976781600804548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4C-4452-B22A-99FA8261E86B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1.53604142903053</c:v>
                </c:pt>
                <c:pt idx="6">
                  <c:v>1.6271413292588535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1.7511821761786202</c:v>
                </c:pt>
                <c:pt idx="10">
                  <c:v>1.7739437375235696</c:v>
                </c:pt>
                <c:pt idx="11">
                  <c:v>1.7950193206248133</c:v>
                </c:pt>
                <c:pt idx="12">
                  <c:v>1.8152586590046484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1.8685262659561905</c:v>
                </c:pt>
                <c:pt idx="16">
                  <c:v>1.8828496523243761</c:v>
                </c:pt>
                <c:pt idx="17">
                  <c:v>1.8954486383025486</c:v>
                </c:pt>
                <c:pt idx="18">
                  <c:v>1.9065288587586722</c:v>
                </c:pt>
                <c:pt idx="19">
                  <c:v>1.9163242493402086</c:v>
                </c:pt>
                <c:pt idx="20">
                  <c:v>1.9250439466318561</c:v>
                </c:pt>
                <c:pt idx="21">
                  <c:v>1.9328509599961772</c:v>
                </c:pt>
                <c:pt idx="22">
                  <c:v>1.9398634082703861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4C-4452-B22A-99FA8261E86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4C-4452-B22A-99FA8261E86B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4C-4452-B22A-99FA8261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0.91246723999525803</c:v>
                </c:pt>
                <c:pt idx="6">
                  <c:v>1.0818309287822399</c:v>
                </c:pt>
                <c:pt idx="7">
                  <c:v>0.94903306240078833</c:v>
                </c:pt>
                <c:pt idx="8">
                  <c:v>0.76424605568600756</c:v>
                </c:pt>
                <c:pt idx="9">
                  <c:v>0.64122482694430227</c:v>
                </c:pt>
                <c:pt idx="10">
                  <c:v>0.59891645670079385</c:v>
                </c:pt>
                <c:pt idx="11">
                  <c:v>0.61352263231586301</c:v>
                </c:pt>
                <c:pt idx="12">
                  <c:v>0.65277963299109754</c:v>
                </c:pt>
                <c:pt idx="13">
                  <c:v>0.69246623650170824</c:v>
                </c:pt>
                <c:pt idx="14">
                  <c:v>0.72059457177432373</c:v>
                </c:pt>
                <c:pt idx="15">
                  <c:v>0.73506086315884434</c:v>
                </c:pt>
                <c:pt idx="16">
                  <c:v>0.73919974473413219</c:v>
                </c:pt>
                <c:pt idx="17">
                  <c:v>0.73786786607383859</c:v>
                </c:pt>
                <c:pt idx="18">
                  <c:v>0.73507644734236732</c:v>
                </c:pt>
                <c:pt idx="19">
                  <c:v>0.73313705285737041</c:v>
                </c:pt>
                <c:pt idx="20">
                  <c:v>0.73280688099257363</c:v>
                </c:pt>
                <c:pt idx="21">
                  <c:v>0.7338629295655722</c:v>
                </c:pt>
                <c:pt idx="22">
                  <c:v>0.73569364686882865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6E3-9F9C-11331CA604EA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0.32978792578780958</c:v>
                </c:pt>
                <c:pt idx="6">
                  <c:v>0.25895431493178589</c:v>
                </c:pt>
                <c:pt idx="7">
                  <c:v>0.17729617606896003</c:v>
                </c:pt>
                <c:pt idx="8">
                  <c:v>0.12160718506841942</c:v>
                </c:pt>
                <c:pt idx="9">
                  <c:v>9.8200365551925198E-2</c:v>
                </c:pt>
                <c:pt idx="10">
                  <c:v>9.6691450327223344E-2</c:v>
                </c:pt>
                <c:pt idx="11">
                  <c:v>0.10338883262913764</c:v>
                </c:pt>
                <c:pt idx="12">
                  <c:v>0.1084761717941522</c:v>
                </c:pt>
                <c:pt idx="13">
                  <c:v>0.10772400740855483</c:v>
                </c:pt>
                <c:pt idx="14">
                  <c:v>0.10118812670805671</c:v>
                </c:pt>
                <c:pt idx="15">
                  <c:v>9.103884797231318E-2</c:v>
                </c:pt>
                <c:pt idx="16">
                  <c:v>7.9767287598277198E-2</c:v>
                </c:pt>
                <c:pt idx="17">
                  <c:v>6.9196915523773259E-2</c:v>
                </c:pt>
                <c:pt idx="18">
                  <c:v>6.0219268998726899E-2</c:v>
                </c:pt>
                <c:pt idx="19">
                  <c:v>5.2968587873418432E-2</c:v>
                </c:pt>
                <c:pt idx="20">
                  <c:v>4.7151873613329835E-2</c:v>
                </c:pt>
                <c:pt idx="21">
                  <c:v>4.2346744525925559E-2</c:v>
                </c:pt>
                <c:pt idx="22">
                  <c:v>3.8187363010929148E-2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6E3-9F9C-11331CA604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0B-46E3-9F9C-11331CA604EA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0B-46E3-9F9C-11331CA6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1.9812073166884199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2.0143058773289528</c:v>
                </c:pt>
                <c:pt idx="16">
                  <c:v>2.0252806851742076</c:v>
                </c:pt>
                <c:pt idx="17">
                  <c:v>2.0279907225024041</c:v>
                </c:pt>
                <c:pt idx="18">
                  <c:v>2.0251372832586076</c:v>
                </c:pt>
                <c:pt idx="19">
                  <c:v>2.0199853640802297</c:v>
                </c:pt>
                <c:pt idx="20">
                  <c:v>2.0149321591603853</c:v>
                </c:pt>
                <c:pt idx="21">
                  <c:v>2.0111502835285799</c:v>
                </c:pt>
                <c:pt idx="22">
                  <c:v>2.0088328413027083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5B-40E4-8ED2-2223A4E52B31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2.047651624985539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1.9390204040450829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1.9618487568997671</c:v>
                </c:pt>
                <c:pt idx="17">
                  <c:v>1.9679688200195504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5B-40E4-8ED2-2223A4E52B31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1.6962332837729057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1.8281109339519586</c:v>
                </c:pt>
                <c:pt idx="12">
                  <c:v>1.8418896083982401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1.8801493411261196</c:v>
                </c:pt>
                <c:pt idx="16">
                  <c:v>1.8932111620904473</c:v>
                </c:pt>
                <c:pt idx="17">
                  <c:v>1.9053413225275235</c:v>
                </c:pt>
                <c:pt idx="18">
                  <c:v>1.9161229589933211</c:v>
                </c:pt>
                <c:pt idx="19">
                  <c:v>1.925470575451143</c:v>
                </c:pt>
                <c:pt idx="20">
                  <c:v>1.9335221179849749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5B-40E4-8ED2-2223A4E52B3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5B-40E4-8ED2-2223A4E52B31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5B-40E4-8ED2-2223A4E5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1.1931669345804958</c:v>
                </c:pt>
                <c:pt idx="9">
                  <c:v>1.1375943738853662</c:v>
                </c:pt>
                <c:pt idx="10">
                  <c:v>0.88842984606779785</c:v>
                </c:pt>
                <c:pt idx="11">
                  <c:v>0.67506427331562646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0.61602904101726641</c:v>
                </c:pt>
                <c:pt idx="15">
                  <c:v>0.67426045896973774</c:v>
                </c:pt>
                <c:pt idx="16">
                  <c:v>0.71984845158770649</c:v>
                </c:pt>
                <c:pt idx="17">
                  <c:v>0.74532583275143682</c:v>
                </c:pt>
                <c:pt idx="18">
                  <c:v>0.75356612136811252</c:v>
                </c:pt>
                <c:pt idx="19">
                  <c:v>0.75147564703832515</c:v>
                </c:pt>
                <c:pt idx="20">
                  <c:v>0.74564766836570817</c:v>
                </c:pt>
                <c:pt idx="21">
                  <c:v>0.74038741284116005</c:v>
                </c:pt>
                <c:pt idx="22">
                  <c:v>0.73751420476720964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C5B-B4FD-32D3468514D9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0.22888127304775652</c:v>
                </c:pt>
                <c:pt idx="9">
                  <c:v>0.12261260837788995</c:v>
                </c:pt>
                <c:pt idx="10">
                  <c:v>4.5317230548217985E-2</c:v>
                </c:pt>
                <c:pt idx="11">
                  <c:v>1.4149264600842704E-2</c:v>
                </c:pt>
                <c:pt idx="12">
                  <c:v>1.9100664587640051E-2</c:v>
                </c:pt>
                <c:pt idx="13">
                  <c:v>4.0493225571300723E-2</c:v>
                </c:pt>
                <c:pt idx="14">
                  <c:v>6.1767423650523012E-2</c:v>
                </c:pt>
                <c:pt idx="15">
                  <c:v>7.4263312532783385E-2</c:v>
                </c:pt>
                <c:pt idx="16">
                  <c:v>7.6470579004032757E-2</c:v>
                </c:pt>
                <c:pt idx="17">
                  <c:v>7.1042246739490056E-2</c:v>
                </c:pt>
                <c:pt idx="18">
                  <c:v>6.1858716099209773E-2</c:v>
                </c:pt>
                <c:pt idx="19">
                  <c:v>5.2156170493165857E-2</c:v>
                </c:pt>
                <c:pt idx="20">
                  <c:v>4.3813330057643263E-2</c:v>
                </c:pt>
                <c:pt idx="21">
                  <c:v>3.7441268744857842E-2</c:v>
                </c:pt>
                <c:pt idx="22">
                  <c:v>3.2834754172940128E-2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A7-4C5B-B4FD-32D3468514D9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A7-4C5B-B4FD-32D3468514D9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A7-4C5B-B4FD-32D346851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1.384461141643615</c:v>
                </c:pt>
                <c:pt idx="6">
                  <c:v>1.6270702870513902</c:v>
                </c:pt>
                <c:pt idx="7">
                  <c:v>1.8804684837345449</c:v>
                </c:pt>
                <c:pt idx="8">
                  <c:v>2.0322790377153011</c:v>
                </c:pt>
                <c:pt idx="9">
                  <c:v>2.0968887293233087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2.0712423637298643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2.0339555738303425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2.0263951154362982</c:v>
                </c:pt>
                <c:pt idx="20">
                  <c:v>2.0241570020402344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E4-42E0-8CEA-49298798A713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1.5921215987049191</c:v>
                </c:pt>
                <c:pt idx="6">
                  <c:v>1.6032339895574612</c:v>
                </c:pt>
                <c:pt idx="7">
                  <c:v>1.7112231318157294</c:v>
                </c:pt>
                <c:pt idx="8">
                  <c:v>1.7936446225063771</c:v>
                </c:pt>
                <c:pt idx="9">
                  <c:v>1.8427298133734002</c:v>
                </c:pt>
                <c:pt idx="10">
                  <c:v>1.8686548486468473</c:v>
                </c:pt>
                <c:pt idx="11">
                  <c:v>1.8820926937100046</c:v>
                </c:pt>
                <c:pt idx="12">
                  <c:v>1.8905264326995739</c:v>
                </c:pt>
                <c:pt idx="13">
                  <c:v>1.8980643590949924</c:v>
                </c:pt>
                <c:pt idx="14">
                  <c:v>1.9062664276570431</c:v>
                </c:pt>
                <c:pt idx="15">
                  <c:v>1.9151846304387008</c:v>
                </c:pt>
                <c:pt idx="16">
                  <c:v>1.9242474402590699</c:v>
                </c:pt>
                <c:pt idx="17">
                  <c:v>1.9328355230981968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E4-42E0-8CEA-49298798A713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1.4125713837035321</c:v>
                </c:pt>
                <c:pt idx="6">
                  <c:v>1.4318762850048394</c:v>
                </c:pt>
                <c:pt idx="7">
                  <c:v>1.4722495828905129</c:v>
                </c:pt>
                <c:pt idx="8">
                  <c:v>1.5226522338247437</c:v>
                </c:pt>
                <c:pt idx="9">
                  <c:v>1.5743335184196148</c:v>
                </c:pt>
                <c:pt idx="10">
                  <c:v>1.6223281099053717</c:v>
                </c:pt>
                <c:pt idx="11">
                  <c:v>1.6646698796806598</c:v>
                </c:pt>
                <c:pt idx="12">
                  <c:v>1.7012614032450881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1.7851866638379037</c:v>
                </c:pt>
                <c:pt idx="16">
                  <c:v>1.8073056888832477</c:v>
                </c:pt>
                <c:pt idx="17">
                  <c:v>1.8273007859761226</c:v>
                </c:pt>
                <c:pt idx="18">
                  <c:v>1.8453774293041645</c:v>
                </c:pt>
                <c:pt idx="19">
                  <c:v>1.8616690210560567</c:v>
                </c:pt>
                <c:pt idx="20">
                  <c:v>1.8762929393446328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E4-42E0-8CEA-49298798A71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E4-42E0-8CEA-49298798A713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E4-42E0-8CEA-49298798A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0.25441327106219147</c:v>
                </c:pt>
                <c:pt idx="6">
                  <c:v>0.44892739665131642</c:v>
                </c:pt>
                <c:pt idx="7">
                  <c:v>0.53030358720716331</c:v>
                </c:pt>
                <c:pt idx="8">
                  <c:v>0.55827110713232697</c:v>
                </c:pt>
                <c:pt idx="9">
                  <c:v>0.70384052650633189</c:v>
                </c:pt>
                <c:pt idx="10">
                  <c:v>0.76517693663759678</c:v>
                </c:pt>
                <c:pt idx="11">
                  <c:v>0.76780583830640148</c:v>
                </c:pt>
                <c:pt idx="12">
                  <c:v>0.74362823040420434</c:v>
                </c:pt>
                <c:pt idx="13">
                  <c:v>0.71658354309932792</c:v>
                </c:pt>
                <c:pt idx="14">
                  <c:v>0.69884035183197712</c:v>
                </c:pt>
                <c:pt idx="15">
                  <c:v>0.69297197098989405</c:v>
                </c:pt>
                <c:pt idx="16">
                  <c:v>0.69615845718948166</c:v>
                </c:pt>
                <c:pt idx="17">
                  <c:v>0.70394938426212683</c:v>
                </c:pt>
                <c:pt idx="18">
                  <c:v>0.71258446022559574</c:v>
                </c:pt>
                <c:pt idx="19">
                  <c:v>0.71987145191597046</c:v>
                </c:pt>
                <c:pt idx="20">
                  <c:v>0.72509195960606487</c:v>
                </c:pt>
                <c:pt idx="21">
                  <c:v>0.72847534212480214</c:v>
                </c:pt>
                <c:pt idx="22">
                  <c:v>0.73063835967541746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D8-47C3-8D8C-B158F1425EC8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0.36854704196687699</c:v>
                </c:pt>
                <c:pt idx="6">
                  <c:v>0.37436316462324332</c:v>
                </c:pt>
                <c:pt idx="7">
                  <c:v>0.36756590217716756</c:v>
                </c:pt>
                <c:pt idx="8">
                  <c:v>0.3596990830891893</c:v>
                </c:pt>
                <c:pt idx="9">
                  <c:v>0.3317211063665011</c:v>
                </c:pt>
                <c:pt idx="10">
                  <c:v>0.28895713486628588</c:v>
                </c:pt>
                <c:pt idx="11">
                  <c:v>0.24282487738241093</c:v>
                </c:pt>
                <c:pt idx="12">
                  <c:v>0.20208256133219743</c:v>
                </c:pt>
                <c:pt idx="13">
                  <c:v>0.1704851518194363</c:v>
                </c:pt>
                <c:pt idx="14">
                  <c:v>0.14775429475112459</c:v>
                </c:pt>
                <c:pt idx="15">
                  <c:v>0.13156318510082843</c:v>
                </c:pt>
                <c:pt idx="16">
                  <c:v>0.11924317886547686</c:v>
                </c:pt>
                <c:pt idx="17">
                  <c:v>0.10875096232869323</c:v>
                </c:pt>
                <c:pt idx="18">
                  <c:v>9.8946541758855616E-2</c:v>
                </c:pt>
                <c:pt idx="19">
                  <c:v>8.9442981256580498E-2</c:v>
                </c:pt>
                <c:pt idx="20">
                  <c:v>8.0296865225752745E-2</c:v>
                </c:pt>
                <c:pt idx="21">
                  <c:v>7.1721645718735266E-2</c:v>
                </c:pt>
                <c:pt idx="22">
                  <c:v>6.3904122603146291E-2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D8-47C3-8D8C-B158F1425EC8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8-47C3-8D8C-B158F1425EC8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8-47C3-8D8C-B158F1425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588129643956"/>
          <c:y val="0.74410403190493801"/>
          <c:w val="0.4388255418582177"/>
          <c:h val="0.1331323728093585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26-40EC-8804-1EBBA64492BC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26-40EC-8804-1EBBA64492BC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26-40EC-8804-1EBBA64492BC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26-40EC-8804-1EBBA64492BC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26-40EC-8804-1EBBA6449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4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7-4900-A249-9EFD72723D54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7-4900-A249-9EFD72723D54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7-4900-A249-9EFD72723D54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B7-4900-A249-9EFD72723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benchmark!$D$1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1.4860880493934758</c:v>
                </c:pt>
                <c:pt idx="2">
                  <c:v>1.6823611648084293</c:v>
                </c:pt>
                <c:pt idx="3">
                  <c:v>1.86647929190935</c:v>
                </c:pt>
                <c:pt idx="4">
                  <c:v>2.0181482613658881</c:v>
                </c:pt>
                <c:pt idx="5">
                  <c:v>2.1110528095156904</c:v>
                </c:pt>
                <c:pt idx="6">
                  <c:v>2.1448981994844081</c:v>
                </c:pt>
                <c:pt idx="7">
                  <c:v>2.1372998490718156</c:v>
                </c:pt>
                <c:pt idx="8">
                  <c:v>2.1100256656772012</c:v>
                </c:pt>
                <c:pt idx="9">
                  <c:v>2.0800349909865199</c:v>
                </c:pt>
                <c:pt idx="10">
                  <c:v>2.0565187109776675</c:v>
                </c:pt>
                <c:pt idx="11">
                  <c:v>2.0419621423831495</c:v>
                </c:pt>
                <c:pt idx="12">
                  <c:v>2.0348248669860265</c:v>
                </c:pt>
                <c:pt idx="13">
                  <c:v>2.0321283023204728</c:v>
                </c:pt>
                <c:pt idx="14">
                  <c:v>2.0311588089722292</c:v>
                </c:pt>
                <c:pt idx="15">
                  <c:v>2.0301952427507999</c:v>
                </c:pt>
                <c:pt idx="16">
                  <c:v>2.0285347448974242</c:v>
                </c:pt>
                <c:pt idx="17">
                  <c:v>2.0261755097548235</c:v>
                </c:pt>
                <c:pt idx="18">
                  <c:v>2.023439053327615</c:v>
                </c:pt>
                <c:pt idx="19">
                  <c:v>2.0206863062379039</c:v>
                </c:pt>
                <c:pt idx="20">
                  <c:v>2.0181705650975434</c:v>
                </c:pt>
                <c:pt idx="21">
                  <c:v>2.0160033411156308</c:v>
                </c:pt>
                <c:pt idx="22">
                  <c:v>2.0141849576929975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74-421E-9BD1-44F5143FADD3}"/>
            </c:ext>
          </c:extLst>
        </c:ser>
        <c:ser>
          <c:idx val="2"/>
          <c:order val="1"/>
          <c:tx>
            <c:strRef>
              <c:f>benchmark!$E$1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1.4300784251427108</c:v>
                </c:pt>
                <c:pt idx="2">
                  <c:v>1.5513878077363521</c:v>
                </c:pt>
                <c:pt idx="3">
                  <c:v>1.6600384839000062</c:v>
                </c:pt>
                <c:pt idx="4">
                  <c:v>1.7481303365945939</c:v>
                </c:pt>
                <c:pt idx="5">
                  <c:v>1.810713896064194</c:v>
                </c:pt>
                <c:pt idx="6">
                  <c:v>1.8485298505934096</c:v>
                </c:pt>
                <c:pt idx="7">
                  <c:v>1.8681783761752564</c:v>
                </c:pt>
                <c:pt idx="8">
                  <c:v>1.8778486451314116</c:v>
                </c:pt>
                <c:pt idx="9">
                  <c:v>1.8841029198827006</c:v>
                </c:pt>
                <c:pt idx="10">
                  <c:v>1.8906987606110179</c:v>
                </c:pt>
                <c:pt idx="11">
                  <c:v>1.8988942557461408</c:v>
                </c:pt>
                <c:pt idx="12">
                  <c:v>1.9083927339788556</c:v>
                </c:pt>
                <c:pt idx="13">
                  <c:v>1.9182925131517621</c:v>
                </c:pt>
                <c:pt idx="14">
                  <c:v>1.9277319863107136</c:v>
                </c:pt>
                <c:pt idx="15">
                  <c:v>1.9361803478724735</c:v>
                </c:pt>
                <c:pt idx="16">
                  <c:v>1.943465296423371</c:v>
                </c:pt>
                <c:pt idx="17">
                  <c:v>1.949666718797797</c:v>
                </c:pt>
                <c:pt idx="18">
                  <c:v>1.9549813791549262</c:v>
                </c:pt>
                <c:pt idx="19">
                  <c:v>1.9596180506185361</c:v>
                </c:pt>
                <c:pt idx="20">
                  <c:v>1.9637414923014205</c:v>
                </c:pt>
                <c:pt idx="21">
                  <c:v>1.9674581151009236</c:v>
                </c:pt>
                <c:pt idx="22">
                  <c:v>1.970826375015069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74-421E-9BD1-44F5143FADD3}"/>
            </c:ext>
          </c:extLst>
        </c:ser>
        <c:ser>
          <c:idx val="3"/>
          <c:order val="2"/>
          <c:tx>
            <c:strRef>
              <c:f>benchmark!$F$1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1.2712479244454129</c:v>
                </c:pt>
                <c:pt idx="2">
                  <c:v>1.3082481160780843</c:v>
                </c:pt>
                <c:pt idx="3">
                  <c:v>1.3584889219028982</c:v>
                </c:pt>
                <c:pt idx="4">
                  <c:v>1.4178582624545673</c:v>
                </c:pt>
                <c:pt idx="5">
                  <c:v>1.4802457716900683</c:v>
                </c:pt>
                <c:pt idx="6">
                  <c:v>1.540064490191559</c:v>
                </c:pt>
                <c:pt idx="7">
                  <c:v>1.5938156724907819</c:v>
                </c:pt>
                <c:pt idx="8">
                  <c:v>1.6402745718775598</c:v>
                </c:pt>
                <c:pt idx="9">
                  <c:v>1.6798530095973663</c:v>
                </c:pt>
                <c:pt idx="10">
                  <c:v>1.7137529227215933</c:v>
                </c:pt>
                <c:pt idx="11">
                  <c:v>1.7432917524911336</c:v>
                </c:pt>
                <c:pt idx="12">
                  <c:v>1.7695297327956738</c:v>
                </c:pt>
                <c:pt idx="13">
                  <c:v>1.7931636040529058</c:v>
                </c:pt>
                <c:pt idx="14">
                  <c:v>1.8145831724956447</c:v>
                </c:pt>
                <c:pt idx="15">
                  <c:v>1.8339882588186089</c:v>
                </c:pt>
                <c:pt idx="16">
                  <c:v>1.8514974425657023</c:v>
                </c:pt>
                <c:pt idx="17">
                  <c:v>1.8672184686127231</c:v>
                </c:pt>
                <c:pt idx="18">
                  <c:v>1.8812783212370634</c:v>
                </c:pt>
                <c:pt idx="19">
                  <c:v>1.893825039887139</c:v>
                </c:pt>
                <c:pt idx="20">
                  <c:v>1.9050161371560754</c:v>
                </c:pt>
                <c:pt idx="21">
                  <c:v>1.9150049855124354</c:v>
                </c:pt>
                <c:pt idx="22">
                  <c:v>1.923931183008686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74-421E-9BD1-44F5143FADD3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74-421E-9BD1-44F5143FADD3}"/>
            </c:ext>
          </c:extLst>
        </c:ser>
        <c:ser>
          <c:idx val="0"/>
          <c:order val="4"/>
          <c:tx>
            <c:strRef>
              <c:f>benchmark!$H$1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74-421E-9BD1-44F5143FA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benchmark!$J$1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benchmark!$J$2:$J$24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benchmark!$G$1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benchmark!$G$2:$G$24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-1.0000000000004976E-5</c:v>
                </c:pt>
                <c:pt idx="2">
                  <c:v>-9.9999999999981526E-6</c:v>
                </c:pt>
                <c:pt idx="3">
                  <c:v>-9.9999999999961231E-6</c:v>
                </c:pt>
                <c:pt idx="4">
                  <c:v>0.21972549121774831</c:v>
                </c:pt>
                <c:pt idx="5">
                  <c:v>0.53464176442118072</c:v>
                </c:pt>
                <c:pt idx="6">
                  <c:v>0.72249314916556939</c:v>
                </c:pt>
                <c:pt idx="7">
                  <c:v>0.79376250322361697</c:v>
                </c:pt>
                <c:pt idx="8">
                  <c:v>0.78972003917163069</c:v>
                </c:pt>
                <c:pt idx="9">
                  <c:v>0.7537867837257558</c:v>
                </c:pt>
                <c:pt idx="10">
                  <c:v>0.71661634988494438</c:v>
                </c:pt>
                <c:pt idx="11">
                  <c:v>0.69293776830641951</c:v>
                </c:pt>
                <c:pt idx="12">
                  <c:v>0.68515997910814563</c:v>
                </c:pt>
                <c:pt idx="13">
                  <c:v>0.68907069780361707</c:v>
                </c:pt>
                <c:pt idx="14">
                  <c:v>0.69869515533087745</c:v>
                </c:pt>
                <c:pt idx="15">
                  <c:v>0.70917980396704561</c:v>
                </c:pt>
                <c:pt idx="16">
                  <c:v>0.71779917610710997</c:v>
                </c:pt>
                <c:pt idx="17">
                  <c:v>0.72374184609358205</c:v>
                </c:pt>
                <c:pt idx="18">
                  <c:v>0.7273846139071285</c:v>
                </c:pt>
                <c:pt idx="19">
                  <c:v>0.72955903351779716</c:v>
                </c:pt>
                <c:pt idx="20">
                  <c:v>0.73105289835919829</c:v>
                </c:pt>
                <c:pt idx="21">
                  <c:v>0.73238586490048141</c:v>
                </c:pt>
                <c:pt idx="22">
                  <c:v>0.73378870841345378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D4-4430-89A4-B86033C68D6F}"/>
            </c:ext>
          </c:extLst>
        </c:ser>
        <c:ser>
          <c:idx val="1"/>
          <c:order val="1"/>
          <c:tx>
            <c:strRef>
              <c:f>benchmark!$C$1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benchmark!$A$2:$A$24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benchmark!$C$2:$C$24</c:f>
              <c:numCache>
                <c:formatCode>0.00_ </c:formatCode>
                <c:ptCount val="23"/>
                <c:pt idx="0">
                  <c:v>0</c:v>
                </c:pt>
                <c:pt idx="1">
                  <c:v>5.0232967956058687E-2</c:v>
                </c:pt>
                <c:pt idx="2">
                  <c:v>0.13615592072401358</c:v>
                </c:pt>
                <c:pt idx="3">
                  <c:v>0.24774535458654837</c:v>
                </c:pt>
                <c:pt idx="4">
                  <c:v>0.33954837962445611</c:v>
                </c:pt>
                <c:pt idx="5">
                  <c:v>0.37489509211216554</c:v>
                </c:pt>
                <c:pt idx="6">
                  <c:v>0.35969419459574459</c:v>
                </c:pt>
                <c:pt idx="7">
                  <c:v>0.31547471801959809</c:v>
                </c:pt>
                <c:pt idx="8">
                  <c:v>0.26327088883191951</c:v>
                </c:pt>
                <c:pt idx="9">
                  <c:v>0.21668730322318777</c:v>
                </c:pt>
                <c:pt idx="10">
                  <c:v>0.18119790590537352</c:v>
                </c:pt>
                <c:pt idx="11">
                  <c:v>0.15651849202618223</c:v>
                </c:pt>
                <c:pt idx="12">
                  <c:v>0.13963351566524013</c:v>
                </c:pt>
                <c:pt idx="13">
                  <c:v>0.12713843392930771</c:v>
                </c:pt>
                <c:pt idx="14">
                  <c:v>0.11649034860870687</c:v>
                </c:pt>
                <c:pt idx="15">
                  <c:v>0.10633028113800491</c:v>
                </c:pt>
                <c:pt idx="16">
                  <c:v>9.6257470846779172E-2</c:v>
                </c:pt>
                <c:pt idx="17">
                  <c:v>8.641533432093404E-2</c:v>
                </c:pt>
                <c:pt idx="18">
                  <c:v>7.7121768530052814E-2</c:v>
                </c:pt>
                <c:pt idx="19">
                  <c:v>6.8640303604220257E-2</c:v>
                </c:pt>
                <c:pt idx="20">
                  <c:v>6.1092340614564838E-2</c:v>
                </c:pt>
                <c:pt idx="21">
                  <c:v>5.4464762812490124E-2</c:v>
                </c:pt>
                <c:pt idx="22">
                  <c:v>4.8660170690647389E-2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4-4430-89A4-B86033C68D6F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benchmark!$B$2:$B$24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D4-4430-89A4-B86033C68D6F}"/>
            </c:ext>
          </c:extLst>
        </c:ser>
        <c:ser>
          <c:idx val="2"/>
          <c:order val="3"/>
          <c:tx>
            <c:strRef>
              <c:f>benchmark!$I$1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benchmark!$I$2:$I$24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D4-4430-89A4-B86033C6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2.1106736723741228</c:v>
                </c:pt>
                <c:pt idx="9">
                  <c:v>2.0820698089607355</c:v>
                </c:pt>
                <c:pt idx="10">
                  <c:v>2.0586804061580057</c:v>
                </c:pt>
                <c:pt idx="11">
                  <c:v>2.0435928220934416</c:v>
                </c:pt>
                <c:pt idx="12">
                  <c:v>2.0357708092675408</c:v>
                </c:pt>
                <c:pt idx="13">
                  <c:v>2.0325280789108744</c:v>
                </c:pt>
                <c:pt idx="14">
                  <c:v>2.0312466290551487</c:v>
                </c:pt>
                <c:pt idx="15">
                  <c:v>2.0301758284179581</c:v>
                </c:pt>
                <c:pt idx="16">
                  <c:v>2.0285331195622223</c:v>
                </c:pt>
                <c:pt idx="17">
                  <c:v>2.0262388670418998</c:v>
                </c:pt>
                <c:pt idx="18">
                  <c:v>2.0235628601329849</c:v>
                </c:pt>
                <c:pt idx="19">
                  <c:v>2.0208434802619761</c:v>
                </c:pt>
                <c:pt idx="20">
                  <c:v>2.0183326407871034</c:v>
                </c:pt>
                <c:pt idx="21">
                  <c:v>2.0161509447354198</c:v>
                </c:pt>
                <c:pt idx="22">
                  <c:v>2.0143097896778306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0-4BB5-962C-F2858012D64B}"/>
            </c:ext>
          </c:extLst>
        </c:ser>
        <c:ser>
          <c:idx val="2"/>
          <c:order val="1"/>
          <c:tx>
            <c:strRef>
              <c:f>'25hike'!$E$1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1.8768310834529216</c:v>
                </c:pt>
                <c:pt idx="9">
                  <c:v>1.8837549432595702</c:v>
                </c:pt>
                <c:pt idx="10">
                  <c:v>1.8905381232897964</c:v>
                </c:pt>
                <c:pt idx="11">
                  <c:v>1.898654848834715</c:v>
                </c:pt>
                <c:pt idx="12">
                  <c:v>1.9079960058588568</c:v>
                </c:pt>
                <c:pt idx="13">
                  <c:v>1.9177727558025737</c:v>
                </c:pt>
                <c:pt idx="14">
                  <c:v>1.9271640785754036</c:v>
                </c:pt>
                <c:pt idx="15">
                  <c:v>1.9356322630129754</c:v>
                </c:pt>
                <c:pt idx="16">
                  <c:v>1.9429778864962757</c:v>
                </c:pt>
                <c:pt idx="17">
                  <c:v>1.9492530707801157</c:v>
                </c:pt>
                <c:pt idx="18">
                  <c:v>1.9546356951393964</c:v>
                </c:pt>
                <c:pt idx="19">
                  <c:v>1.9593261644500033</c:v>
                </c:pt>
                <c:pt idx="20">
                  <c:v>1.9634887322974461</c:v>
                </c:pt>
                <c:pt idx="21">
                  <c:v>1.967233332515212</c:v>
                </c:pt>
                <c:pt idx="22">
                  <c:v>1.9706228237015808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0-4BB5-962C-F2858012D64B}"/>
            </c:ext>
          </c:extLst>
        </c:ser>
        <c:ser>
          <c:idx val="3"/>
          <c:order val="2"/>
          <c:tx>
            <c:strRef>
              <c:f>'25hike'!$F$1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1.6371707110464644</c:v>
                </c:pt>
                <c:pt idx="9">
                  <c:v>1.6772116298587489</c:v>
                </c:pt>
                <c:pt idx="10">
                  <c:v>1.711543819725682</c:v>
                </c:pt>
                <c:pt idx="11">
                  <c:v>1.7414282299387804</c:v>
                </c:pt>
                <c:pt idx="12">
                  <c:v>1.7679190620783689</c:v>
                </c:pt>
                <c:pt idx="13">
                  <c:v>1.7917338735932944</c:v>
                </c:pt>
                <c:pt idx="14">
                  <c:v>1.8132900215848613</c:v>
                </c:pt>
                <c:pt idx="15">
                  <c:v>1.8328097441998401</c:v>
                </c:pt>
                <c:pt idx="16">
                  <c:v>1.8504248479824543</c:v>
                </c:pt>
                <c:pt idx="17">
                  <c:v>1.8662481096978045</c:v>
                </c:pt>
                <c:pt idx="18">
                  <c:v>1.8804064372369707</c:v>
                </c:pt>
                <c:pt idx="19">
                  <c:v>1.8930457711092212</c:v>
                </c:pt>
                <c:pt idx="20">
                  <c:v>1.9043215893802308</c:v>
                </c:pt>
                <c:pt idx="21">
                  <c:v>1.9143862313621978</c:v>
                </c:pt>
                <c:pt idx="22">
                  <c:v>1.9233793516106048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0-4BB5-962C-F2858012D64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B20-4BB5-962C-F2858012D64B}"/>
            </c:ext>
          </c:extLst>
        </c:ser>
        <c:ser>
          <c:idx val="0"/>
          <c:order val="4"/>
          <c:tx>
            <c:strRef>
              <c:f>'25hike'!$H$1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B20-4BB5-962C-F2858012D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4889714464188846"/>
          <c:y val="0.63088409705779325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0.78511296564742927</c:v>
                </c:pt>
                <c:pt idx="9">
                  <c:v>0.7546908417544429</c:v>
                </c:pt>
                <c:pt idx="10">
                  <c:v>0.71970037087417282</c:v>
                </c:pt>
                <c:pt idx="11">
                  <c:v>0.69593118327704817</c:v>
                </c:pt>
                <c:pt idx="12">
                  <c:v>0.68702652005285147</c:v>
                </c:pt>
                <c:pt idx="13">
                  <c:v>0.68969543000576261</c:v>
                </c:pt>
                <c:pt idx="14">
                  <c:v>0.69843759197845157</c:v>
                </c:pt>
                <c:pt idx="15">
                  <c:v>0.70850734603149168</c:v>
                </c:pt>
                <c:pt idx="16">
                  <c:v>0.71707764509176086</c:v>
                </c:pt>
                <c:pt idx="17">
                  <c:v>0.72316885295556466</c:v>
                </c:pt>
                <c:pt idx="18">
                  <c:v>0.72701260424075986</c:v>
                </c:pt>
                <c:pt idx="19">
                  <c:v>0.72935354739595382</c:v>
                </c:pt>
                <c:pt idx="20">
                  <c:v>0.73094865524743424</c:v>
                </c:pt>
                <c:pt idx="21">
                  <c:v>0.73232356973955259</c:v>
                </c:pt>
                <c:pt idx="22">
                  <c:v>0.73373069930579304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9-4245-A9BA-DFFAEC8FC6A5}"/>
            </c:ext>
          </c:extLst>
        </c:ser>
        <c:ser>
          <c:idx val="1"/>
          <c:order val="1"/>
          <c:tx>
            <c:strRef>
              <c:f>'25hike'!$C$1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0.2661805135780213</c:v>
                </c:pt>
                <c:pt idx="9">
                  <c:v>0.22016011688356751</c:v>
                </c:pt>
                <c:pt idx="10">
                  <c:v>0.18422664229325839</c:v>
                </c:pt>
                <c:pt idx="11">
                  <c:v>0.15872259311044459</c:v>
                </c:pt>
                <c:pt idx="12">
                  <c:v>0.14106041591928237</c:v>
                </c:pt>
                <c:pt idx="13">
                  <c:v>0.12802841753733576</c:v>
                </c:pt>
                <c:pt idx="14">
                  <c:v>0.11710118413182996</c:v>
                </c:pt>
                <c:pt idx="15">
                  <c:v>0.10684755665791355</c:v>
                </c:pt>
                <c:pt idx="16">
                  <c:v>9.6774989132813696E-2</c:v>
                </c:pt>
                <c:pt idx="17">
                  <c:v>8.6955304163263303E-2</c:v>
                </c:pt>
                <c:pt idx="18">
                  <c:v>7.7667424784810146E-2</c:v>
                </c:pt>
                <c:pt idx="19">
                  <c:v>6.9163872027702356E-2</c:v>
                </c:pt>
                <c:pt idx="20">
                  <c:v>6.15717186971333E-2</c:v>
                </c:pt>
                <c:pt idx="21">
                  <c:v>5.4889424530941082E-2</c:v>
                </c:pt>
                <c:pt idx="22">
                  <c:v>4.9030038327224051E-2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09-4245-A9BA-DFFAEC8FC6A5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09-4245-A9BA-DFFAEC8FC6A5}"/>
            </c:ext>
          </c:extLst>
        </c:ser>
        <c:ser>
          <c:idx val="2"/>
          <c:order val="3"/>
          <c:tx>
            <c:strRef>
              <c:f>'25hike'!$I$1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09-4245-A9BA-DFFAEC8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034386156642821"/>
          <c:y val="0.72332065523978384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IPIzero!$D$1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IPIzero!$D$2:$D$24</c:f>
              <c:numCache>
                <c:formatCode>0.00_ </c:formatCode>
                <c:ptCount val="23"/>
                <c:pt idx="0">
                  <c:v>1.25</c:v>
                </c:pt>
                <c:pt idx="1">
                  <c:v>2.2437660578959386</c:v>
                </c:pt>
                <c:pt idx="2">
                  <c:v>2.2552956977351823</c:v>
                </c:pt>
                <c:pt idx="3">
                  <c:v>2.1710973498135941</c:v>
                </c:pt>
                <c:pt idx="4">
                  <c:v>2.1236109460771893</c:v>
                </c:pt>
                <c:pt idx="5">
                  <c:v>2.1025765376212902</c:v>
                </c:pt>
                <c:pt idx="6">
                  <c:v>2.0896984598390693</c:v>
                </c:pt>
                <c:pt idx="7">
                  <c:v>2.0773155939236343</c:v>
                </c:pt>
                <c:pt idx="8">
                  <c:v>2.064670808961008</c:v>
                </c:pt>
                <c:pt idx="9">
                  <c:v>2.0531689495815177</c:v>
                </c:pt>
                <c:pt idx="10">
                  <c:v>2.0439501421541779</c:v>
                </c:pt>
                <c:pt idx="11">
                  <c:v>2.0372505911826559</c:v>
                </c:pt>
                <c:pt idx="12">
                  <c:v>2.0326166382102193</c:v>
                </c:pt>
                <c:pt idx="13">
                  <c:v>2.0293320029715058</c:v>
                </c:pt>
                <c:pt idx="14">
                  <c:v>2.0267490452705204</c:v>
                </c:pt>
                <c:pt idx="15">
                  <c:v>2.0244416030186683</c:v>
                </c:pt>
                <c:pt idx="16">
                  <c:v>2.022213078255958</c:v>
                </c:pt>
                <c:pt idx="17">
                  <c:v>2.0200290054381558</c:v>
                </c:pt>
                <c:pt idx="18">
                  <c:v>2.0179340305788722</c:v>
                </c:pt>
                <c:pt idx="19">
                  <c:v>2.0159878328536394</c:v>
                </c:pt>
                <c:pt idx="20">
                  <c:v>2.0142306087563147</c:v>
                </c:pt>
                <c:pt idx="21">
                  <c:v>2.0126737096946448</c:v>
                </c:pt>
                <c:pt idx="22">
                  <c:v>2.0113051650134102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C4-4F3E-A1CC-AB6A86B89A14}"/>
            </c:ext>
          </c:extLst>
        </c:ser>
        <c:ser>
          <c:idx val="2"/>
          <c:order val="1"/>
          <c:tx>
            <c:strRef>
              <c:f>IPIzero!$E$1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1.6687056581067035</c:v>
                </c:pt>
                <c:pt idx="2">
                  <c:v>1.8214737376305625</c:v>
                </c:pt>
                <c:pt idx="3">
                  <c:v>1.8391572476499825</c:v>
                </c:pt>
                <c:pt idx="4">
                  <c:v>1.8469979233874692</c:v>
                </c:pt>
                <c:pt idx="5">
                  <c:v>1.8592590071222606</c:v>
                </c:pt>
                <c:pt idx="6">
                  <c:v>1.8726461897134974</c:v>
                </c:pt>
                <c:pt idx="7">
                  <c:v>1.884692311741752</c:v>
                </c:pt>
                <c:pt idx="8">
                  <c:v>1.8950736317447823</c:v>
                </c:pt>
                <c:pt idx="9">
                  <c:v>1.9043405840545171</c:v>
                </c:pt>
                <c:pt idx="10">
                  <c:v>1.9130292031705942</c:v>
                </c:pt>
                <c:pt idx="11">
                  <c:v>1.9213725463840976</c:v>
                </c:pt>
                <c:pt idx="12">
                  <c:v>1.9293453274042589</c:v>
                </c:pt>
                <c:pt idx="13">
                  <c:v>1.9368082843616741</c:v>
                </c:pt>
                <c:pt idx="14">
                  <c:v>1.9436291944591564</c:v>
                </c:pt>
                <c:pt idx="15">
                  <c:v>1.9497427322695151</c:v>
                </c:pt>
                <c:pt idx="16">
                  <c:v>1.9551574621902164</c:v>
                </c:pt>
                <c:pt idx="17">
                  <c:v>1.9599338470075562</c:v>
                </c:pt>
                <c:pt idx="18">
                  <c:v>1.9641551638415207</c:v>
                </c:pt>
                <c:pt idx="19">
                  <c:v>1.9679044607213236</c:v>
                </c:pt>
                <c:pt idx="20">
                  <c:v>1.9712519902192642</c:v>
                </c:pt>
                <c:pt idx="21">
                  <c:v>1.9742518455772533</c:v>
                </c:pt>
                <c:pt idx="22">
                  <c:v>1.9769442275240245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C4-4F3E-A1CC-AB6A86B89A14}"/>
            </c:ext>
          </c:extLst>
        </c:ser>
        <c:ser>
          <c:idx val="3"/>
          <c:order val="2"/>
          <c:tx>
            <c:strRef>
              <c:f>IPIzero!$F$1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1.3394389452106346</c:v>
                </c:pt>
                <c:pt idx="2">
                  <c:v>1.4218660529378442</c:v>
                </c:pt>
                <c:pt idx="3">
                  <c:v>1.4892968696566617</c:v>
                </c:pt>
                <c:pt idx="4">
                  <c:v>1.5463851365345092</c:v>
                </c:pt>
                <c:pt idx="5">
                  <c:v>1.5964423626323194</c:v>
                </c:pt>
                <c:pt idx="6">
                  <c:v>1.6408354113809267</c:v>
                </c:pt>
                <c:pt idx="7">
                  <c:v>1.6801186278097702</c:v>
                </c:pt>
                <c:pt idx="8">
                  <c:v>1.7147283241133817</c:v>
                </c:pt>
                <c:pt idx="9">
                  <c:v>1.7451879804055141</c:v>
                </c:pt>
                <c:pt idx="10">
                  <c:v>1.7720765749628935</c:v>
                </c:pt>
                <c:pt idx="11">
                  <c:v>1.7959422364226718</c:v>
                </c:pt>
                <c:pt idx="12">
                  <c:v>1.8172429325835511</c:v>
                </c:pt>
                <c:pt idx="13">
                  <c:v>1.8363309489184667</c:v>
                </c:pt>
                <c:pt idx="14">
                  <c:v>1.8534685775901516</c:v>
                </c:pt>
                <c:pt idx="15">
                  <c:v>1.8688561498787184</c:v>
                </c:pt>
                <c:pt idx="16">
                  <c:v>1.88265827343267</c:v>
                </c:pt>
                <c:pt idx="17">
                  <c:v>1.8950216393131636</c:v>
                </c:pt>
                <c:pt idx="18">
                  <c:v>1.9060837545270775</c:v>
                </c:pt>
                <c:pt idx="19">
                  <c:v>1.9159751215764682</c:v>
                </c:pt>
                <c:pt idx="20">
                  <c:v>1.9248181154226542</c:v>
                </c:pt>
                <c:pt idx="21">
                  <c:v>1.9327251189071335</c:v>
                </c:pt>
                <c:pt idx="22">
                  <c:v>1.9397973230566992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C4-4F3E-A1CC-AB6A86B89A14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C4-4F3E-A1CC-AB6A86B89A14}"/>
            </c:ext>
          </c:extLst>
        </c:ser>
        <c:ser>
          <c:idx val="0"/>
          <c:order val="4"/>
          <c:tx>
            <c:strRef>
              <c:f>IPIzero!$H$1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C4-4F3E-A1CC-AB6A86B89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IPIzero!$J$1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IPIzero!$J$2:$J$24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IPIzero!$G$1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IPIzero!$G$2:$G$24</c:f>
              <c:numCache>
                <c:formatCode>0.00_ </c:formatCode>
                <c:ptCount val="23"/>
                <c:pt idx="0">
                  <c:v>0</c:v>
                </c:pt>
                <c:pt idx="1">
                  <c:v>4.1661106228591718E-2</c:v>
                </c:pt>
                <c:pt idx="2">
                  <c:v>0.25215731173243144</c:v>
                </c:pt>
                <c:pt idx="3">
                  <c:v>0.42171559647707618</c:v>
                </c:pt>
                <c:pt idx="4">
                  <c:v>0.54802537717297051</c:v>
                </c:pt>
                <c:pt idx="5">
                  <c:v>0.63550808450652585</c:v>
                </c:pt>
                <c:pt idx="6">
                  <c:v>0.68722915312196575</c:v>
                </c:pt>
                <c:pt idx="7">
                  <c:v>0.71046511550389402</c:v>
                </c:pt>
                <c:pt idx="8">
                  <c:v>0.71561851079351202</c:v>
                </c:pt>
                <c:pt idx="9">
                  <c:v>0.71263745904913789</c:v>
                </c:pt>
                <c:pt idx="10">
                  <c:v>0.70852456282707754</c:v>
                </c:pt>
                <c:pt idx="11">
                  <c:v>0.706765128824835</c:v>
                </c:pt>
                <c:pt idx="12">
                  <c:v>0.70808881389044087</c:v>
                </c:pt>
                <c:pt idx="13">
                  <c:v>0.71169748135377564</c:v>
                </c:pt>
                <c:pt idx="14">
                  <c:v>0.71633911568706055</c:v>
                </c:pt>
                <c:pt idx="15">
                  <c:v>0.72096502024740527</c:v>
                </c:pt>
                <c:pt idx="16">
                  <c:v>0.72497587248244888</c:v>
                </c:pt>
                <c:pt idx="17">
                  <c:v>0.72819194922183883</c:v>
                </c:pt>
                <c:pt idx="18">
                  <c:v>0.73070156234977657</c:v>
                </c:pt>
                <c:pt idx="19">
                  <c:v>0.73270074631359605</c:v>
                </c:pt>
                <c:pt idx="20">
                  <c:v>0.73438093476100341</c:v>
                </c:pt>
                <c:pt idx="21">
                  <c:v>0.73587608342135735</c:v>
                </c:pt>
                <c:pt idx="22">
                  <c:v>0.73725534690177663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C2-4A1E-9DAD-3E1CA48B724C}"/>
            </c:ext>
          </c:extLst>
        </c:ser>
        <c:ser>
          <c:idx val="1"/>
          <c:order val="1"/>
          <c:tx>
            <c:strRef>
              <c:f>IPIzero!$C$1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IPIzero!$A$2:$A$24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IPIzero!$C$2:$C$24</c:f>
              <c:numCache>
                <c:formatCode>0.00_ </c:formatCode>
                <c:ptCount val="23"/>
                <c:pt idx="0">
                  <c:v>0</c:v>
                </c:pt>
                <c:pt idx="1">
                  <c:v>8.8302105233661804E-2</c:v>
                </c:pt>
                <c:pt idx="2">
                  <c:v>0.17537449805170199</c:v>
                </c:pt>
                <c:pt idx="3">
                  <c:v>0.2324144935327383</c:v>
                </c:pt>
                <c:pt idx="4">
                  <c:v>0.25732286200109833</c:v>
                </c:pt>
                <c:pt idx="5">
                  <c:v>0.25692470702687092</c:v>
                </c:pt>
                <c:pt idx="6">
                  <c:v>0.24030952669582284</c:v>
                </c:pt>
                <c:pt idx="7">
                  <c:v>0.21588789174263126</c:v>
                </c:pt>
                <c:pt idx="8">
                  <c:v>0.1899180459183071</c:v>
                </c:pt>
                <c:pt idx="9">
                  <c:v>0.16608392048109083</c:v>
                </c:pt>
                <c:pt idx="10">
                  <c:v>0.14585243246001939</c:v>
                </c:pt>
                <c:pt idx="11">
                  <c:v>0.12921892713478239</c:v>
                </c:pt>
                <c:pt idx="12">
                  <c:v>0.11547487237568775</c:v>
                </c:pt>
                <c:pt idx="13">
                  <c:v>0.10377650424685803</c:v>
                </c:pt>
                <c:pt idx="14">
                  <c:v>9.3451765327572836E-2</c:v>
                </c:pt>
                <c:pt idx="15">
                  <c:v>8.4090218568885794E-2</c:v>
                </c:pt>
                <c:pt idx="16">
                  <c:v>7.5503119997702747E-2</c:v>
                </c:pt>
                <c:pt idx="17">
                  <c:v>6.7635464710669113E-2</c:v>
                </c:pt>
                <c:pt idx="18">
                  <c:v>6.0483841488867478E-2</c:v>
                </c:pt>
                <c:pt idx="19">
                  <c:v>5.4043583404194934E-2</c:v>
                </c:pt>
                <c:pt idx="20">
                  <c:v>4.8286796299268485E-2</c:v>
                </c:pt>
                <c:pt idx="21">
                  <c:v>4.3161970660862928E-2</c:v>
                </c:pt>
                <c:pt idx="22">
                  <c:v>3.8603742890407251E-2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C2-4A1E-9DAD-3E1CA48B724C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IPIzero!$B$2:$B$24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C2-4A1E-9DAD-3E1CA48B724C}"/>
            </c:ext>
          </c:extLst>
        </c:ser>
        <c:ser>
          <c:idx val="2"/>
          <c:order val="3"/>
          <c:tx>
            <c:strRef>
              <c:f>IPIzero!$I$1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IPIzero!$I$2:$I$24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C2-4A1E-9DAD-3E1CA48B7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2125615757212757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'25hike_IPInear'!$D$1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2.7563505341658141</c:v>
                </c:pt>
                <c:pt idx="6">
                  <c:v>2.5482625426785668</c:v>
                </c:pt>
                <c:pt idx="7">
                  <c:v>2.2794879275066431</c:v>
                </c:pt>
                <c:pt idx="8">
                  <c:v>2.1080846559732436</c:v>
                </c:pt>
                <c:pt idx="9">
                  <c:v>2.0275063163816145</c:v>
                </c:pt>
                <c:pt idx="10">
                  <c:v>2.0040884133447254</c:v>
                </c:pt>
                <c:pt idx="11">
                  <c:v>2.0081168830929443</c:v>
                </c:pt>
                <c:pt idx="12">
                  <c:v>2.0199008581785356</c:v>
                </c:pt>
                <c:pt idx="13">
                  <c:v>2.0292756445228597</c:v>
                </c:pt>
                <c:pt idx="14">
                  <c:v>2.032998484515653</c:v>
                </c:pt>
                <c:pt idx="15">
                  <c:v>2.0317502515435808</c:v>
                </c:pt>
                <c:pt idx="16">
                  <c:v>2.0276750033804758</c:v>
                </c:pt>
                <c:pt idx="17">
                  <c:v>2.0228383854151817</c:v>
                </c:pt>
                <c:pt idx="18">
                  <c:v>2.0185621989261451</c:v>
                </c:pt>
                <c:pt idx="19">
                  <c:v>2.0153665318868539</c:v>
                </c:pt>
                <c:pt idx="20">
                  <c:v>2.0132097748029558</c:v>
                </c:pt>
                <c:pt idx="21">
                  <c:v>2.0117885395687578</c:v>
                </c:pt>
                <c:pt idx="22">
                  <c:v>2.0107670519318308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C-4098-B56C-8E6FDCE0C281}"/>
            </c:ext>
          </c:extLst>
        </c:ser>
        <c:ser>
          <c:idx val="2"/>
          <c:order val="1"/>
          <c:tx>
            <c:strRef>
              <c:f>'25hike_IPInear'!$E$1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1.9757981731736383</c:v>
                </c:pt>
                <c:pt idx="6">
                  <c:v>2.0287332614161233</c:v>
                </c:pt>
                <c:pt idx="7">
                  <c:v>1.9656224068483541</c:v>
                </c:pt>
                <c:pt idx="8">
                  <c:v>1.9171966386632895</c:v>
                </c:pt>
                <c:pt idx="9">
                  <c:v>1.8982059779824196</c:v>
                </c:pt>
                <c:pt idx="10">
                  <c:v>1.8996441026388853</c:v>
                </c:pt>
                <c:pt idx="11">
                  <c:v>1.9109065796495364</c:v>
                </c:pt>
                <c:pt idx="12">
                  <c:v>1.9245517138985693</c:v>
                </c:pt>
                <c:pt idx="13">
                  <c:v>1.9366436262060651</c:v>
                </c:pt>
                <c:pt idx="14">
                  <c:v>1.9458798278148384</c:v>
                </c:pt>
                <c:pt idx="15">
                  <c:v>1.952484543704037</c:v>
                </c:pt>
                <c:pt idx="16">
                  <c:v>1.957280861548969</c:v>
                </c:pt>
                <c:pt idx="17">
                  <c:v>1.961097730642428</c:v>
                </c:pt>
                <c:pt idx="18">
                  <c:v>1.9645029030473069</c:v>
                </c:pt>
                <c:pt idx="19">
                  <c:v>1.9677664613162373</c:v>
                </c:pt>
                <c:pt idx="20">
                  <c:v>1.9709414686023963</c:v>
                </c:pt>
                <c:pt idx="21">
                  <c:v>1.9739724942149606</c:v>
                </c:pt>
                <c:pt idx="22">
                  <c:v>1.976781600804548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C-4098-B56C-8E6FDCE0C281}"/>
            </c:ext>
          </c:extLst>
        </c:ser>
        <c:ser>
          <c:idx val="3"/>
          <c:order val="2"/>
          <c:tx>
            <c:strRef>
              <c:f>'25hike_IPInear'!$F$1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1.53604142903053</c:v>
                </c:pt>
                <c:pt idx="6">
                  <c:v>1.6271413292588535</c:v>
                </c:pt>
                <c:pt idx="7">
                  <c:v>1.6858525231011545</c:v>
                </c:pt>
                <c:pt idx="8">
                  <c:v>1.7238534150596425</c:v>
                </c:pt>
                <c:pt idx="9">
                  <c:v>1.7511821761786202</c:v>
                </c:pt>
                <c:pt idx="10">
                  <c:v>1.7739437375235696</c:v>
                </c:pt>
                <c:pt idx="11">
                  <c:v>1.7950193206248133</c:v>
                </c:pt>
                <c:pt idx="12">
                  <c:v>1.8152586590046484</c:v>
                </c:pt>
                <c:pt idx="13">
                  <c:v>1.8345201877012873</c:v>
                </c:pt>
                <c:pt idx="14">
                  <c:v>1.8523832344145803</c:v>
                </c:pt>
                <c:pt idx="15">
                  <c:v>1.8685262659561905</c:v>
                </c:pt>
                <c:pt idx="16">
                  <c:v>1.8828496523243761</c:v>
                </c:pt>
                <c:pt idx="17">
                  <c:v>1.8954486383025486</c:v>
                </c:pt>
                <c:pt idx="18">
                  <c:v>1.9065288587586722</c:v>
                </c:pt>
                <c:pt idx="19">
                  <c:v>1.9163242493402086</c:v>
                </c:pt>
                <c:pt idx="20">
                  <c:v>1.9250439466318561</c:v>
                </c:pt>
                <c:pt idx="21">
                  <c:v>1.9328509599961772</c:v>
                </c:pt>
                <c:pt idx="22">
                  <c:v>1.9398634082703861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DC-4098-B56C-8E6FDCE0C281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DC-4098-B56C-8E6FDCE0C281}"/>
            </c:ext>
          </c:extLst>
        </c:ser>
        <c:ser>
          <c:idx val="0"/>
          <c:order val="4"/>
          <c:tx>
            <c:strRef>
              <c:f>'25hike_IPInear'!$H$1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DC-4098-B56C-8E6FDCE0C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1827779878245913"/>
          <c:y val="0.1037967453252916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'25hike_IPInear'!$J$1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'25hike_IPInear'!$J$2:$J$24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'25hike_IPInear'!$G$1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'25hike_IPInear'!$G$2:$G$24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0.91246723999525803</c:v>
                </c:pt>
                <c:pt idx="6">
                  <c:v>1.0818309287822399</c:v>
                </c:pt>
                <c:pt idx="7">
                  <c:v>0.94903306240078833</c:v>
                </c:pt>
                <c:pt idx="8">
                  <c:v>0.76424605568600756</c:v>
                </c:pt>
                <c:pt idx="9">
                  <c:v>0.64122482694430227</c:v>
                </c:pt>
                <c:pt idx="10">
                  <c:v>0.59891645670079385</c:v>
                </c:pt>
                <c:pt idx="11">
                  <c:v>0.61352263231586301</c:v>
                </c:pt>
                <c:pt idx="12">
                  <c:v>0.65277963299109754</c:v>
                </c:pt>
                <c:pt idx="13">
                  <c:v>0.69246623650170824</c:v>
                </c:pt>
                <c:pt idx="14">
                  <c:v>0.72059457177432373</c:v>
                </c:pt>
                <c:pt idx="15">
                  <c:v>0.73506086315884434</c:v>
                </c:pt>
                <c:pt idx="16">
                  <c:v>0.73919974473413219</c:v>
                </c:pt>
                <c:pt idx="17">
                  <c:v>0.73786786607383859</c:v>
                </c:pt>
                <c:pt idx="18">
                  <c:v>0.73507644734236732</c:v>
                </c:pt>
                <c:pt idx="19">
                  <c:v>0.73313705285737041</c:v>
                </c:pt>
                <c:pt idx="20">
                  <c:v>0.73280688099257363</c:v>
                </c:pt>
                <c:pt idx="21">
                  <c:v>0.7338629295655722</c:v>
                </c:pt>
                <c:pt idx="22">
                  <c:v>0.73569364686882865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B4-4576-8C80-B1BE5CADCD7E}"/>
            </c:ext>
          </c:extLst>
        </c:ser>
        <c:ser>
          <c:idx val="1"/>
          <c:order val="1"/>
          <c:tx>
            <c:strRef>
              <c:f>'25hike_IPInear'!$C$1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'25hike_IPInear'!$A$2:$A$24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'25hike_IPInear'!$C$2:$C$24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0.32978792578780958</c:v>
                </c:pt>
                <c:pt idx="6">
                  <c:v>0.25895431493178589</c:v>
                </c:pt>
                <c:pt idx="7">
                  <c:v>0.17729617606896003</c:v>
                </c:pt>
                <c:pt idx="8">
                  <c:v>0.12160718506841942</c:v>
                </c:pt>
                <c:pt idx="9">
                  <c:v>9.8200365551925198E-2</c:v>
                </c:pt>
                <c:pt idx="10">
                  <c:v>9.6691450327223344E-2</c:v>
                </c:pt>
                <c:pt idx="11">
                  <c:v>0.10338883262913764</c:v>
                </c:pt>
                <c:pt idx="12">
                  <c:v>0.1084761717941522</c:v>
                </c:pt>
                <c:pt idx="13">
                  <c:v>0.10772400740855483</c:v>
                </c:pt>
                <c:pt idx="14">
                  <c:v>0.10118812670805671</c:v>
                </c:pt>
                <c:pt idx="15">
                  <c:v>9.103884797231318E-2</c:v>
                </c:pt>
                <c:pt idx="16">
                  <c:v>7.9767287598277198E-2</c:v>
                </c:pt>
                <c:pt idx="17">
                  <c:v>6.9196915523773259E-2</c:v>
                </c:pt>
                <c:pt idx="18">
                  <c:v>6.0219268998726899E-2</c:v>
                </c:pt>
                <c:pt idx="19">
                  <c:v>5.2968587873418432E-2</c:v>
                </c:pt>
                <c:pt idx="20">
                  <c:v>4.7151873613329835E-2</c:v>
                </c:pt>
                <c:pt idx="21">
                  <c:v>4.2346744525925559E-2</c:v>
                </c:pt>
                <c:pt idx="22">
                  <c:v>3.8187363010929148E-2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4-4576-8C80-B1BE5CADCD7E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'25hike_IPInear'!$B$2:$B$24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4-4576-8C80-B1BE5CADCD7E}"/>
            </c:ext>
          </c:extLst>
        </c:ser>
        <c:ser>
          <c:idx val="2"/>
          <c:order val="3"/>
          <c:tx>
            <c:strRef>
              <c:f>'25hike_IPInear'!$I$1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'25hike_IPInear'!$I$2:$I$24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B4-4576-8C80-B1BE5CADC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'25hike_IPIfar'!$D$1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2.1000997260942427</c:v>
                </c:pt>
                <c:pt idx="6">
                  <c:v>2.1381291896590771</c:v>
                </c:pt>
                <c:pt idx="7">
                  <c:v>2.1349086255526699</c:v>
                </c:pt>
                <c:pt idx="8">
                  <c:v>2.7669244804456943</c:v>
                </c:pt>
                <c:pt idx="9">
                  <c:v>2.4922031619802252</c:v>
                </c:pt>
                <c:pt idx="10">
                  <c:v>2.2032597081119789</c:v>
                </c:pt>
                <c:pt idx="11">
                  <c:v>2.0410038056925623</c:v>
                </c:pt>
                <c:pt idx="12">
                  <c:v>1.9812073166884199</c:v>
                </c:pt>
                <c:pt idx="13">
                  <c:v>1.9779360860975941</c:v>
                </c:pt>
                <c:pt idx="14">
                  <c:v>1.9957706900546517</c:v>
                </c:pt>
                <c:pt idx="15">
                  <c:v>2.0143058773289528</c:v>
                </c:pt>
                <c:pt idx="16">
                  <c:v>2.0252806851742076</c:v>
                </c:pt>
                <c:pt idx="17">
                  <c:v>2.0279907225024041</c:v>
                </c:pt>
                <c:pt idx="18">
                  <c:v>2.0251372832586076</c:v>
                </c:pt>
                <c:pt idx="19">
                  <c:v>2.0199853640802297</c:v>
                </c:pt>
                <c:pt idx="20">
                  <c:v>2.0149321591603853</c:v>
                </c:pt>
                <c:pt idx="21">
                  <c:v>2.0111502835285799</c:v>
                </c:pt>
                <c:pt idx="22">
                  <c:v>2.0088328413027083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D9-49DF-AD81-1A3C44388B19}"/>
            </c:ext>
          </c:extLst>
        </c:ser>
        <c:ser>
          <c:idx val="2"/>
          <c:order val="1"/>
          <c:tx>
            <c:strRef>
              <c:f>'25hike_IPIfar'!$E$1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1.8049776316410207</c:v>
                </c:pt>
                <c:pt idx="6">
                  <c:v>1.8444747356646456</c:v>
                </c:pt>
                <c:pt idx="7">
                  <c:v>1.8658800774563511</c:v>
                </c:pt>
                <c:pt idx="8">
                  <c:v>2.047651624985539</c:v>
                </c:pt>
                <c:pt idx="9">
                  <c:v>2.0680134690110479</c:v>
                </c:pt>
                <c:pt idx="10">
                  <c:v>1.9902804526817994</c:v>
                </c:pt>
                <c:pt idx="11">
                  <c:v>1.9390204040450829</c:v>
                </c:pt>
                <c:pt idx="12">
                  <c:v>1.9224470405817062</c:v>
                </c:pt>
                <c:pt idx="13">
                  <c:v>1.9268787351516625</c:v>
                </c:pt>
                <c:pt idx="14">
                  <c:v>1.939415809390225</c:v>
                </c:pt>
                <c:pt idx="15">
                  <c:v>1.9521879710526879</c:v>
                </c:pt>
                <c:pt idx="16">
                  <c:v>1.9618487568997671</c:v>
                </c:pt>
                <c:pt idx="17">
                  <c:v>1.9679688200195504</c:v>
                </c:pt>
                <c:pt idx="18">
                  <c:v>1.971487975830458</c:v>
                </c:pt>
                <c:pt idx="19">
                  <c:v>1.9736291395026966</c:v>
                </c:pt>
                <c:pt idx="20">
                  <c:v>1.9753333921597584</c:v>
                </c:pt>
                <c:pt idx="21">
                  <c:v>1.9771005404231226</c:v>
                </c:pt>
                <c:pt idx="22">
                  <c:v>1.9790631205678149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D9-49DF-AD81-1A3C44388B19}"/>
            </c:ext>
          </c:extLst>
        </c:ser>
        <c:ser>
          <c:idx val="3"/>
          <c:order val="2"/>
          <c:tx>
            <c:strRef>
              <c:f>'25hike_IPIfar'!$F$1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1.4769788563040886</c:v>
                </c:pt>
                <c:pt idx="6">
                  <c:v>1.5364823863060377</c:v>
                </c:pt>
                <c:pt idx="7">
                  <c:v>1.5903407478382345</c:v>
                </c:pt>
                <c:pt idx="8">
                  <c:v>1.6962332837729057</c:v>
                </c:pt>
                <c:pt idx="9">
                  <c:v>1.7678705728115647</c:v>
                </c:pt>
                <c:pt idx="10">
                  <c:v>1.807055594988602</c:v>
                </c:pt>
                <c:pt idx="11">
                  <c:v>1.8281109339519586</c:v>
                </c:pt>
                <c:pt idx="12">
                  <c:v>1.8418896083982401</c:v>
                </c:pt>
                <c:pt idx="13">
                  <c:v>1.854133791391182</c:v>
                </c:pt>
                <c:pt idx="14">
                  <c:v>1.8668811122708941</c:v>
                </c:pt>
                <c:pt idx="15">
                  <c:v>1.8801493411261196</c:v>
                </c:pt>
                <c:pt idx="16">
                  <c:v>1.8932111620904473</c:v>
                </c:pt>
                <c:pt idx="17">
                  <c:v>1.9053413225275235</c:v>
                </c:pt>
                <c:pt idx="18">
                  <c:v>1.9161229589933211</c:v>
                </c:pt>
                <c:pt idx="19">
                  <c:v>1.925470575451143</c:v>
                </c:pt>
                <c:pt idx="20">
                  <c:v>1.9335221179849749</c:v>
                </c:pt>
                <c:pt idx="21">
                  <c:v>1.9405086528838993</c:v>
                </c:pt>
                <c:pt idx="22">
                  <c:v>1.9466578298415922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D9-49DF-AD81-1A3C44388B19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D9-49DF-AD81-1A3C44388B19}"/>
            </c:ext>
          </c:extLst>
        </c:ser>
        <c:ser>
          <c:idx val="0"/>
          <c:order val="4"/>
          <c:tx>
            <c:strRef>
              <c:f>'25hike_IPIfar'!$H$1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D9-49DF-AD81-1A3C4438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8"/>
          <c:min val="1.4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5168072153820021"/>
          <c:y val="0.11273042925296112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'25hike_IPIfar'!$J$1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'25hike_IPIfar'!$J$2:$J$24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100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'25hike_IPIfar'!$G$1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'25hike_IPIfar'!$G$2:$G$24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0.50441327106219147</c:v>
                </c:pt>
                <c:pt idx="6">
                  <c:v>0.69892739665131642</c:v>
                </c:pt>
                <c:pt idx="7">
                  <c:v>0.78030358720716331</c:v>
                </c:pt>
                <c:pt idx="8">
                  <c:v>1.1931669345804958</c:v>
                </c:pt>
                <c:pt idx="9">
                  <c:v>1.1375943738853662</c:v>
                </c:pt>
                <c:pt idx="10">
                  <c:v>0.88842984606779785</c:v>
                </c:pt>
                <c:pt idx="11">
                  <c:v>0.67506427331562646</c:v>
                </c:pt>
                <c:pt idx="12">
                  <c:v>0.57356050524271085</c:v>
                </c:pt>
                <c:pt idx="13">
                  <c:v>0.56891151583238364</c:v>
                </c:pt>
                <c:pt idx="14">
                  <c:v>0.61602904101726641</c:v>
                </c:pt>
                <c:pt idx="15">
                  <c:v>0.67426045896973774</c:v>
                </c:pt>
                <c:pt idx="16">
                  <c:v>0.71984845158770649</c:v>
                </c:pt>
                <c:pt idx="17">
                  <c:v>0.74532583275143682</c:v>
                </c:pt>
                <c:pt idx="18">
                  <c:v>0.75356612136811252</c:v>
                </c:pt>
                <c:pt idx="19">
                  <c:v>0.75147564703832515</c:v>
                </c:pt>
                <c:pt idx="20">
                  <c:v>0.74564766836570817</c:v>
                </c:pt>
                <c:pt idx="21">
                  <c:v>0.74038741284116005</c:v>
                </c:pt>
                <c:pt idx="22">
                  <c:v>0.73751420476720964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13-404A-8FF1-78DEC7AF9CEA}"/>
            </c:ext>
          </c:extLst>
        </c:ser>
        <c:ser>
          <c:idx val="1"/>
          <c:order val="1"/>
          <c:tx>
            <c:strRef>
              <c:f>'25hike_IPIfar'!$C$1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'25hike_IPIfar'!$A$2:$A$24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'25hike_IPIfar'!$C$2:$C$24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0.36708716631807436</c:v>
                </c:pt>
                <c:pt idx="6">
                  <c:v>0.35650182343746345</c:v>
                </c:pt>
                <c:pt idx="7">
                  <c:v>0.31620558781400043</c:v>
                </c:pt>
                <c:pt idx="8">
                  <c:v>0.22888127304775652</c:v>
                </c:pt>
                <c:pt idx="9">
                  <c:v>0.12261260837788995</c:v>
                </c:pt>
                <c:pt idx="10">
                  <c:v>4.5317230548217985E-2</c:v>
                </c:pt>
                <c:pt idx="11">
                  <c:v>1.4149264600842704E-2</c:v>
                </c:pt>
                <c:pt idx="12">
                  <c:v>1.9100664587640051E-2</c:v>
                </c:pt>
                <c:pt idx="13">
                  <c:v>4.0493225571300723E-2</c:v>
                </c:pt>
                <c:pt idx="14">
                  <c:v>6.1767423650523012E-2</c:v>
                </c:pt>
                <c:pt idx="15">
                  <c:v>7.4263312532783385E-2</c:v>
                </c:pt>
                <c:pt idx="16">
                  <c:v>7.6470579004032757E-2</c:v>
                </c:pt>
                <c:pt idx="17">
                  <c:v>7.1042246739490056E-2</c:v>
                </c:pt>
                <c:pt idx="18">
                  <c:v>6.1858716099209773E-2</c:v>
                </c:pt>
                <c:pt idx="19">
                  <c:v>5.2156170493165857E-2</c:v>
                </c:pt>
                <c:pt idx="20">
                  <c:v>4.3813330057643263E-2</c:v>
                </c:pt>
                <c:pt idx="21">
                  <c:v>3.7441268744857842E-2</c:v>
                </c:pt>
                <c:pt idx="22">
                  <c:v>3.2834754172940128E-2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13-404A-8FF1-78DEC7AF9CEA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'25hike_IPIfar'!$B$2:$B$24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13-404A-8FF1-78DEC7AF9CEA}"/>
            </c:ext>
          </c:extLst>
        </c:ser>
        <c:ser>
          <c:idx val="2"/>
          <c:order val="3"/>
          <c:tx>
            <c:strRef>
              <c:f>'25hike_IPIfar'!$I$1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'25hike_IPIfar'!$I$2:$I$24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13-404A-8FF1-78DEC7AF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875220608697938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4"/>
          <c:order val="5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1"/>
          <c:order val="0"/>
          <c:tx>
            <c:strRef>
              <c:f>'25hike_IPIminus'!$D$1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'25hike_IPIminus'!$D$2:$D$24</c:f>
              <c:numCache>
                <c:formatCode>0.00_ </c:formatCode>
                <c:ptCount val="23"/>
                <c:pt idx="0">
                  <c:v>1.25</c:v>
                </c:pt>
                <c:pt idx="1">
                  <c:v>1.482828648036421</c:v>
                </c:pt>
                <c:pt idx="2">
                  <c:v>1.675780476516227</c:v>
                </c:pt>
                <c:pt idx="3">
                  <c:v>1.8579682183076223</c:v>
                </c:pt>
                <c:pt idx="4">
                  <c:v>2.0059462753145656</c:v>
                </c:pt>
                <c:pt idx="5">
                  <c:v>1.384461141643615</c:v>
                </c:pt>
                <c:pt idx="6">
                  <c:v>1.6270702870513902</c:v>
                </c:pt>
                <c:pt idx="7">
                  <c:v>1.8804684837345449</c:v>
                </c:pt>
                <c:pt idx="8">
                  <c:v>2.0322790377153011</c:v>
                </c:pt>
                <c:pt idx="9">
                  <c:v>2.0968887293233087</c:v>
                </c:pt>
                <c:pt idx="10">
                  <c:v>2.1076067571502488</c:v>
                </c:pt>
                <c:pt idx="11">
                  <c:v>2.092792218519683</c:v>
                </c:pt>
                <c:pt idx="12">
                  <c:v>2.0712423637298643</c:v>
                </c:pt>
                <c:pt idx="13">
                  <c:v>2.052756799712018</c:v>
                </c:pt>
                <c:pt idx="14">
                  <c:v>2.0405310593727894</c:v>
                </c:pt>
                <c:pt idx="15">
                  <c:v>2.0339555738303425</c:v>
                </c:pt>
                <c:pt idx="16">
                  <c:v>2.0309536087861733</c:v>
                </c:pt>
                <c:pt idx="17">
                  <c:v>2.029473434359633</c:v>
                </c:pt>
                <c:pt idx="18">
                  <c:v>2.0281523785099229</c:v>
                </c:pt>
                <c:pt idx="19">
                  <c:v>2.0263951154362982</c:v>
                </c:pt>
                <c:pt idx="20">
                  <c:v>2.0241570020402344</c:v>
                </c:pt>
                <c:pt idx="21">
                  <c:v>2.021660882052577</c:v>
                </c:pt>
                <c:pt idx="22">
                  <c:v>2.0191754585367021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B-4566-BAEE-DA1A491104FA}"/>
            </c:ext>
          </c:extLst>
        </c:ser>
        <c:ser>
          <c:idx val="2"/>
          <c:order val="1"/>
          <c:tx>
            <c:strRef>
              <c:f>'25hike_IPIminus'!$E$1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'25hike_IPIminus'!$E$2:$E$24</c:f>
              <c:numCache>
                <c:formatCode>0.00_ </c:formatCode>
                <c:ptCount val="23"/>
                <c:pt idx="0">
                  <c:v>1.25</c:v>
                </c:pt>
                <c:pt idx="1">
                  <c:v>1.4273375684690084</c:v>
                </c:pt>
                <c:pt idx="2">
                  <c:v>1.5472268698337288</c:v>
                </c:pt>
                <c:pt idx="3">
                  <c:v>1.6535967872670894</c:v>
                </c:pt>
                <c:pt idx="4">
                  <c:v>1.7416207125319034</c:v>
                </c:pt>
                <c:pt idx="5">
                  <c:v>1.5921215987049191</c:v>
                </c:pt>
                <c:pt idx="6">
                  <c:v>1.6032339895574612</c:v>
                </c:pt>
                <c:pt idx="7">
                  <c:v>1.7112231318157294</c:v>
                </c:pt>
                <c:pt idx="8">
                  <c:v>1.7936446225063771</c:v>
                </c:pt>
                <c:pt idx="9">
                  <c:v>1.8427298133734002</c:v>
                </c:pt>
                <c:pt idx="10">
                  <c:v>1.8686548486468473</c:v>
                </c:pt>
                <c:pt idx="11">
                  <c:v>1.8820926937100046</c:v>
                </c:pt>
                <c:pt idx="12">
                  <c:v>1.8905264326995739</c:v>
                </c:pt>
                <c:pt idx="13">
                  <c:v>1.8980643590949924</c:v>
                </c:pt>
                <c:pt idx="14">
                  <c:v>1.9062664276570431</c:v>
                </c:pt>
                <c:pt idx="15">
                  <c:v>1.9151846304387008</c:v>
                </c:pt>
                <c:pt idx="16">
                  <c:v>1.9242474402590699</c:v>
                </c:pt>
                <c:pt idx="17">
                  <c:v>1.9328355230981968</c:v>
                </c:pt>
                <c:pt idx="18">
                  <c:v>1.9405494714538123</c:v>
                </c:pt>
                <c:pt idx="19">
                  <c:v>1.9472553637296015</c:v>
                </c:pt>
                <c:pt idx="20">
                  <c:v>1.9530145453181436</c:v>
                </c:pt>
                <c:pt idx="21">
                  <c:v>1.95798311799247</c:v>
                </c:pt>
                <c:pt idx="22">
                  <c:v>1.9623306053736203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B-4566-BAEE-DA1A491104FA}"/>
            </c:ext>
          </c:extLst>
        </c:ser>
        <c:ser>
          <c:idx val="3"/>
          <c:order val="2"/>
          <c:tx>
            <c:strRef>
              <c:f>'25hike_IPIminus'!$F$1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'25hike_IPIminus'!$F$2:$F$24</c:f>
              <c:numCache>
                <c:formatCode>0.00_ </c:formatCode>
                <c:ptCount val="23"/>
                <c:pt idx="0">
                  <c:v>1.25</c:v>
                </c:pt>
                <c:pt idx="1">
                  <c:v>1.2709545783232779</c:v>
                </c:pt>
                <c:pt idx="2">
                  <c:v>1.3073889091606432</c:v>
                </c:pt>
                <c:pt idx="3">
                  <c:v>1.3569410469838714</c:v>
                </c:pt>
                <c:pt idx="4">
                  <c:v>1.415351517533634</c:v>
                </c:pt>
                <c:pt idx="5">
                  <c:v>1.4125713837035321</c:v>
                </c:pt>
                <c:pt idx="6">
                  <c:v>1.4318762850048394</c:v>
                </c:pt>
                <c:pt idx="7">
                  <c:v>1.4722495828905129</c:v>
                </c:pt>
                <c:pt idx="8">
                  <c:v>1.5226522338247437</c:v>
                </c:pt>
                <c:pt idx="9">
                  <c:v>1.5743335184196148</c:v>
                </c:pt>
                <c:pt idx="10">
                  <c:v>1.6223281099053717</c:v>
                </c:pt>
                <c:pt idx="11">
                  <c:v>1.6646698796806598</c:v>
                </c:pt>
                <c:pt idx="12">
                  <c:v>1.7012614032450881</c:v>
                </c:pt>
                <c:pt idx="13">
                  <c:v>1.7328959889271118</c:v>
                </c:pt>
                <c:pt idx="14">
                  <c:v>1.7605831452672229</c:v>
                </c:pt>
                <c:pt idx="15">
                  <c:v>1.7851866638379037</c:v>
                </c:pt>
                <c:pt idx="16">
                  <c:v>1.8073056888832477</c:v>
                </c:pt>
                <c:pt idx="17">
                  <c:v>1.8273007859761226</c:v>
                </c:pt>
                <c:pt idx="18">
                  <c:v>1.8453774293041645</c:v>
                </c:pt>
                <c:pt idx="19">
                  <c:v>1.8616690210560567</c:v>
                </c:pt>
                <c:pt idx="20">
                  <c:v>1.8762929393446328</c:v>
                </c:pt>
                <c:pt idx="21">
                  <c:v>1.8893760541883478</c:v>
                </c:pt>
                <c:pt idx="22">
                  <c:v>1.9010580005796998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B-4566-BAEE-DA1A491104FA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AB-4566-BAEE-DA1A491104FA}"/>
            </c:ext>
          </c:extLst>
        </c:ser>
        <c:ser>
          <c:idx val="0"/>
          <c:order val="4"/>
          <c:tx>
            <c:strRef>
              <c:f>'25hike_IPIminus'!$H$1</c:f>
              <c:strCache>
                <c:ptCount val="1"/>
                <c:pt idx="0">
                  <c:v>物価目標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'25hike_IPIminus'!$H$2:$H$24</c:f>
              <c:numCache>
                <c:formatCode>0.00_ 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AB-4566-BAEE-DA1A49110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2.2000000000000002"/>
          <c:min val="1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4294121063677061"/>
          <c:y val="0.63981778098546271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barChart>
        <c:barDir val="col"/>
        <c:grouping val="clustered"/>
        <c:varyColors val="0"/>
        <c:ser>
          <c:idx val="3"/>
          <c:order val="4"/>
          <c:tx>
            <c:strRef>
              <c:f>'25hike_IPIminus'!$J$1</c:f>
              <c:strCache>
                <c:ptCount val="1"/>
                <c:pt idx="0">
                  <c:v>縦軸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val>
            <c:numRef>
              <c:f>'25hike_IPIminus'!$J$2:$J$24</c:f>
              <c:numCache>
                <c:formatCode>0.00_ </c:formatCode>
                <c:ptCount val="23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100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344480831"/>
        <c:axId val="344486591"/>
      </c:barChart>
      <c:lineChart>
        <c:grouping val="standard"/>
        <c:varyColors val="0"/>
        <c:ser>
          <c:idx val="0"/>
          <c:order val="0"/>
          <c:tx>
            <c:strRef>
              <c:f>'25hike_IPIminus'!$G$1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'25hike_IPIminus'!$G$2:$G$24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-1.000000000000119E-5</c:v>
                </c:pt>
                <c:pt idx="2">
                  <c:v>-1.0000000000000739E-5</c:v>
                </c:pt>
                <c:pt idx="3">
                  <c:v>-9.999999999995127E-6</c:v>
                </c:pt>
                <c:pt idx="4">
                  <c:v>0.25</c:v>
                </c:pt>
                <c:pt idx="5">
                  <c:v>0.25441327106219147</c:v>
                </c:pt>
                <c:pt idx="6">
                  <c:v>0.44892739665131642</c:v>
                </c:pt>
                <c:pt idx="7">
                  <c:v>0.53030358720716331</c:v>
                </c:pt>
                <c:pt idx="8">
                  <c:v>0.55827110713232697</c:v>
                </c:pt>
                <c:pt idx="9">
                  <c:v>0.70384052650633189</c:v>
                </c:pt>
                <c:pt idx="10">
                  <c:v>0.76517693663759678</c:v>
                </c:pt>
                <c:pt idx="11">
                  <c:v>0.76780583830640148</c:v>
                </c:pt>
                <c:pt idx="12">
                  <c:v>0.74362823040420434</c:v>
                </c:pt>
                <c:pt idx="13">
                  <c:v>0.71658354309932792</c:v>
                </c:pt>
                <c:pt idx="14">
                  <c:v>0.69884035183197712</c:v>
                </c:pt>
                <c:pt idx="15">
                  <c:v>0.69297197098989405</c:v>
                </c:pt>
                <c:pt idx="16">
                  <c:v>0.69615845718948166</c:v>
                </c:pt>
                <c:pt idx="17">
                  <c:v>0.70394938426212683</c:v>
                </c:pt>
                <c:pt idx="18">
                  <c:v>0.71258446022559574</c:v>
                </c:pt>
                <c:pt idx="19">
                  <c:v>0.71987145191597046</c:v>
                </c:pt>
                <c:pt idx="20">
                  <c:v>0.72509195960606487</c:v>
                </c:pt>
                <c:pt idx="21">
                  <c:v>0.72847534212480214</c:v>
                </c:pt>
                <c:pt idx="22">
                  <c:v>0.73063835967541746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7-430F-8EE0-B6E68C9286DB}"/>
            </c:ext>
          </c:extLst>
        </c:ser>
        <c:ser>
          <c:idx val="1"/>
          <c:order val="1"/>
          <c:tx>
            <c:strRef>
              <c:f>'25hike_IPIminus'!$C$1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'25hike_IPIminus'!$A$2:$A$24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'25hike_IPIminus'!$C$2:$C$24</c:f>
              <c:numCache>
                <c:formatCode>0.00_ </c:formatCode>
                <c:ptCount val="23"/>
                <c:pt idx="0">
                  <c:v>0</c:v>
                </c:pt>
                <c:pt idx="1">
                  <c:v>4.9539478305621484E-2</c:v>
                </c:pt>
                <c:pt idx="2">
                  <c:v>0.13414609359043725</c:v>
                </c:pt>
                <c:pt idx="3">
                  <c:v>0.24421067667960472</c:v>
                </c:pt>
                <c:pt idx="4">
                  <c:v>0.32953850322660372</c:v>
                </c:pt>
                <c:pt idx="5">
                  <c:v>0.36854704196687699</c:v>
                </c:pt>
                <c:pt idx="6">
                  <c:v>0.37436316462324332</c:v>
                </c:pt>
                <c:pt idx="7">
                  <c:v>0.36756590217716756</c:v>
                </c:pt>
                <c:pt idx="8">
                  <c:v>0.3596990830891893</c:v>
                </c:pt>
                <c:pt idx="9">
                  <c:v>0.3317211063665011</c:v>
                </c:pt>
                <c:pt idx="10">
                  <c:v>0.28895713486628588</c:v>
                </c:pt>
                <c:pt idx="11">
                  <c:v>0.24282487738241093</c:v>
                </c:pt>
                <c:pt idx="12">
                  <c:v>0.20208256133219743</c:v>
                </c:pt>
                <c:pt idx="13">
                  <c:v>0.1704851518194363</c:v>
                </c:pt>
                <c:pt idx="14">
                  <c:v>0.14775429475112459</c:v>
                </c:pt>
                <c:pt idx="15">
                  <c:v>0.13156318510082843</c:v>
                </c:pt>
                <c:pt idx="16">
                  <c:v>0.11924317886547686</c:v>
                </c:pt>
                <c:pt idx="17">
                  <c:v>0.10875096232869323</c:v>
                </c:pt>
                <c:pt idx="18">
                  <c:v>9.8946541758855616E-2</c:v>
                </c:pt>
                <c:pt idx="19">
                  <c:v>8.9442981256580498E-2</c:v>
                </c:pt>
                <c:pt idx="20">
                  <c:v>8.0296865225752745E-2</c:v>
                </c:pt>
                <c:pt idx="21">
                  <c:v>7.1721645718735266E-2</c:v>
                </c:pt>
                <c:pt idx="22">
                  <c:v>6.3904122603146291E-2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B7-430F-8EE0-B6E68C9286DB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'25hike_IPIminus'!$B$2:$B$24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B7-430F-8EE0-B6E68C9286DB}"/>
            </c:ext>
          </c:extLst>
        </c:ser>
        <c:ser>
          <c:idx val="2"/>
          <c:order val="3"/>
          <c:tx>
            <c:strRef>
              <c:f>'25hike_IPIminus'!$I$1</c:f>
              <c:strCache>
                <c:ptCount val="1"/>
                <c:pt idx="0">
                  <c:v>ターミナルレート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'25hike_IPIminus'!$I$2:$I$24</c:f>
              <c:numCache>
                <c:formatCode>0.00_ </c:formatCode>
                <c:ptCount val="2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B7-430F-8EE0-B6E68C928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53314664307327864"/>
          <c:y val="0.11763367814100763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IPI_plus!$D$1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IPI_plus!$D$2:$D$24</c:f>
              <c:numCache>
                <c:formatCode>0.00_ </c:formatCode>
                <c:ptCount val="23"/>
                <c:pt idx="0">
                  <c:v>0.65625080807157132</c:v>
                </c:pt>
                <c:pt idx="1">
                  <c:v>0.41013335301948989</c:v>
                </c:pt>
                <c:pt idx="2">
                  <c:v>0.14457930195397314</c:v>
                </c:pt>
                <c:pt idx="3">
                  <c:v>-2.5890164008792096E-3</c:v>
                </c:pt>
                <c:pt idx="4">
                  <c:v>-5.4563492579120881E-2</c:v>
                </c:pt>
                <c:pt idx="5">
                  <c:v>-5.4591992813280373E-2</c:v>
                </c:pt>
                <c:pt idx="6">
                  <c:v>-3.5475939000497149E-2</c:v>
                </c:pt>
                <c:pt idx="7">
                  <c:v>-1.5869951089005439E-2</c:v>
                </c:pt>
                <c:pt idx="8">
                  <c:v>-3.2524343880147278E-3</c:v>
                </c:pt>
                <c:pt idx="9">
                  <c:v>1.7518554605043828E-3</c:v>
                </c:pt>
                <c:pt idx="10">
                  <c:v>1.5744231256228178E-3</c:v>
                </c:pt>
                <c:pt idx="11">
                  <c:v>-8.5811618174635952E-4</c:v>
                </c:pt>
                <c:pt idx="12">
                  <c:v>-3.4004816267181178E-3</c:v>
                </c:pt>
                <c:pt idx="13">
                  <c:v>-5.0006612068398699E-3</c:v>
                </c:pt>
                <c:pt idx="14">
                  <c:v>-5.4769483751220633E-3</c:v>
                </c:pt>
                <c:pt idx="15">
                  <c:v>-5.1228659841476712E-3</c:v>
                </c:pt>
                <c:pt idx="16">
                  <c:v>-4.3624051666618317E-3</c:v>
                </c:pt>
                <c:pt idx="17">
                  <c:v>-3.5427377459996507E-3</c:v>
                </c:pt>
                <c:pt idx="18">
                  <c:v>-2.8603168904288078E-3</c:v>
                </c:pt>
                <c:pt idx="19">
                  <c:v>-2.3747202528096611E-3</c:v>
                </c:pt>
                <c:pt idx="20">
                  <c:v>-2.0598440516951593E-3</c:v>
                </c:pt>
                <c:pt idx="21">
                  <c:v>-1.8562562150509761E-3</c:v>
                </c:pt>
                <c:pt idx="22">
                  <c:v>-1.7070757413202775E-3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17-4F80-8334-9E6356DD779B}"/>
            </c:ext>
          </c:extLst>
        </c:ser>
        <c:ser>
          <c:idx val="2"/>
          <c:order val="1"/>
          <c:tx>
            <c:strRef>
              <c:f>IPI_plus!$E$1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IPI_plus!$E$2:$E$24</c:f>
              <c:numCache>
                <c:formatCode>0.00_ </c:formatCode>
                <c:ptCount val="23"/>
                <c:pt idx="0">
                  <c:v>0.17082054153261755</c:v>
                </c:pt>
                <c:pt idx="1">
                  <c:v>0.18425852575147778</c:v>
                </c:pt>
                <c:pt idx="2">
                  <c:v>9.9742329392002949E-2</c:v>
                </c:pt>
                <c:pt idx="3">
                  <c:v>4.0365555210367943E-2</c:v>
                </c:pt>
                <c:pt idx="4">
                  <c:v>1.4451034722849481E-2</c:v>
                </c:pt>
                <c:pt idx="5">
                  <c:v>9.1059793490889662E-3</c:v>
                </c:pt>
                <c:pt idx="6">
                  <c:v>1.2251730814821339E-2</c:v>
                </c:pt>
                <c:pt idx="7">
                  <c:v>1.6555708039712562E-2</c:v>
                </c:pt>
                <c:pt idx="8">
                  <c:v>1.8870870403491426E-2</c:v>
                </c:pt>
                <c:pt idx="9">
                  <c:v>1.8715749239434674E-2</c:v>
                </c:pt>
                <c:pt idx="10">
                  <c:v>1.6852280691061497E-2</c:v>
                </c:pt>
                <c:pt idx="11">
                  <c:v>1.4302975052693219E-2</c:v>
                </c:pt>
                <c:pt idx="12">
                  <c:v>1.1844659862312298E-2</c:v>
                </c:pt>
                <c:pt idx="13">
                  <c:v>9.8672079079105135E-3</c:v>
                </c:pt>
                <c:pt idx="14">
                  <c:v>8.4402968662341416E-3</c:v>
                </c:pt>
                <c:pt idx="15">
                  <c:v>7.4527363049500962E-3</c:v>
                </c:pt>
                <c:pt idx="16">
                  <c:v>6.7391616997485608E-3</c:v>
                </c:pt>
                <c:pt idx="17">
                  <c:v>6.1587771029672196E-3</c:v>
                </c:pt>
                <c:pt idx="18">
                  <c:v>5.6253569148200415E-3</c:v>
                </c:pt>
                <c:pt idx="19">
                  <c:v>5.1041452468584061E-3</c:v>
                </c:pt>
                <c:pt idx="20">
                  <c:v>4.5939287612843773E-3</c:v>
                </c:pt>
                <c:pt idx="21">
                  <c:v>4.1078349669337842E-3</c:v>
                </c:pt>
                <c:pt idx="22">
                  <c:v>3.6597371400077443E-3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17-4F80-8334-9E6356DD779B}"/>
            </c:ext>
          </c:extLst>
        </c:ser>
        <c:ser>
          <c:idx val="3"/>
          <c:order val="2"/>
          <c:tx>
            <c:strRef>
              <c:f>IPI_plus!$F$1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IPI_plus!$F$2:$F$24</c:f>
              <c:numCache>
                <c:formatCode>0.00_ </c:formatCode>
                <c:ptCount val="23"/>
                <c:pt idx="0">
                  <c:v>5.9062572726441401E-2</c:v>
                </c:pt>
                <c:pt idx="1">
                  <c:v>9.0658942952815749E-2</c:v>
                </c:pt>
                <c:pt idx="2">
                  <c:v>9.5511775262920012E-2</c:v>
                </c:pt>
                <c:pt idx="3">
                  <c:v>8.6682704013178027E-2</c:v>
                </c:pt>
                <c:pt idx="4">
                  <c:v>7.3970546319871114E-2</c:v>
                </c:pt>
                <c:pt idx="5">
                  <c:v>6.2399917797887471E-2</c:v>
                </c:pt>
                <c:pt idx="6">
                  <c:v>5.3591090686032919E-2</c:v>
                </c:pt>
                <c:pt idx="7">
                  <c:v>4.7339596926279495E-2</c:v>
                </c:pt>
                <c:pt idx="8">
                  <c:v>4.2786314107992988E-2</c:v>
                </c:pt>
                <c:pt idx="9">
                  <c:v>3.9093212829719025E-2</c:v>
                </c:pt>
                <c:pt idx="10">
                  <c:v>3.5716521756350386E-2</c:v>
                </c:pt>
                <c:pt idx="11">
                  <c:v>3.2424804341921694E-2</c:v>
                </c:pt>
                <c:pt idx="12">
                  <c:v>2.9200528604744116E-2</c:v>
                </c:pt>
                <c:pt idx="13">
                  <c:v>2.6122421521701571E-2</c:v>
                </c:pt>
                <c:pt idx="14">
                  <c:v>2.3278478230987453E-2</c:v>
                </c:pt>
                <c:pt idx="15">
                  <c:v>2.0722357251625283E-2</c:v>
                </c:pt>
                <c:pt idx="16">
                  <c:v>1.8464728633979445E-2</c:v>
                </c:pt>
                <c:pt idx="17">
                  <c:v>1.6484056659781334E-2</c:v>
                </c:pt>
                <c:pt idx="18">
                  <c:v>1.4743063040262424E-2</c:v>
                </c:pt>
                <c:pt idx="19">
                  <c:v>1.3202462543885938E-2</c:v>
                </c:pt>
                <c:pt idx="20">
                  <c:v>1.1828854950283631E-2</c:v>
                </c:pt>
                <c:pt idx="21">
                  <c:v>1.0597194945403515E-2</c:v>
                </c:pt>
                <c:pt idx="22">
                  <c:v>9.4898105835983688E-3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17-4F80-8334-9E6356DD77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17-4F80-8334-9E6356DD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8"/>
          <c:min val="-0.2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2384495257508259"/>
          <c:y val="0.15739884889130873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IPI_plus!$G$1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IPI_plus!$G$2:$G$24</c:f>
              <c:numCache>
                <c:formatCode>0.00_ </c:formatCode>
                <c:ptCount val="23"/>
                <c:pt idx="0">
                  <c:v>0.40805396893306661</c:v>
                </c:pt>
                <c:pt idx="1">
                  <c:v>0.38290353213092337</c:v>
                </c:pt>
                <c:pt idx="2">
                  <c:v>0.16872947519362499</c:v>
                </c:pt>
                <c:pt idx="3">
                  <c:v>-2.086690996142173E-2</c:v>
                </c:pt>
                <c:pt idx="4">
                  <c:v>-0.11346601481014067</c:v>
                </c:pt>
                <c:pt idx="5">
                  <c:v>-0.12078391417337897</c:v>
                </c:pt>
                <c:pt idx="6">
                  <c:v>-8.240855096118517E-2</c:v>
                </c:pt>
                <c:pt idx="7">
                  <c:v>-3.4246887061753897E-2</c:v>
                </c:pt>
                <c:pt idx="8">
                  <c:v>2.7708064959456832E-3</c:v>
                </c:pt>
                <c:pt idx="9">
                  <c:v>2.2156979795872188E-2</c:v>
                </c:pt>
                <c:pt idx="10">
                  <c:v>2.6553517127352644E-2</c:v>
                </c:pt>
                <c:pt idx="11">
                  <c:v>2.2122099642371312E-2</c:v>
                </c:pt>
                <c:pt idx="12">
                  <c:v>1.4699013118273895E-2</c:v>
                </c:pt>
                <c:pt idx="13">
                  <c:v>8.0638431016074701E-3</c:v>
                </c:pt>
                <c:pt idx="14">
                  <c:v>3.7835054614166457E-3</c:v>
                </c:pt>
                <c:pt idx="15">
                  <c:v>1.8582257451393441E-3</c:v>
                </c:pt>
                <c:pt idx="16">
                  <c:v>1.5393598260196207E-3</c:v>
                </c:pt>
                <c:pt idx="17">
                  <c:v>1.9629475630356537E-3</c:v>
                </c:pt>
                <c:pt idx="18">
                  <c:v>2.4893408754004774E-3</c:v>
                </c:pt>
                <c:pt idx="19">
                  <c:v>2.7922937612433929E-3</c:v>
                </c:pt>
                <c:pt idx="20">
                  <c:v>2.7996789115449878E-3</c:v>
                </c:pt>
                <c:pt idx="21">
                  <c:v>2.582762783601152E-3</c:v>
                </c:pt>
                <c:pt idx="22">
                  <c:v>2.2569535050618499E-3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8-470C-B130-E452DDFEA910}"/>
            </c:ext>
          </c:extLst>
        </c:ser>
        <c:ser>
          <c:idx val="1"/>
          <c:order val="1"/>
          <c:tx>
            <c:strRef>
              <c:f>IPI_plus!$C$1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IPI_plus!$A$2:$A$24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IPI_plus!$C$2:$C$24</c:f>
              <c:numCache>
                <c:formatCode>0.00_ </c:formatCode>
                <c:ptCount val="23"/>
                <c:pt idx="0">
                  <c:v>-3.7299240530264788E-2</c:v>
                </c:pt>
                <c:pt idx="1">
                  <c:v>-9.754750850567756E-2</c:v>
                </c:pt>
                <c:pt idx="2">
                  <c:v>-0.1389094117450404</c:v>
                </c:pt>
                <c:pt idx="3">
                  <c:v>-0.14457332850960189</c:v>
                </c:pt>
                <c:pt idx="4">
                  <c:v>-0.12195975133164232</c:v>
                </c:pt>
                <c:pt idx="5">
                  <c:v>-8.7535191966035042E-2</c:v>
                </c:pt>
                <c:pt idx="6">
                  <c:v>-5.5333760481306948E-2</c:v>
                </c:pt>
                <c:pt idx="7">
                  <c:v>-3.2584244125130168E-2</c:v>
                </c:pt>
                <c:pt idx="8">
                  <c:v>-2.0304410128780936E-2</c:v>
                </c:pt>
                <c:pt idx="9">
                  <c:v>-1.5913057423773254E-2</c:v>
                </c:pt>
                <c:pt idx="10">
                  <c:v>-1.5808708685600373E-2</c:v>
                </c:pt>
                <c:pt idx="11">
                  <c:v>-1.7007701534536502E-2</c:v>
                </c:pt>
                <c:pt idx="12">
                  <c:v>-1.7758388639490041E-2</c:v>
                </c:pt>
                <c:pt idx="13">
                  <c:v>-1.7448155786083244E-2</c:v>
                </c:pt>
                <c:pt idx="14">
                  <c:v>-1.6195284154283923E-2</c:v>
                </c:pt>
                <c:pt idx="15">
                  <c:v>-1.4419845083803463E-2</c:v>
                </c:pt>
                <c:pt idx="16">
                  <c:v>-1.2542680005015521E-2</c:v>
                </c:pt>
                <c:pt idx="17">
                  <c:v>-1.0842675316294905E-2</c:v>
                </c:pt>
                <c:pt idx="18">
                  <c:v>-9.435592546515905E-3</c:v>
                </c:pt>
                <c:pt idx="19">
                  <c:v>-8.3175608175975781E-3</c:v>
                </c:pt>
                <c:pt idx="20">
                  <c:v>-7.4251559268492242E-3</c:v>
                </c:pt>
                <c:pt idx="21">
                  <c:v>-6.6837916644916081E-3</c:v>
                </c:pt>
                <c:pt idx="22">
                  <c:v>-6.0347639559874718E-3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8-470C-B130-E452DDFEA910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IPI_plus!$B$2:$B$24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8-470C-B130-E452DDFE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75000000000000011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IPI_minus!$D$1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IPI_minus!$D$2:$D$24</c:f>
              <c:numCache>
                <c:formatCode>0.00_ </c:formatCode>
                <c:ptCount val="23"/>
                <c:pt idx="0">
                  <c:v>-0.71563858445062778</c:v>
                </c:pt>
                <c:pt idx="1">
                  <c:v>-0.51105890260768683</c:v>
                </c:pt>
                <c:pt idx="2">
                  <c:v>-0.25444014181812497</c:v>
                </c:pt>
                <c:pt idx="3">
                  <c:v>-7.8394634658821932E-2</c:v>
                </c:pt>
                <c:pt idx="4">
                  <c:v>1.4818920362573051E-2</c:v>
                </c:pt>
                <c:pt idx="5">
                  <c:v>4.8926350992242934E-2</c:v>
                </c:pt>
                <c:pt idx="6">
                  <c:v>4.9199396426241312E-2</c:v>
                </c:pt>
                <c:pt idx="7">
                  <c:v>3.5471554462323612E-2</c:v>
                </c:pt>
                <c:pt idx="8">
                  <c:v>2.0228720801143539E-2</c:v>
                </c:pt>
                <c:pt idx="9">
                  <c:v>9.2844303176405248E-3</c:v>
                </c:pt>
                <c:pt idx="10">
                  <c:v>3.7797454123845017E-3</c:v>
                </c:pt>
                <c:pt idx="11">
                  <c:v>2.4204892239511056E-3</c:v>
                </c:pt>
                <c:pt idx="12">
                  <c:v>3.2345673177331851E-3</c:v>
                </c:pt>
                <c:pt idx="13">
                  <c:v>4.589518376937776E-3</c:v>
                </c:pt>
                <c:pt idx="14">
                  <c:v>5.5516351743219701E-3</c:v>
                </c:pt>
                <c:pt idx="15">
                  <c:v>5.8243612531310917E-3</c:v>
                </c:pt>
                <c:pt idx="16">
                  <c:v>5.5099373171572643E-3</c:v>
                </c:pt>
                <c:pt idx="17">
                  <c:v>4.8656688588716553E-3</c:v>
                </c:pt>
                <c:pt idx="18">
                  <c:v>4.1373418471302228E-3</c:v>
                </c:pt>
                <c:pt idx="19">
                  <c:v>3.4837066802973302E-3</c:v>
                </c:pt>
                <c:pt idx="20">
                  <c:v>2.9689423502322222E-3</c:v>
                </c:pt>
                <c:pt idx="21">
                  <c:v>2.5899610608483914E-3</c:v>
                </c:pt>
                <c:pt idx="22">
                  <c:v>2.3114249818285883E-3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F2-41B2-BD4F-6C70E16EA89B}"/>
            </c:ext>
          </c:extLst>
        </c:ser>
        <c:ser>
          <c:idx val="2"/>
          <c:order val="1"/>
          <c:tx>
            <c:strRef>
              <c:f>IPI_minus!$E$1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IPI_minus!$E$2:$E$24</c:f>
              <c:numCache>
                <c:formatCode>0.00_ </c:formatCode>
                <c:ptCount val="23"/>
                <c:pt idx="0">
                  <c:v>-0.21285603293610156</c:v>
                </c:pt>
                <c:pt idx="1">
                  <c:v>-0.24124074610718441</c:v>
                </c:pt>
                <c:pt idx="2">
                  <c:v>-0.15465694564062177</c:v>
                </c:pt>
                <c:pt idx="3">
                  <c:v>-8.3186460946544402E-2</c:v>
                </c:pt>
                <c:pt idx="4">
                  <c:v>-4.1025129886170006E-2</c:v>
                </c:pt>
                <c:pt idx="5">
                  <c:v>-2.1883274642949223E-2</c:v>
                </c:pt>
                <c:pt idx="6">
                  <c:v>-1.6562155124710307E-2</c:v>
                </c:pt>
                <c:pt idx="7">
                  <c:v>-1.7469573159282832E-2</c:v>
                </c:pt>
                <c:pt idx="8">
                  <c:v>-1.9708396707581358E-2</c:v>
                </c:pt>
                <c:pt idx="9">
                  <c:v>-2.089765091836044E-2</c:v>
                </c:pt>
                <c:pt idx="10">
                  <c:v>-2.0447632574274545E-2</c:v>
                </c:pt>
                <c:pt idx="11">
                  <c:v>-1.8730446237205867E-2</c:v>
                </c:pt>
                <c:pt idx="12">
                  <c:v>-1.6417547681918766E-2</c:v>
                </c:pt>
                <c:pt idx="13">
                  <c:v>-1.4086223685584039E-2</c:v>
                </c:pt>
                <c:pt idx="14">
                  <c:v>-1.2070800720401703E-2</c:v>
                </c:pt>
                <c:pt idx="15">
                  <c:v>-1.0474186979302568E-2</c:v>
                </c:pt>
                <c:pt idx="16">
                  <c:v>-9.2502145227420316E-3</c:v>
                </c:pt>
                <c:pt idx="17">
                  <c:v>-8.2922183279606609E-3</c:v>
                </c:pt>
                <c:pt idx="18">
                  <c:v>-7.4954915107227687E-3</c:v>
                </c:pt>
                <c:pt idx="19">
                  <c:v>-6.7868540033195549E-3</c:v>
                </c:pt>
                <c:pt idx="20">
                  <c:v>-6.1288663900075802E-3</c:v>
                </c:pt>
                <c:pt idx="21">
                  <c:v>-5.5105453249841866E-3</c:v>
                </c:pt>
                <c:pt idx="22">
                  <c:v>-4.9346288707000415E-3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F2-41B2-BD4F-6C70E16EA89B}"/>
            </c:ext>
          </c:extLst>
        </c:ser>
        <c:ser>
          <c:idx val="3"/>
          <c:order val="2"/>
          <c:tx>
            <c:strRef>
              <c:f>IPI_minus!$F$1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IPI_minus!$F$2:$F$24</c:f>
              <c:numCache>
                <c:formatCode>0.00_ </c:formatCode>
                <c:ptCount val="23"/>
                <c:pt idx="0">
                  <c:v>-6.4407472600556487E-2</c:v>
                </c:pt>
                <c:pt idx="1">
                  <c:v>-0.10460610130119823</c:v>
                </c:pt>
                <c:pt idx="2">
                  <c:v>-0.11809116494772165</c:v>
                </c:pt>
                <c:pt idx="3">
                  <c:v>-0.11451847722172068</c:v>
                </c:pt>
                <c:pt idx="4">
                  <c:v>-0.10287811143913424</c:v>
                </c:pt>
                <c:pt idx="5">
                  <c:v>-8.9215709820310324E-2</c:v>
                </c:pt>
                <c:pt idx="6">
                  <c:v>-7.6758350258120681E-2</c:v>
                </c:pt>
                <c:pt idx="7">
                  <c:v>-6.6657658833280689E-2</c:v>
                </c:pt>
                <c:pt idx="8">
                  <c:v>-5.8837884666182512E-2</c:v>
                </c:pt>
                <c:pt idx="9">
                  <c:v>-5.2706876317638443E-2</c:v>
                </c:pt>
                <c:pt idx="10">
                  <c:v>-4.7623080361936375E-2</c:v>
                </c:pt>
                <c:pt idx="11">
                  <c:v>-4.3119159099206501E-2</c:v>
                </c:pt>
                <c:pt idx="12">
                  <c:v>-3.8947323721681928E-2</c:v>
                </c:pt>
                <c:pt idx="13">
                  <c:v>-3.5029007932806153E-2</c:v>
                </c:pt>
                <c:pt idx="14">
                  <c:v>-3.1376750053164627E-2</c:v>
                </c:pt>
                <c:pt idx="15">
                  <c:v>-2.8028650035598013E-2</c:v>
                </c:pt>
                <c:pt idx="16">
                  <c:v>-2.5010177173850037E-2</c:v>
                </c:pt>
                <c:pt idx="17">
                  <c:v>-2.2321351030905087E-2</c:v>
                </c:pt>
                <c:pt idx="18">
                  <c:v>-1.994006867188191E-2</c:v>
                </c:pt>
                <c:pt idx="19">
                  <c:v>-1.7831928890185776E-2</c:v>
                </c:pt>
                <c:pt idx="20">
                  <c:v>-1.5959850478548157E-2</c:v>
                </c:pt>
                <c:pt idx="21">
                  <c:v>-1.429036744000247E-2</c:v>
                </c:pt>
                <c:pt idx="22">
                  <c:v>-1.2796206122037674E-2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F2-41B2-BD4F-6C70E16EA89B}"/>
            </c:ext>
          </c:extLst>
        </c:ser>
        <c:ser>
          <c:idx val="6"/>
          <c:order val="3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F2-41B2-BD4F-6C70E16EA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"/>
          <c:min val="-0.8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1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.40714349119721205"/>
          <c:y val="0.64577357027057569"/>
          <c:w val="0.51769993260237046"/>
          <c:h val="0.2169098457638159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0"/>
          <c:order val="0"/>
          <c:tx>
            <c:strRef>
              <c:f>IPI_minus!$G$1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8"/>
            <c:spPr>
              <a:solidFill>
                <a:srgbClr val="002060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val>
            <c:numRef>
              <c:f>IPI_minus!$G$2:$G$24</c:f>
              <c:numCache>
                <c:formatCode>0.00_ </c:formatCode>
                <c:ptCount val="23"/>
                <c:pt idx="0">
                  <c:v>-0.25</c:v>
                </c:pt>
                <c:pt idx="1">
                  <c:v>-0.25</c:v>
                </c:pt>
                <c:pt idx="2">
                  <c:v>-0.24999999999999997</c:v>
                </c:pt>
                <c:pt idx="3">
                  <c:v>-0.2268418585151023</c:v>
                </c:pt>
                <c:pt idx="4">
                  <c:v>-5.0850315248111025E-2</c:v>
                </c:pt>
                <c:pt idx="5">
                  <c:v>4.5476565763423973E-2</c:v>
                </c:pt>
                <c:pt idx="6">
                  <c:v>7.1874655029353265E-2</c:v>
                </c:pt>
                <c:pt idx="7">
                  <c:v>5.6601710351352842E-2</c:v>
                </c:pt>
                <c:pt idx="8">
                  <c:v>2.6888113093565327E-2</c:v>
                </c:pt>
                <c:pt idx="9">
                  <c:v>4.027598535255323E-4</c:v>
                </c:pt>
                <c:pt idx="10">
                  <c:v>-1.5535375041597674E-2</c:v>
                </c:pt>
                <c:pt idx="11">
                  <c:v>-2.0919187902279156E-2</c:v>
                </c:pt>
                <c:pt idx="12">
                  <c:v>-1.9219468693437814E-2</c:v>
                </c:pt>
                <c:pt idx="13">
                  <c:v>-1.4428144015164098E-2</c:v>
                </c:pt>
                <c:pt idx="14">
                  <c:v>-9.4820954799833563E-3</c:v>
                </c:pt>
                <c:pt idx="15">
                  <c:v>-5.8566956413694093E-3</c:v>
                </c:pt>
                <c:pt idx="16">
                  <c:v>-3.8482276147504598E-3</c:v>
                </c:pt>
                <c:pt idx="17">
                  <c:v>-3.0923396303756314E-3</c:v>
                </c:pt>
                <c:pt idx="18">
                  <c:v>-3.0262054592150845E-3</c:v>
                </c:pt>
                <c:pt idx="19">
                  <c:v>-3.1735091101565641E-3</c:v>
                </c:pt>
                <c:pt idx="20">
                  <c:v>-3.2523102008152863E-3</c:v>
                </c:pt>
                <c:pt idx="21">
                  <c:v>-3.1634227419397799E-3</c:v>
                </c:pt>
                <c:pt idx="22">
                  <c:v>-2.9256225557446692E-3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0-4342-AA71-077D0111DBD2}"/>
            </c:ext>
          </c:extLst>
        </c:ser>
        <c:ser>
          <c:idx val="1"/>
          <c:order val="1"/>
          <c:tx>
            <c:strRef>
              <c:f>IPI_minus!$C$1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19050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IPI_minus!$A$2:$A$24</c:f>
              <c:numCache>
                <c:formatCode>General</c:formatCode>
                <c:ptCount val="23"/>
                <c:pt idx="0">
                  <c:v>-1</c:v>
                </c:pt>
                <c:pt idx="1">
                  <c:v>-0.75</c:v>
                </c:pt>
                <c:pt idx="2">
                  <c:v>-0.5</c:v>
                </c:pt>
                <c:pt idx="3">
                  <c:v>-0.25</c:v>
                </c:pt>
                <c:pt idx="4">
                  <c:v>0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</c:numCache>
            </c:numRef>
          </c:cat>
          <c:val>
            <c:numRef>
              <c:f>IPI_minus!$C$2:$C$24</c:f>
              <c:numCache>
                <c:formatCode>0.00_ </c:formatCode>
                <c:ptCount val="23"/>
                <c:pt idx="0">
                  <c:v>1.4598756488026017E-3</c:v>
                </c:pt>
                <c:pt idx="1">
                  <c:v>1.7861341185779887E-2</c:v>
                </c:pt>
                <c:pt idx="2">
                  <c:v>5.1360314363167139E-2</c:v>
                </c:pt>
                <c:pt idx="3">
                  <c:v>9.3518569511168007E-2</c:v>
                </c:pt>
                <c:pt idx="4">
                  <c:v>0.1115609894829336</c:v>
                </c:pt>
                <c:pt idx="5">
                  <c:v>0.10473049257302749</c:v>
                </c:pt>
                <c:pt idx="6">
                  <c:v>8.4102284271966338E-2</c:v>
                </c:pt>
                <c:pt idx="7">
                  <c:v>6.1022145412915077E-2</c:v>
                </c:pt>
                <c:pt idx="8">
                  <c:v>4.2456734282100519E-2</c:v>
                </c:pt>
                <c:pt idx="9">
                  <c:v>3.0653110619294634E-2</c:v>
                </c:pt>
                <c:pt idx="10">
                  <c:v>2.4715628442914861E-2</c:v>
                </c:pt>
                <c:pt idx="11">
                  <c:v>2.2468189732663169E-2</c:v>
                </c:pt>
                <c:pt idx="12">
                  <c:v>2.1795658165429929E-2</c:v>
                </c:pt>
                <c:pt idx="13">
                  <c:v>2.1279116974045467E-2</c:v>
                </c:pt>
                <c:pt idx="14">
                  <c:v>2.0279109228878142E-2</c:v>
                </c:pt>
                <c:pt idx="15">
                  <c:v>1.8725146528619441E-2</c:v>
                </c:pt>
                <c:pt idx="16">
                  <c:v>1.6832221187794188E-2</c:v>
                </c:pt>
                <c:pt idx="17">
                  <c:v>1.4874084275922243E-2</c:v>
                </c:pt>
                <c:pt idx="18">
                  <c:v>1.3056994963782494E-2</c:v>
                </c:pt>
                <c:pt idx="19">
                  <c:v>1.1482231629614079E-2</c:v>
                </c:pt>
                <c:pt idx="20">
                  <c:v>1.0162982093046842E-2</c:v>
                </c:pt>
                <c:pt idx="21">
                  <c:v>9.0615767848998448E-3</c:v>
                </c:pt>
                <c:pt idx="22">
                  <c:v>8.1242480616431738E-3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B0-4342-AA71-077D0111DBD2}"/>
            </c:ext>
          </c:extLst>
        </c:ser>
        <c:ser>
          <c:idx val="6"/>
          <c:order val="2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IPI_minus!$B$2:$B$24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B0-4342-AA71-077D0111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  <c:max val="0.25"/>
          <c:min val="-0.25"/>
        </c:scaling>
        <c:delete val="0"/>
        <c:axPos val="l"/>
        <c:numFmt formatCode="0.0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  <c:majorUnit val="0.25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2473829855272747"/>
          <c:y val="0.12060273195031537"/>
          <c:w val="0.4388255418582177"/>
          <c:h val="0.1598538570931280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41648</xdr:colOff>
      <xdr:row>2</xdr:row>
      <xdr:rowOff>259228</xdr:rowOff>
    </xdr:from>
    <xdr:to>
      <xdr:col>6</xdr:col>
      <xdr:colOff>643591</xdr:colOff>
      <xdr:row>21</xdr:row>
      <xdr:rowOff>150517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147056</xdr:colOff>
      <xdr:row>2</xdr:row>
      <xdr:rowOff>246529</xdr:rowOff>
    </xdr:from>
    <xdr:to>
      <xdr:col>14</xdr:col>
      <xdr:colOff>43889</xdr:colOff>
      <xdr:row>21</xdr:row>
      <xdr:rowOff>150517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52855</xdr:colOff>
      <xdr:row>22</xdr:row>
      <xdr:rowOff>275290</xdr:rowOff>
    </xdr:from>
    <xdr:to>
      <xdr:col>6</xdr:col>
      <xdr:colOff>654798</xdr:colOff>
      <xdr:row>41</xdr:row>
      <xdr:rowOff>172929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158263</xdr:colOff>
      <xdr:row>22</xdr:row>
      <xdr:rowOff>268941</xdr:rowOff>
    </xdr:from>
    <xdr:to>
      <xdr:col>14</xdr:col>
      <xdr:colOff>55096</xdr:colOff>
      <xdr:row>41</xdr:row>
      <xdr:rowOff>172929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</xdr:colOff>
      <xdr:row>43</xdr:row>
      <xdr:rowOff>9524</xdr:rowOff>
    </xdr:from>
    <xdr:to>
      <xdr:col>6</xdr:col>
      <xdr:colOff>654797</xdr:colOff>
      <xdr:row>62</xdr:row>
      <xdr:rowOff>19222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158262</xdr:colOff>
      <xdr:row>43</xdr:row>
      <xdr:rowOff>0</xdr:rowOff>
    </xdr:from>
    <xdr:to>
      <xdr:col>14</xdr:col>
      <xdr:colOff>58270</xdr:colOff>
      <xdr:row>62</xdr:row>
      <xdr:rowOff>19222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64</xdr:row>
      <xdr:rowOff>12699</xdr:rowOff>
    </xdr:from>
    <xdr:to>
      <xdr:col>6</xdr:col>
      <xdr:colOff>595593</xdr:colOff>
      <xdr:row>82</xdr:row>
      <xdr:rowOff>131281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99058</xdr:colOff>
      <xdr:row>64</xdr:row>
      <xdr:rowOff>0</xdr:rowOff>
    </xdr:from>
    <xdr:to>
      <xdr:col>14</xdr:col>
      <xdr:colOff>2241</xdr:colOff>
      <xdr:row>82</xdr:row>
      <xdr:rowOff>131281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44824</xdr:colOff>
      <xdr:row>105</xdr:row>
      <xdr:rowOff>20730</xdr:rowOff>
    </xdr:from>
    <xdr:to>
      <xdr:col>6</xdr:col>
      <xdr:colOff>643592</xdr:colOff>
      <xdr:row>124</xdr:row>
      <xdr:rowOff>30428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E0C27D32-9946-45E7-A068-C4F16F695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147057</xdr:colOff>
      <xdr:row>105</xdr:row>
      <xdr:rowOff>11206</xdr:rowOff>
    </xdr:from>
    <xdr:to>
      <xdr:col>14</xdr:col>
      <xdr:colOff>47065</xdr:colOff>
      <xdr:row>124</xdr:row>
      <xdr:rowOff>30428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7947061F-84D8-4F99-8C6C-5BC539E51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44824</xdr:colOff>
      <xdr:row>84</xdr:row>
      <xdr:rowOff>9524</xdr:rowOff>
    </xdr:from>
    <xdr:to>
      <xdr:col>6</xdr:col>
      <xdr:colOff>643592</xdr:colOff>
      <xdr:row>103</xdr:row>
      <xdr:rowOff>19222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6D6CB561-26A4-4229-BDD9-A6D4F9173F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147057</xdr:colOff>
      <xdr:row>84</xdr:row>
      <xdr:rowOff>0</xdr:rowOff>
    </xdr:from>
    <xdr:to>
      <xdr:col>14</xdr:col>
      <xdr:colOff>47065</xdr:colOff>
      <xdr:row>103</xdr:row>
      <xdr:rowOff>19222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F7B9E314-A686-4BFF-B919-1A12C8E74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7E95105-55CC-4766-967E-3BA3472AE7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A43E91C-59E0-4098-931B-A5A65CD30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9524</xdr:rowOff>
    </xdr:from>
    <xdr:to>
      <xdr:col>17</xdr:col>
      <xdr:colOff>615950</xdr:colOff>
      <xdr:row>21</xdr:row>
      <xdr:rowOff>159482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123337</xdr:colOff>
      <xdr:row>3</xdr:row>
      <xdr:rowOff>0</xdr:rowOff>
    </xdr:from>
    <xdr:to>
      <xdr:col>25</xdr:col>
      <xdr:colOff>57150</xdr:colOff>
      <xdr:row>21</xdr:row>
      <xdr:rowOff>159482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0.10021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57201" y="40131"/>
          <a:ext cx="1449686" cy="3712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192981" y="3883147"/>
          <a:ext cx="424322" cy="3816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0.13814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625962" y="40251"/>
          <a:ext cx="1267857" cy="37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124"/>
  <sheetViews>
    <sheetView tabSelected="1" view="pageBreakPreview" zoomScale="85" zoomScaleNormal="100" zoomScaleSheetLayoutView="85" workbookViewId="0">
      <selection sqref="A1:N1"/>
    </sheetView>
  </sheetViews>
  <sheetFormatPr defaultRowHeight="18" x14ac:dyDescent="0.55000000000000004"/>
  <sheetData>
    <row r="1" spans="1:15" ht="26.5" x14ac:dyDescent="0.55000000000000004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"/>
    </row>
    <row r="3" spans="1:15" ht="26.5" x14ac:dyDescent="0.55000000000000004">
      <c r="A3" s="2" t="s">
        <v>2</v>
      </c>
    </row>
    <row r="23" spans="1:1" ht="26.5" x14ac:dyDescent="0.55000000000000004">
      <c r="A23" s="2" t="s">
        <v>20</v>
      </c>
    </row>
    <row r="43" spans="1:1" ht="26.5" x14ac:dyDescent="0.55000000000000004">
      <c r="A43" s="2" t="s">
        <v>22</v>
      </c>
    </row>
    <row r="64" spans="1:1" ht="26.5" x14ac:dyDescent="0.55000000000000004">
      <c r="A64" s="2" t="s">
        <v>24</v>
      </c>
    </row>
    <row r="66" spans="1:1" ht="26.5" x14ac:dyDescent="0.55000000000000004">
      <c r="A66" s="2"/>
    </row>
    <row r="84" spans="1:1" ht="26.5" x14ac:dyDescent="0.55000000000000004">
      <c r="A84" s="2" t="s">
        <v>30</v>
      </c>
    </row>
    <row r="105" spans="1:1" ht="26.5" x14ac:dyDescent="0.55000000000000004">
      <c r="A105" s="2" t="s">
        <v>27</v>
      </c>
    </row>
    <row r="113" customFormat="1" x14ac:dyDescent="0.55000000000000004"/>
    <row r="114" customFormat="1" x14ac:dyDescent="0.55000000000000004"/>
    <row r="115" customFormat="1" x14ac:dyDescent="0.55000000000000004"/>
    <row r="116" customFormat="1" x14ac:dyDescent="0.55000000000000004"/>
    <row r="117" customFormat="1" x14ac:dyDescent="0.55000000000000004"/>
    <row r="118" customFormat="1" x14ac:dyDescent="0.55000000000000004"/>
    <row r="119" customFormat="1" x14ac:dyDescent="0.55000000000000004"/>
    <row r="120" customFormat="1" x14ac:dyDescent="0.55000000000000004"/>
    <row r="121" customFormat="1" x14ac:dyDescent="0.55000000000000004"/>
    <row r="122" customFormat="1" x14ac:dyDescent="0.55000000000000004"/>
    <row r="123" customFormat="1" x14ac:dyDescent="0.55000000000000004"/>
    <row r="124" customFormat="1" x14ac:dyDescent="0.55000000000000004"/>
  </sheetData>
  <mergeCells count="1">
    <mergeCell ref="A1:N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13"/>
  <sheetViews>
    <sheetView workbookViewId="0">
      <selection activeCell="B11" sqref="B11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s="9" t="str">
        <f ca="1">LEFT(CELL("filename",A1),FIND("[",CELL("filename",A1))-1)</f>
        <v>https://d.docs.live.net/db8eac9eaa5b2f1d/デスクトップ/08_点検/</v>
      </c>
    </row>
    <row r="2" spans="1:2" ht="18.5" thickBot="1" x14ac:dyDescent="0.6">
      <c r="A2" s="9" t="str">
        <f ca="1">MID(CELL("filename",A1),FIND("[",CELL("filename",A1))+1,FIND("]",CELL("filename",A1))-FIND("[",CELL("filename",A1))-1)</f>
        <v>★図表.xlsm</v>
      </c>
      <c r="B2" s="8" t="s">
        <v>7</v>
      </c>
    </row>
    <row r="3" spans="1:2" ht="18.5" thickBot="1" x14ac:dyDescent="0.6">
      <c r="A3" s="12" t="s">
        <v>5</v>
      </c>
      <c r="B3" s="8" t="s">
        <v>9</v>
      </c>
    </row>
    <row r="4" spans="1:2" x14ac:dyDescent="0.55000000000000004">
      <c r="A4" s="10">
        <f>ROW($A$8)</f>
        <v>8</v>
      </c>
      <c r="B4" s="8" t="s">
        <v>6</v>
      </c>
    </row>
    <row r="5" spans="1:2" s="6" customFormat="1" x14ac:dyDescent="0.55000000000000004">
      <c r="A5" s="7" t="s">
        <v>8</v>
      </c>
    </row>
    <row r="6" spans="1:2" x14ac:dyDescent="0.55000000000000004">
      <c r="A6" s="11"/>
    </row>
    <row r="7" spans="1:2" ht="18.5" thickBot="1" x14ac:dyDescent="0.6"/>
    <row r="8" spans="1:2" x14ac:dyDescent="0.55000000000000004">
      <c r="A8" s="19" t="s">
        <v>4</v>
      </c>
      <c r="B8" s="20" t="s">
        <v>3</v>
      </c>
    </row>
    <row r="9" spans="1:2" x14ac:dyDescent="0.55000000000000004">
      <c r="A9" s="21" t="s">
        <v>19</v>
      </c>
      <c r="B9" s="22" t="s">
        <v>19</v>
      </c>
    </row>
    <row r="10" spans="1:2" x14ac:dyDescent="0.55000000000000004">
      <c r="A10" s="21" t="s">
        <v>21</v>
      </c>
      <c r="B10" s="22" t="s">
        <v>21</v>
      </c>
    </row>
    <row r="11" spans="1:2" x14ac:dyDescent="0.55000000000000004">
      <c r="A11" s="21" t="s">
        <v>29</v>
      </c>
      <c r="B11" s="22" t="s">
        <v>28</v>
      </c>
    </row>
    <row r="12" spans="1:2" x14ac:dyDescent="0.55000000000000004">
      <c r="A12" s="21" t="s">
        <v>23</v>
      </c>
      <c r="B12" s="22" t="s">
        <v>23</v>
      </c>
    </row>
    <row r="13" spans="1:2" ht="18.5" thickBot="1" x14ac:dyDescent="0.6">
      <c r="A13" s="23" t="s">
        <v>26</v>
      </c>
      <c r="B13" s="24" t="s">
        <v>25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5.0232967956058687E-2</v>
      </c>
      <c r="D3" s="14">
        <v>1.4860880493934758</v>
      </c>
      <c r="E3" s="14">
        <v>1.4300784251427108</v>
      </c>
      <c r="F3" s="14">
        <v>1.2712479244454129</v>
      </c>
      <c r="G3" s="14">
        <v>-1.0000000000004976E-5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0.13615592072401358</v>
      </c>
      <c r="D4" s="14">
        <v>1.6823611648084293</v>
      </c>
      <c r="E4" s="14">
        <v>1.5513878077363521</v>
      </c>
      <c r="F4" s="14">
        <v>1.3082481160780843</v>
      </c>
      <c r="G4" s="14">
        <v>-9.9999999999981526E-6</v>
      </c>
      <c r="H4" s="16">
        <f t="shared" ref="H4:H53" si="2">H3</f>
        <v>2</v>
      </c>
      <c r="I4" s="16">
        <f t="shared" ref="I4:I53" si="3">I3</f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0.24774535458654837</v>
      </c>
      <c r="D5" s="14">
        <v>1.86647929190935</v>
      </c>
      <c r="E5" s="14">
        <v>1.6600384839000062</v>
      </c>
      <c r="F5" s="14">
        <v>1.3584889219028982</v>
      </c>
      <c r="G5" s="14">
        <v>-9.9999999999961231E-6</v>
      </c>
      <c r="H5" s="16">
        <f t="shared" si="2"/>
        <v>2</v>
      </c>
      <c r="I5" s="16">
        <f t="shared" si="3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0.33954837962445611</v>
      </c>
      <c r="D6" s="14">
        <v>2.0181482613658881</v>
      </c>
      <c r="E6" s="14">
        <v>1.7481303365945939</v>
      </c>
      <c r="F6" s="14">
        <v>1.4178582624545673</v>
      </c>
      <c r="G6" s="14">
        <v>0.21972549121774831</v>
      </c>
      <c r="H6" s="16">
        <f t="shared" si="2"/>
        <v>2</v>
      </c>
      <c r="I6" s="16">
        <f t="shared" si="3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0.37489509211216554</v>
      </c>
      <c r="D7" s="14">
        <v>2.1110528095156904</v>
      </c>
      <c r="E7" s="14">
        <v>1.810713896064194</v>
      </c>
      <c r="F7" s="14">
        <v>1.4802457716900683</v>
      </c>
      <c r="G7" s="14">
        <v>0.53464176442118072</v>
      </c>
      <c r="H7" s="16">
        <f t="shared" si="2"/>
        <v>2</v>
      </c>
      <c r="I7" s="16">
        <f t="shared" si="3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0.35969419459574459</v>
      </c>
      <c r="D8" s="14">
        <v>2.1448981994844081</v>
      </c>
      <c r="E8" s="14">
        <v>1.8485298505934096</v>
      </c>
      <c r="F8" s="14">
        <v>1.540064490191559</v>
      </c>
      <c r="G8" s="14">
        <v>0.72249314916556939</v>
      </c>
      <c r="H8" s="16">
        <f t="shared" si="2"/>
        <v>2</v>
      </c>
      <c r="I8" s="16">
        <f t="shared" si="3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0.31547471801959809</v>
      </c>
      <c r="D9" s="14">
        <v>2.1372998490718156</v>
      </c>
      <c r="E9" s="14">
        <v>1.8681783761752564</v>
      </c>
      <c r="F9" s="14">
        <v>1.5938156724907819</v>
      </c>
      <c r="G9" s="14">
        <v>0.79376250322361697</v>
      </c>
      <c r="H9" s="16">
        <f t="shared" si="2"/>
        <v>2</v>
      </c>
      <c r="I9" s="16">
        <f t="shared" si="3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0.26327088883191951</v>
      </c>
      <c r="D10" s="14">
        <v>2.1100256656772012</v>
      </c>
      <c r="E10" s="14">
        <v>1.8778486451314116</v>
      </c>
      <c r="F10" s="14">
        <v>1.6402745718775598</v>
      </c>
      <c r="G10" s="14">
        <v>0.78972003917163069</v>
      </c>
      <c r="H10" s="16">
        <f t="shared" si="2"/>
        <v>2</v>
      </c>
      <c r="I10" s="16">
        <f t="shared" si="3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0.21668730322318777</v>
      </c>
      <c r="D11" s="14">
        <v>2.0800349909865199</v>
      </c>
      <c r="E11" s="14">
        <v>1.8841029198827006</v>
      </c>
      <c r="F11" s="14">
        <v>1.6798530095973663</v>
      </c>
      <c r="G11" s="14">
        <v>0.7537867837257558</v>
      </c>
      <c r="H11" s="16">
        <f t="shared" si="2"/>
        <v>2</v>
      </c>
      <c r="I11" s="16">
        <f t="shared" si="3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0.18119790590537352</v>
      </c>
      <c r="D12" s="14">
        <v>2.0565187109776675</v>
      </c>
      <c r="E12" s="14">
        <v>1.8906987606110179</v>
      </c>
      <c r="F12" s="14">
        <v>1.7137529227215933</v>
      </c>
      <c r="G12" s="14">
        <v>0.71661634988494438</v>
      </c>
      <c r="H12" s="16">
        <f t="shared" si="2"/>
        <v>2</v>
      </c>
      <c r="I12" s="16">
        <f t="shared" si="3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0.15651849202618223</v>
      </c>
      <c r="D13" s="14">
        <v>2.0419621423831495</v>
      </c>
      <c r="E13" s="14">
        <v>1.8988942557461408</v>
      </c>
      <c r="F13" s="14">
        <v>1.7432917524911336</v>
      </c>
      <c r="G13" s="14">
        <v>0.69293776830641951</v>
      </c>
      <c r="H13" s="16">
        <f t="shared" si="2"/>
        <v>2</v>
      </c>
      <c r="I13" s="16">
        <f t="shared" si="3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0.13963351566524013</v>
      </c>
      <c r="D14" s="14">
        <v>2.0348248669860265</v>
      </c>
      <c r="E14" s="14">
        <v>1.9083927339788556</v>
      </c>
      <c r="F14" s="14">
        <v>1.7695297327956738</v>
      </c>
      <c r="G14" s="14">
        <v>0.68515997910814563</v>
      </c>
      <c r="H14" s="16">
        <f t="shared" si="2"/>
        <v>2</v>
      </c>
      <c r="I14" s="16">
        <f t="shared" si="3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0.12713843392930771</v>
      </c>
      <c r="D15" s="14">
        <v>2.0321283023204728</v>
      </c>
      <c r="E15" s="14">
        <v>1.9182925131517621</v>
      </c>
      <c r="F15" s="14">
        <v>1.7931636040529058</v>
      </c>
      <c r="G15" s="14">
        <v>0.68907069780361707</v>
      </c>
      <c r="H15" s="16">
        <f t="shared" si="2"/>
        <v>2</v>
      </c>
      <c r="I15" s="16">
        <f t="shared" si="3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0.11649034860870687</v>
      </c>
      <c r="D16" s="14">
        <v>2.0311588089722292</v>
      </c>
      <c r="E16" s="14">
        <v>1.9277319863107136</v>
      </c>
      <c r="F16" s="14">
        <v>1.8145831724956447</v>
      </c>
      <c r="G16" s="14">
        <v>0.69869515533087745</v>
      </c>
      <c r="H16" s="16">
        <f t="shared" si="2"/>
        <v>2</v>
      </c>
      <c r="I16" s="16">
        <f t="shared" si="3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0.10633028113800491</v>
      </c>
      <c r="D17" s="14">
        <v>2.0301952427507999</v>
      </c>
      <c r="E17" s="14">
        <v>1.9361803478724735</v>
      </c>
      <c r="F17" s="14">
        <v>1.8339882588186089</v>
      </c>
      <c r="G17" s="14">
        <v>0.70917980396704561</v>
      </c>
      <c r="H17" s="16">
        <f t="shared" si="2"/>
        <v>2</v>
      </c>
      <c r="I17" s="16">
        <f t="shared" si="3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9.6257470846779172E-2</v>
      </c>
      <c r="D18" s="14">
        <v>2.0285347448974242</v>
      </c>
      <c r="E18" s="14">
        <v>1.943465296423371</v>
      </c>
      <c r="F18" s="14">
        <v>1.8514974425657023</v>
      </c>
      <c r="G18" s="14">
        <v>0.71779917610710997</v>
      </c>
      <c r="H18" s="16">
        <f t="shared" si="2"/>
        <v>2</v>
      </c>
      <c r="I18" s="16">
        <f t="shared" si="3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8.641533432093404E-2</v>
      </c>
      <c r="D19" s="14">
        <v>2.0261755097548235</v>
      </c>
      <c r="E19" s="14">
        <v>1.949666718797797</v>
      </c>
      <c r="F19" s="14">
        <v>1.8672184686127231</v>
      </c>
      <c r="G19" s="14">
        <v>0.72374184609358205</v>
      </c>
      <c r="H19" s="16">
        <f t="shared" si="2"/>
        <v>2</v>
      </c>
      <c r="I19" s="16">
        <f t="shared" si="3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7.7121768530052814E-2</v>
      </c>
      <c r="D20" s="14">
        <v>2.023439053327615</v>
      </c>
      <c r="E20" s="14">
        <v>1.9549813791549262</v>
      </c>
      <c r="F20" s="14">
        <v>1.8812783212370634</v>
      </c>
      <c r="G20" s="14">
        <v>0.7273846139071285</v>
      </c>
      <c r="H20" s="16">
        <f t="shared" si="2"/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6.8640303604220257E-2</v>
      </c>
      <c r="D21" s="14">
        <v>2.0206863062379039</v>
      </c>
      <c r="E21" s="14">
        <v>1.9596180506185361</v>
      </c>
      <c r="F21" s="14">
        <v>1.893825039887139</v>
      </c>
      <c r="G21" s="14">
        <v>0.72955903351779716</v>
      </c>
      <c r="H21" s="16">
        <f t="shared" si="2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6.1092340614564838E-2</v>
      </c>
      <c r="D22" s="14">
        <v>2.0181705650975434</v>
      </c>
      <c r="E22" s="14">
        <v>1.9637414923014205</v>
      </c>
      <c r="F22" s="14">
        <v>1.9050161371560754</v>
      </c>
      <c r="G22" s="14">
        <v>0.73105289835919829</v>
      </c>
      <c r="H22" s="16">
        <f t="shared" si="2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5.4464762812490124E-2</v>
      </c>
      <c r="D23" s="14">
        <v>2.0160033411156308</v>
      </c>
      <c r="E23" s="14">
        <v>1.9674581151009236</v>
      </c>
      <c r="F23" s="14">
        <v>1.9150049855124354</v>
      </c>
      <c r="G23" s="14">
        <v>0.73238586490048141</v>
      </c>
      <c r="H23" s="16">
        <f t="shared" si="2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4.8660170690647389E-2</v>
      </c>
      <c r="D24" s="14">
        <v>2.0141849576929975</v>
      </c>
      <c r="E24" s="14">
        <v>1.970826375015069</v>
      </c>
      <c r="F24" s="14">
        <v>1.923931183008686</v>
      </c>
      <c r="G24" s="14">
        <v>0.73378870841345378</v>
      </c>
      <c r="H24" s="16">
        <f t="shared" si="2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4.3550792874639678E-2</v>
      </c>
      <c r="D25" s="14">
        <v>2.0126559726964794</v>
      </c>
      <c r="E25" s="14">
        <v>1.973875690377376</v>
      </c>
      <c r="F25" s="14">
        <v>1.9319164140805873</v>
      </c>
      <c r="G25" s="14">
        <v>0.73528643251342418</v>
      </c>
      <c r="H25" s="16">
        <f t="shared" si="2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3.901634314508759E-2</v>
      </c>
      <c r="D26" s="14">
        <v>2.0113416059763769</v>
      </c>
      <c r="E26" s="14">
        <v>1.9766234663794959</v>
      </c>
      <c r="F26" s="14">
        <v>1.9390646813512085</v>
      </c>
      <c r="G26" s="14">
        <v>0.73680382971650926</v>
      </c>
      <c r="H26" s="16">
        <f t="shared" si="2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3.4961691696327249E-2</v>
      </c>
      <c r="D27" s="14">
        <v>2.0101784032919312</v>
      </c>
      <c r="E27" s="14">
        <v>1.9790856554771294</v>
      </c>
      <c r="F27" s="14">
        <v>1.9454649163258735</v>
      </c>
      <c r="G27" s="14">
        <v>0.73824752022322859</v>
      </c>
      <c r="H27" s="16">
        <f t="shared" si="2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3.1318933661582553E-2</v>
      </c>
      <c r="D28" s="14">
        <v>2.0091233498557601</v>
      </c>
      <c r="E28" s="14">
        <v>1.981281098680161</v>
      </c>
      <c r="F28" s="14">
        <v>1.9511941753435633</v>
      </c>
      <c r="G28" s="14">
        <v>0.73954991374020984</v>
      </c>
      <c r="H28" s="16">
        <f t="shared" si="2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2.8041202681653634E-2</v>
      </c>
      <c r="D29" s="14">
        <v>2.0081519734912492</v>
      </c>
      <c r="E29" s="14">
        <v>1.983231075340254</v>
      </c>
      <c r="F29" s="14">
        <v>1.9563203771768549</v>
      </c>
      <c r="G29" s="14">
        <v>0.7406809699856729</v>
      </c>
      <c r="H29" s="16">
        <f t="shared" si="2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2.5094307024640428E-2</v>
      </c>
      <c r="D30" s="14">
        <v>2.0072506551031344</v>
      </c>
      <c r="E30" s="14">
        <v>1.9849574804844021</v>
      </c>
      <c r="F30" s="14">
        <v>1.96090410219022</v>
      </c>
      <c r="G30" s="14">
        <v>0.74164005167593838</v>
      </c>
      <c r="H30" s="16">
        <f t="shared" si="2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2.2450047579245548E-2</v>
      </c>
      <c r="D31" s="14">
        <v>2.0064100863254462</v>
      </c>
      <c r="E31" s="14">
        <v>1.9864793208507949</v>
      </c>
      <c r="F31" s="14">
        <v>1.9649996407623904</v>
      </c>
      <c r="G31" s="14">
        <v>0.74244177032312797</v>
      </c>
      <c r="H31" s="16">
        <f t="shared" si="2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2.0082084534033404E-2</v>
      </c>
      <c r="D32" s="14">
        <v>2.0056177533874293</v>
      </c>
      <c r="E32" s="14">
        <v>1.9878121110131841</v>
      </c>
      <c r="F32" s="14">
        <v>1.968655270898644</v>
      </c>
      <c r="G32" s="14">
        <v>0.74310113250119292</v>
      </c>
      <c r="H32" s="16">
        <f t="shared" si="2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1.7964774108568473E-2</v>
      </c>
      <c r="D33" s="14">
        <v>2.0048577522061723</v>
      </c>
      <c r="E33" s="14">
        <v>1.9889632743296846</v>
      </c>
      <c r="F33" s="14">
        <v>1.9719134942163214</v>
      </c>
      <c r="G33" s="14">
        <v>0.7436263274707845</v>
      </c>
      <c r="H33" s="16">
        <f t="shared" si="2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1.6072695068933909E-2</v>
      </c>
      <c r="D34" s="14">
        <v>2.0041021641944976</v>
      </c>
      <c r="E34" s="14">
        <v>1.9899361958772046</v>
      </c>
      <c r="F34" s="14">
        <v>1.9748104745143573</v>
      </c>
      <c r="G34" s="14">
        <v>0.74400953810209036</v>
      </c>
      <c r="H34" s="16">
        <f t="shared" si="2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1.438241251262249E-2</v>
      </c>
      <c r="D35" s="14">
        <v>2.003320608171677</v>
      </c>
      <c r="E35" s="14">
        <v>1.9907181909738854</v>
      </c>
      <c r="F35" s="14">
        <v>1.9773763865435163</v>
      </c>
      <c r="G35" s="14">
        <v>0.74423146170250554</v>
      </c>
      <c r="H35" s="16">
        <f t="shared" si="2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1.2871206927983917E-2</v>
      </c>
      <c r="D36" s="14">
        <v>2.0024550435599924</v>
      </c>
      <c r="E36" s="14">
        <v>1.9912967916874118</v>
      </c>
      <c r="F36" s="14">
        <v>1.9796334656749992</v>
      </c>
      <c r="G36" s="14">
        <v>0.74424452480557735</v>
      </c>
      <c r="H36" s="16">
        <f t="shared" si="2"/>
        <v>2</v>
      </c>
      <c r="I36" s="16">
        <f t="shared" si="3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1.1521105315361876E-2</v>
      </c>
      <c r="D37" s="14">
        <v>2.0014550705763408</v>
      </c>
      <c r="E37" s="14">
        <v>1.9916199697784081</v>
      </c>
      <c r="F37" s="14">
        <v>1.98159741011612</v>
      </c>
      <c r="G37" s="14">
        <v>0.7439935887625897</v>
      </c>
      <c r="H37" s="16">
        <f t="shared" si="2"/>
        <v>2</v>
      </c>
      <c r="I37" s="16">
        <f t="shared" si="3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1.0312147221051145E-2</v>
      </c>
      <c r="D38" s="14">
        <v>2.0001935315109174</v>
      </c>
      <c r="E38" s="14">
        <v>1.9916553450668706</v>
      </c>
      <c r="F38" s="14">
        <v>1.9832710610416517</v>
      </c>
      <c r="G38" s="14">
        <v>0.74335919211849955</v>
      </c>
      <c r="H38" s="16">
        <f t="shared" si="2"/>
        <v>2</v>
      </c>
      <c r="I38" s="16">
        <f t="shared" si="3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9.2348431404446259E-3</v>
      </c>
      <c r="D39" s="14">
        <v>1.998594495066222</v>
      </c>
      <c r="E39" s="14">
        <v>1.9912574741861784</v>
      </c>
      <c r="F39" s="14">
        <v>1.9846501701038632</v>
      </c>
      <c r="G39" s="14">
        <v>0.74223235575952973</v>
      </c>
      <c r="H39" s="16">
        <f t="shared" si="2"/>
        <v>2</v>
      </c>
      <c r="I39" s="16">
        <f t="shared" si="3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8.2664261365662083E-3</v>
      </c>
      <c r="D40" s="14">
        <v>1.9963515954333371</v>
      </c>
      <c r="E40" s="14">
        <v>1.9903811422307083</v>
      </c>
      <c r="F40" s="14">
        <v>1.9857032983835157</v>
      </c>
      <c r="G40" s="14">
        <v>0.74032690931120937</v>
      </c>
      <c r="H40" s="16">
        <f t="shared" si="2"/>
        <v>2</v>
      </c>
      <c r="I40" s="16">
        <f t="shared" si="3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7.4143402158843921E-3</v>
      </c>
      <c r="D41" s="14">
        <v>1.9933880413703489</v>
      </c>
      <c r="E41" s="14">
        <v>1.9886349323570018</v>
      </c>
      <c r="F41" s="14">
        <v>1.9863949252523307</v>
      </c>
      <c r="G41" s="14">
        <v>0.73745572205808507</v>
      </c>
      <c r="H41" s="16">
        <f t="shared" si="2"/>
        <v>2</v>
      </c>
      <c r="I41" s="16">
        <f t="shared" si="3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6.6347679957855831E-3</v>
      </c>
      <c r="D42" s="14">
        <v>1.9889071145083963</v>
      </c>
      <c r="E42" s="14">
        <v>1.9860391540074187</v>
      </c>
      <c r="F42" s="14">
        <v>1.9866210222853766</v>
      </c>
      <c r="G42" s="14">
        <v>0.73290930140859134</v>
      </c>
      <c r="H42" s="16">
        <f t="shared" si="2"/>
        <v>2</v>
      </c>
      <c r="I42" s="16">
        <f t="shared" si="3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5.9839540645311847E-3</v>
      </c>
      <c r="D43" s="14">
        <v>1.983022203373304</v>
      </c>
      <c r="E43" s="14">
        <v>1.9815092052260121</v>
      </c>
      <c r="F43" s="14">
        <v>1.9862971285832902</v>
      </c>
      <c r="G43" s="14">
        <v>0.72645491604814627</v>
      </c>
      <c r="H43" s="16">
        <f t="shared" si="2"/>
        <v>2</v>
      </c>
      <c r="I43" s="16">
        <f t="shared" si="3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5.3367481840028083E-3</v>
      </c>
      <c r="D44" s="14">
        <v>1.973524429505503</v>
      </c>
      <c r="E44" s="14">
        <v>1.9755217153616864</v>
      </c>
      <c r="F44" s="14">
        <v>1.9851475856662892</v>
      </c>
      <c r="G44" s="14">
        <v>0.71624830760965275</v>
      </c>
      <c r="H44" s="16">
        <f t="shared" si="2"/>
        <v>2</v>
      </c>
      <c r="I44" s="16">
        <f t="shared" si="3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4.9107879226500933E-3</v>
      </c>
      <c r="D45" s="14">
        <v>1.9616052331688709</v>
      </c>
      <c r="E45" s="14">
        <v>1.9649260398213579</v>
      </c>
      <c r="F45" s="14">
        <v>1.9830287739415215</v>
      </c>
      <c r="G45" s="14">
        <v>0.70238418239388523</v>
      </c>
      <c r="H45" s="16">
        <f t="shared" si="2"/>
        <v>2</v>
      </c>
      <c r="I45" s="16">
        <f t="shared" si="3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4.2921728496187212E-3</v>
      </c>
      <c r="D46" s="14">
        <v>1.9407824658083943</v>
      </c>
      <c r="E46" s="14">
        <v>1.9522646649064941</v>
      </c>
      <c r="F46" s="14">
        <v>1.9792266062095401</v>
      </c>
      <c r="G46" s="14">
        <v>0.67980036607167338</v>
      </c>
      <c r="H46" s="16">
        <f t="shared" si="2"/>
        <v>2</v>
      </c>
      <c r="I46" s="16">
        <f t="shared" si="3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4.2498858708718262E-3</v>
      </c>
      <c r="D47" s="14">
        <v>1.9168809277971521</v>
      </c>
      <c r="E47" s="14">
        <v>1.9279438068554464</v>
      </c>
      <c r="F47" s="14">
        <v>1.9736154951524254</v>
      </c>
      <c r="G47" s="14">
        <v>0.65076406130443221</v>
      </c>
      <c r="H47" s="16">
        <f t="shared" si="2"/>
        <v>2</v>
      </c>
      <c r="I47" s="16">
        <f t="shared" si="3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3.3622872044484758E-3</v>
      </c>
      <c r="D48" s="14">
        <v>1.869944065287759</v>
      </c>
      <c r="E48" s="14">
        <v>1.9026933729113937</v>
      </c>
      <c r="F48" s="14">
        <v>1.9642850664646052</v>
      </c>
      <c r="G48" s="14">
        <v>0.60059187480437159</v>
      </c>
      <c r="H48" s="16">
        <f t="shared" si="2"/>
        <v>2</v>
      </c>
      <c r="I48" s="16">
        <f t="shared" si="3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4.2975351258856404E-3</v>
      </c>
      <c r="D49" s="14">
        <v>1.8237669065864215</v>
      </c>
      <c r="E49" s="14">
        <v>1.8461276765741315</v>
      </c>
      <c r="F49" s="14">
        <v>1.9516384320755686</v>
      </c>
      <c r="G49" s="14">
        <v>0.54129236810023307</v>
      </c>
      <c r="H49" s="16">
        <f t="shared" si="2"/>
        <v>2</v>
      </c>
      <c r="I49" s="16">
        <f t="shared" si="3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2.1335922501058229E-3</v>
      </c>
      <c r="D50" s="14">
        <v>1.7145702052066294</v>
      </c>
      <c r="E50" s="14">
        <v>1.7995327922851021</v>
      </c>
      <c r="F50" s="14">
        <v>1.9303022916573642</v>
      </c>
      <c r="G50" s="14">
        <v>0.42812167272156215</v>
      </c>
      <c r="H50" s="16">
        <f t="shared" si="2"/>
        <v>2</v>
      </c>
      <c r="I50" s="16">
        <f t="shared" si="3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6.0981618272612746E-3</v>
      </c>
      <c r="D51" s="14">
        <v>1.6324909867764219</v>
      </c>
      <c r="E51" s="14">
        <v>1.6637792065286661</v>
      </c>
      <c r="F51" s="14">
        <v>1.9034992742180794</v>
      </c>
      <c r="G51" s="14">
        <v>0.31156032956527091</v>
      </c>
      <c r="H51" s="16">
        <f t="shared" si="2"/>
        <v>2</v>
      </c>
      <c r="I51" s="16">
        <f t="shared" si="3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-8.6902522480519816E-4</v>
      </c>
      <c r="D52" s="14">
        <v>1.3680855517747998</v>
      </c>
      <c r="E52" s="14">
        <v>1.5906655833900007</v>
      </c>
      <c r="F52" s="14">
        <v>1.8553120391981843</v>
      </c>
      <c r="G52" s="14">
        <v>4.9744671819406241E-2</v>
      </c>
      <c r="H52" s="16">
        <f t="shared" si="2"/>
        <v>2</v>
      </c>
      <c r="I52" s="16">
        <f t="shared" si="3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2"/>
        <v>2</v>
      </c>
      <c r="I53" s="16">
        <f t="shared" si="3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4">A67+0.25</f>
        <v>15.5</v>
      </c>
      <c r="B68" s="4">
        <f t="shared" ref="B68:B131" si="5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4"/>
        <v>15.75</v>
      </c>
      <c r="B69" s="4">
        <f t="shared" si="5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4"/>
        <v>16</v>
      </c>
      <c r="B70" s="4">
        <f t="shared" si="5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4"/>
        <v>16.25</v>
      </c>
      <c r="B71" s="4">
        <f t="shared" si="5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4"/>
        <v>16.5</v>
      </c>
      <c r="B72" s="4">
        <f t="shared" si="5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4"/>
        <v>16.75</v>
      </c>
      <c r="B73" s="4">
        <f t="shared" si="5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4"/>
        <v>17</v>
      </c>
      <c r="B74" s="4">
        <f t="shared" si="5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4"/>
        <v>17.25</v>
      </c>
      <c r="B75" s="4">
        <f t="shared" si="5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4"/>
        <v>17.5</v>
      </c>
      <c r="B76" s="4">
        <f t="shared" si="5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4"/>
        <v>17.75</v>
      </c>
      <c r="B77" s="4">
        <f t="shared" si="5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4"/>
        <v>18</v>
      </c>
      <c r="B78" s="4">
        <f t="shared" si="5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4"/>
        <v>18.25</v>
      </c>
      <c r="B79" s="4">
        <f t="shared" si="5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4"/>
        <v>18.5</v>
      </c>
      <c r="B80" s="4">
        <f t="shared" si="5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4"/>
        <v>18.75</v>
      </c>
      <c r="B81" s="4">
        <f t="shared" si="5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4"/>
        <v>19</v>
      </c>
      <c r="B82" s="4">
        <f t="shared" si="5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4"/>
        <v>19.25</v>
      </c>
      <c r="B83" s="4">
        <f t="shared" si="5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4"/>
        <v>19.5</v>
      </c>
      <c r="B84" s="4">
        <f t="shared" si="5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4"/>
        <v>19.75</v>
      </c>
      <c r="B85" s="4">
        <f t="shared" si="5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4"/>
        <v>20</v>
      </c>
      <c r="B86" s="4">
        <f t="shared" si="5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4"/>
        <v>20.25</v>
      </c>
      <c r="B87" s="4">
        <f t="shared" si="5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4"/>
        <v>20.5</v>
      </c>
      <c r="B88" s="4">
        <f t="shared" si="5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4"/>
        <v>20.75</v>
      </c>
      <c r="B89" s="4">
        <f t="shared" si="5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4"/>
        <v>21</v>
      </c>
      <c r="B90" s="4">
        <f t="shared" si="5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4"/>
        <v>21.25</v>
      </c>
      <c r="B91" s="4">
        <f t="shared" si="5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4"/>
        <v>21.5</v>
      </c>
      <c r="B92" s="4">
        <f t="shared" si="5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4"/>
        <v>21.75</v>
      </c>
      <c r="B93" s="4">
        <f t="shared" si="5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4"/>
        <v>22</v>
      </c>
      <c r="B94" s="4">
        <f t="shared" si="5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4"/>
        <v>22.25</v>
      </c>
      <c r="B95" s="4">
        <f t="shared" si="5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4"/>
        <v>22.5</v>
      </c>
      <c r="B96" s="4">
        <f t="shared" si="5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4"/>
        <v>22.75</v>
      </c>
      <c r="B97" s="4">
        <f t="shared" si="5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4"/>
        <v>23</v>
      </c>
      <c r="B98" s="4">
        <f t="shared" si="5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4"/>
        <v>23.25</v>
      </c>
      <c r="B99" s="4">
        <f t="shared" si="5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4"/>
        <v>23.5</v>
      </c>
      <c r="B100" s="4">
        <f t="shared" si="5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4"/>
        <v>23.75</v>
      </c>
      <c r="B101" s="4">
        <f t="shared" si="5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4"/>
        <v>24</v>
      </c>
      <c r="B102" s="4">
        <f t="shared" si="5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4"/>
        <v>24.25</v>
      </c>
      <c r="B103" s="4">
        <f t="shared" si="5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4"/>
        <v>24.5</v>
      </c>
      <c r="B104" s="4">
        <f t="shared" si="5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4"/>
        <v>24.75</v>
      </c>
      <c r="B105" s="4">
        <f t="shared" si="5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4"/>
        <v>25</v>
      </c>
      <c r="B106" s="4">
        <f t="shared" si="5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4"/>
        <v>25.25</v>
      </c>
      <c r="B107" s="4">
        <f t="shared" si="5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4"/>
        <v>25.5</v>
      </c>
      <c r="B108" s="4">
        <f t="shared" si="5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4"/>
        <v>25.75</v>
      </c>
      <c r="B109" s="4">
        <f t="shared" si="5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4"/>
        <v>26</v>
      </c>
      <c r="B110" s="4">
        <f t="shared" si="5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4"/>
        <v>26.25</v>
      </c>
      <c r="B111" s="4">
        <f t="shared" si="5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4"/>
        <v>26.5</v>
      </c>
      <c r="B112" s="4">
        <f t="shared" si="5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4"/>
        <v>26.75</v>
      </c>
      <c r="B113" s="4">
        <f t="shared" si="5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4"/>
        <v>27</v>
      </c>
      <c r="B114" s="4">
        <f t="shared" si="5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4"/>
        <v>27.25</v>
      </c>
      <c r="B115" s="4">
        <f t="shared" si="5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4"/>
        <v>27.5</v>
      </c>
      <c r="B116" s="4">
        <f t="shared" si="5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4"/>
        <v>27.75</v>
      </c>
      <c r="B117" s="4">
        <f t="shared" si="5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4"/>
        <v>28</v>
      </c>
      <c r="B118" s="4">
        <f t="shared" si="5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4"/>
        <v>28.25</v>
      </c>
      <c r="B119" s="4">
        <f t="shared" si="5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4"/>
        <v>28.5</v>
      </c>
      <c r="B120" s="4">
        <f t="shared" si="5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4"/>
        <v>28.75</v>
      </c>
      <c r="B121" s="4">
        <f t="shared" si="5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4"/>
        <v>29</v>
      </c>
      <c r="B122" s="4">
        <f t="shared" si="5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4"/>
        <v>29.25</v>
      </c>
      <c r="B123" s="4">
        <f t="shared" si="5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4"/>
        <v>29.5</v>
      </c>
      <c r="B124" s="4">
        <f t="shared" si="5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4"/>
        <v>29.75</v>
      </c>
      <c r="B125" s="4">
        <f t="shared" si="5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4"/>
        <v>30</v>
      </c>
      <c r="B126" s="4">
        <f t="shared" si="5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4"/>
        <v>30.25</v>
      </c>
      <c r="B127" s="4">
        <f t="shared" si="5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4"/>
        <v>30.5</v>
      </c>
      <c r="B128" s="4">
        <f t="shared" si="5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4"/>
        <v>30.75</v>
      </c>
      <c r="B129" s="4">
        <f t="shared" si="5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4"/>
        <v>31</v>
      </c>
      <c r="B130" s="4">
        <f t="shared" si="5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4"/>
        <v>31.25</v>
      </c>
      <c r="B131" s="4">
        <f t="shared" si="5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6">A131+0.25</f>
        <v>31.5</v>
      </c>
      <c r="B132" s="4">
        <f t="shared" ref="B132:B195" si="7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6"/>
        <v>31.75</v>
      </c>
      <c r="B133" s="4">
        <f t="shared" si="7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6"/>
        <v>32</v>
      </c>
      <c r="B134" s="4">
        <f t="shared" si="7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6"/>
        <v>32.25</v>
      </c>
      <c r="B135" s="4">
        <f t="shared" si="7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6"/>
        <v>32.5</v>
      </c>
      <c r="B136" s="4">
        <f t="shared" si="7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6"/>
        <v>32.75</v>
      </c>
      <c r="B137" s="4">
        <f t="shared" si="7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6"/>
        <v>33</v>
      </c>
      <c r="B138" s="4">
        <f t="shared" si="7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6"/>
        <v>33.25</v>
      </c>
      <c r="B139" s="4">
        <f t="shared" si="7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6"/>
        <v>33.5</v>
      </c>
      <c r="B140" s="4">
        <f t="shared" si="7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6"/>
        <v>33.75</v>
      </c>
      <c r="B141" s="4">
        <f t="shared" si="7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6"/>
        <v>34</v>
      </c>
      <c r="B142" s="4">
        <f t="shared" si="7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6"/>
        <v>34.25</v>
      </c>
      <c r="B143" s="4">
        <f t="shared" si="7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6"/>
        <v>34.5</v>
      </c>
      <c r="B144" s="4">
        <f t="shared" si="7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6"/>
        <v>34.75</v>
      </c>
      <c r="B145" s="4">
        <f t="shared" si="7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6"/>
        <v>35</v>
      </c>
      <c r="B146" s="4">
        <f t="shared" si="7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6"/>
        <v>35.25</v>
      </c>
      <c r="B147" s="4">
        <f t="shared" si="7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6"/>
        <v>35.5</v>
      </c>
      <c r="B148" s="4">
        <f t="shared" si="7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6"/>
        <v>35.75</v>
      </c>
      <c r="B149" s="4">
        <f t="shared" si="7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6"/>
        <v>36</v>
      </c>
      <c r="B150" s="4">
        <f t="shared" si="7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6"/>
        <v>36.25</v>
      </c>
      <c r="B151" s="4">
        <f t="shared" si="7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6"/>
        <v>36.5</v>
      </c>
      <c r="B152" s="4">
        <f t="shared" si="7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6"/>
        <v>36.75</v>
      </c>
      <c r="B153" s="4">
        <f t="shared" si="7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6"/>
        <v>37</v>
      </c>
      <c r="B154" s="4">
        <f t="shared" si="7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6"/>
        <v>37.25</v>
      </c>
      <c r="B155" s="4">
        <f t="shared" si="7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6"/>
        <v>37.5</v>
      </c>
      <c r="B156" s="4">
        <f t="shared" si="7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6"/>
        <v>37.75</v>
      </c>
      <c r="B157" s="4">
        <f t="shared" si="7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6"/>
        <v>38</v>
      </c>
      <c r="B158" s="4">
        <f t="shared" si="7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6"/>
        <v>38.25</v>
      </c>
      <c r="B159" s="4">
        <f t="shared" si="7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6"/>
        <v>38.5</v>
      </c>
      <c r="B160" s="4">
        <f t="shared" si="7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6"/>
        <v>38.75</v>
      </c>
      <c r="B161" s="4">
        <f t="shared" si="7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6"/>
        <v>39</v>
      </c>
      <c r="B162" s="4">
        <f t="shared" si="7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6"/>
        <v>39.25</v>
      </c>
      <c r="B163" s="4">
        <f t="shared" si="7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6"/>
        <v>39.5</v>
      </c>
      <c r="B164" s="4">
        <f t="shared" si="7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6"/>
        <v>39.75</v>
      </c>
      <c r="B165" s="4">
        <f t="shared" si="7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6"/>
        <v>40</v>
      </c>
      <c r="B166" s="4">
        <f t="shared" si="7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6"/>
        <v>40.25</v>
      </c>
      <c r="B167" s="4">
        <f t="shared" si="7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6"/>
        <v>40.5</v>
      </c>
      <c r="B168" s="4">
        <f t="shared" si="7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6"/>
        <v>40.75</v>
      </c>
      <c r="B169" s="4">
        <f t="shared" si="7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6"/>
        <v>41</v>
      </c>
      <c r="B170" s="4">
        <f t="shared" si="7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6"/>
        <v>41.25</v>
      </c>
      <c r="B171" s="4">
        <f t="shared" si="7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6"/>
        <v>41.5</v>
      </c>
      <c r="B172" s="4">
        <f t="shared" si="7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6"/>
        <v>41.75</v>
      </c>
      <c r="B173" s="4">
        <f t="shared" si="7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6"/>
        <v>42</v>
      </c>
      <c r="B174" s="4">
        <f t="shared" si="7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6"/>
        <v>42.25</v>
      </c>
      <c r="B175" s="4">
        <f t="shared" si="7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6"/>
        <v>42.5</v>
      </c>
      <c r="B176" s="4">
        <f t="shared" si="7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6"/>
        <v>42.75</v>
      </c>
      <c r="B177" s="4">
        <f t="shared" si="7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6"/>
        <v>43</v>
      </c>
      <c r="B178" s="4">
        <f t="shared" si="7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6"/>
        <v>43.25</v>
      </c>
      <c r="B179" s="4">
        <f t="shared" si="7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6"/>
        <v>43.5</v>
      </c>
      <c r="B180" s="4">
        <f t="shared" si="7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6"/>
        <v>43.75</v>
      </c>
      <c r="B181" s="4">
        <f t="shared" si="7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6"/>
        <v>44</v>
      </c>
      <c r="B182" s="4">
        <f t="shared" si="7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6"/>
        <v>44.25</v>
      </c>
      <c r="B183" s="4">
        <f t="shared" si="7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6"/>
        <v>44.5</v>
      </c>
      <c r="B184" s="4">
        <f t="shared" si="7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6"/>
        <v>44.75</v>
      </c>
      <c r="B185" s="4">
        <f t="shared" si="7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6"/>
        <v>45</v>
      </c>
      <c r="B186" s="4">
        <f t="shared" si="7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6"/>
        <v>45.25</v>
      </c>
      <c r="B187" s="4">
        <f t="shared" si="7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6"/>
        <v>45.5</v>
      </c>
      <c r="B188" s="4">
        <f t="shared" si="7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6"/>
        <v>45.75</v>
      </c>
      <c r="B189" s="4">
        <f t="shared" si="7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6"/>
        <v>46</v>
      </c>
      <c r="B190" s="4">
        <f t="shared" si="7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6"/>
        <v>46.25</v>
      </c>
      <c r="B191" s="4">
        <f t="shared" si="7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6"/>
        <v>46.5</v>
      </c>
      <c r="B192" s="4">
        <f t="shared" si="7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6"/>
        <v>46.75</v>
      </c>
      <c r="B193" s="4">
        <f t="shared" si="7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6"/>
        <v>47</v>
      </c>
      <c r="B194" s="4">
        <f t="shared" si="7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6"/>
        <v>47.25</v>
      </c>
      <c r="B195" s="4">
        <f t="shared" si="7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8">A195+0.25</f>
        <v>47.5</v>
      </c>
      <c r="B196" s="4">
        <f t="shared" ref="B196:B200" si="9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8"/>
        <v>47.75</v>
      </c>
      <c r="B197" s="4">
        <f t="shared" si="9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8"/>
        <v>48</v>
      </c>
      <c r="B198" s="4">
        <f t="shared" si="9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8"/>
        <v>48.25</v>
      </c>
      <c r="B199" s="4">
        <f t="shared" si="9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8"/>
        <v>48.5</v>
      </c>
      <c r="B200" s="4">
        <f t="shared" si="9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0AD5A-C5CA-4294-8E64-86A2E84ADD60}">
  <sheetPr codeName="Sheet3">
    <tabColor theme="8" tint="0.79998168889431442"/>
  </sheetPr>
  <dimension ref="A1:J200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0</v>
      </c>
      <c r="D2" s="14">
        <v>1.25</v>
      </c>
      <c r="E2" s="14">
        <v>1.25</v>
      </c>
      <c r="F2" s="14">
        <v>1.25</v>
      </c>
      <c r="G2" s="14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4.9539478305621484E-2</v>
      </c>
      <c r="D3" s="14">
        <v>1.482828648036421</v>
      </c>
      <c r="E3" s="14">
        <v>1.4273375684690084</v>
      </c>
      <c r="F3" s="14">
        <v>1.2709545783232779</v>
      </c>
      <c r="G3" s="14"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0.13414609359043725</v>
      </c>
      <c r="D4" s="14">
        <v>1.675780476516227</v>
      </c>
      <c r="E4" s="14">
        <v>1.5472268698337288</v>
      </c>
      <c r="F4" s="14">
        <v>1.3073889091606432</v>
      </c>
      <c r="G4" s="14"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0.24421067667960472</v>
      </c>
      <c r="D5" s="14">
        <v>1.8579682183076223</v>
      </c>
      <c r="E5" s="14">
        <v>1.6535967872670894</v>
      </c>
      <c r="F5" s="14">
        <v>1.3569410469838714</v>
      </c>
      <c r="G5" s="14"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0.32953850322660372</v>
      </c>
      <c r="D6" s="14">
        <v>2.0059462753145656</v>
      </c>
      <c r="E6" s="14">
        <v>1.7416207125319034</v>
      </c>
      <c r="F6" s="14">
        <v>1.415351517533634</v>
      </c>
      <c r="G6" s="14"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0.36708716631807436</v>
      </c>
      <c r="D7" s="14">
        <v>2.1000997260942427</v>
      </c>
      <c r="E7" s="14">
        <v>1.8049776316410207</v>
      </c>
      <c r="F7" s="14">
        <v>1.4769788563040886</v>
      </c>
      <c r="G7" s="14">
        <v>0.50441327106219147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0.35650182343746345</v>
      </c>
      <c r="D8" s="14">
        <v>2.1381291896590771</v>
      </c>
      <c r="E8" s="14">
        <v>1.8444747356646456</v>
      </c>
      <c r="F8" s="14">
        <v>1.5364823863060377</v>
      </c>
      <c r="G8" s="14">
        <v>0.69892739665131642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0.31620558781400043</v>
      </c>
      <c r="D9" s="14">
        <v>2.1349086255526699</v>
      </c>
      <c r="E9" s="14">
        <v>1.8658800774563511</v>
      </c>
      <c r="F9" s="14">
        <v>1.5903407478382345</v>
      </c>
      <c r="G9" s="14">
        <v>0.78030358720716331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0.2661805135780213</v>
      </c>
      <c r="D10" s="14">
        <v>2.1106736723741228</v>
      </c>
      <c r="E10" s="14">
        <v>1.8768310834529216</v>
      </c>
      <c r="F10" s="14">
        <v>1.6371707110464644</v>
      </c>
      <c r="G10" s="14">
        <v>0.78511296564742927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0.22016011688356751</v>
      </c>
      <c r="D11" s="14">
        <v>2.0820698089607355</v>
      </c>
      <c r="E11" s="14">
        <v>1.8837549432595702</v>
      </c>
      <c r="F11" s="14">
        <v>1.6772116298587489</v>
      </c>
      <c r="G11" s="14">
        <v>0.7546908417544429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0.18422664229325839</v>
      </c>
      <c r="D12" s="14">
        <v>2.0586804061580057</v>
      </c>
      <c r="E12" s="14">
        <v>1.8905381232897964</v>
      </c>
      <c r="F12" s="14">
        <v>1.711543819725682</v>
      </c>
      <c r="G12" s="14">
        <v>0.71970037087417282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0.15872259311044459</v>
      </c>
      <c r="D13" s="14">
        <v>2.0435928220934416</v>
      </c>
      <c r="E13" s="14">
        <v>1.898654848834715</v>
      </c>
      <c r="F13" s="14">
        <v>1.7414282299387804</v>
      </c>
      <c r="G13" s="14">
        <v>0.69593118327704817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0.14106041591928237</v>
      </c>
      <c r="D14" s="14">
        <v>2.0357708092675408</v>
      </c>
      <c r="E14" s="14">
        <v>1.9079960058588568</v>
      </c>
      <c r="F14" s="14">
        <v>1.7679190620783689</v>
      </c>
      <c r="G14" s="14">
        <v>0.68702652005285147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0.12802841753733576</v>
      </c>
      <c r="D15" s="14">
        <v>2.0325280789108744</v>
      </c>
      <c r="E15" s="14">
        <v>1.9177727558025737</v>
      </c>
      <c r="F15" s="14">
        <v>1.7917338735932944</v>
      </c>
      <c r="G15" s="14">
        <v>0.68969543000576261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0.11710118413182996</v>
      </c>
      <c r="D16" s="14">
        <v>2.0312466290551487</v>
      </c>
      <c r="E16" s="14">
        <v>1.9271640785754036</v>
      </c>
      <c r="F16" s="14">
        <v>1.8132900215848613</v>
      </c>
      <c r="G16" s="14">
        <v>0.69843759197845157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0.10684755665791355</v>
      </c>
      <c r="D17" s="14">
        <v>2.0301758284179581</v>
      </c>
      <c r="E17" s="14">
        <v>1.9356322630129754</v>
      </c>
      <c r="F17" s="14">
        <v>1.8328097441998401</v>
      </c>
      <c r="G17" s="14">
        <v>0.70850734603149168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9.6774989132813696E-2</v>
      </c>
      <c r="D18" s="14">
        <v>2.0285331195622223</v>
      </c>
      <c r="E18" s="14">
        <v>1.9429778864962757</v>
      </c>
      <c r="F18" s="14">
        <v>1.8504248479824543</v>
      </c>
      <c r="G18" s="14">
        <v>0.71707764509176086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8.6955304163263303E-2</v>
      </c>
      <c r="D19" s="14">
        <v>2.0262388670418998</v>
      </c>
      <c r="E19" s="14">
        <v>1.9492530707801157</v>
      </c>
      <c r="F19" s="14">
        <v>1.8662481096978045</v>
      </c>
      <c r="G19" s="14">
        <v>0.72316885295556466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7.7667424784810146E-2</v>
      </c>
      <c r="D20" s="14">
        <v>2.0235628601329849</v>
      </c>
      <c r="E20" s="14">
        <v>1.9546356951393964</v>
      </c>
      <c r="F20" s="14">
        <v>1.8804064372369707</v>
      </c>
      <c r="G20" s="14">
        <v>0.72701260424075986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6.9163872027702356E-2</v>
      </c>
      <c r="D21" s="14">
        <v>2.0208434802619761</v>
      </c>
      <c r="E21" s="14">
        <v>1.9593261644500033</v>
      </c>
      <c r="F21" s="14">
        <v>1.8930457711092212</v>
      </c>
      <c r="G21" s="14">
        <v>0.72935354739595382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6.15717186971333E-2</v>
      </c>
      <c r="D22" s="14">
        <v>2.0183326407871034</v>
      </c>
      <c r="E22" s="14">
        <v>1.9634887322974461</v>
      </c>
      <c r="F22" s="14">
        <v>1.9043215893802308</v>
      </c>
      <c r="G22" s="14">
        <v>0.73094865524743424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5.4889424530941082E-2</v>
      </c>
      <c r="D23" s="14">
        <v>2.0161509447354198</v>
      </c>
      <c r="E23" s="14">
        <v>1.967233332515212</v>
      </c>
      <c r="F23" s="14">
        <v>1.9143862313621978</v>
      </c>
      <c r="G23" s="14">
        <v>0.73232356973955259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4.9030038327224051E-2</v>
      </c>
      <c r="D24" s="14">
        <v>2.0143097896778306</v>
      </c>
      <c r="E24" s="14">
        <v>1.9706228237015808</v>
      </c>
      <c r="F24" s="14">
        <v>1.9233793516106048</v>
      </c>
      <c r="G24" s="14">
        <v>0.73373069930579304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4.3872143635534287E-2</v>
      </c>
      <c r="D25" s="14">
        <v>2.0127581049117769</v>
      </c>
      <c r="E25" s="14">
        <v>1.9736901091979784</v>
      </c>
      <c r="F25" s="14">
        <v>1.9314234394077103</v>
      </c>
      <c r="G25" s="14">
        <v>0.73521715443973468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3.929765065022079E-2</v>
      </c>
      <c r="D26" s="14">
        <v>2.0114254305476753</v>
      </c>
      <c r="E26" s="14">
        <v>1.9764545937329712</v>
      </c>
      <c r="F26" s="14">
        <v>1.9386236186103072</v>
      </c>
      <c r="G26" s="14">
        <v>0.73672291949507118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3.5210803425341317E-2</v>
      </c>
      <c r="D27" s="14">
        <v>2.0102492605353239</v>
      </c>
      <c r="E27" s="14">
        <v>1.9789329473346391</v>
      </c>
      <c r="F27" s="14">
        <v>1.9450699263835585</v>
      </c>
      <c r="G27" s="14">
        <v>0.73816161461319096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3.1541815945485621E-2</v>
      </c>
      <c r="D28" s="14">
        <v>2.0091855800358212</v>
      </c>
      <c r="E28" s="14">
        <v>1.9811439523874685</v>
      </c>
      <c r="F28" s="14">
        <v>1.9508403352122623</v>
      </c>
      <c r="G28" s="14">
        <v>0.73946650821361415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2.8241852517580029E-2</v>
      </c>
      <c r="D29" s="14">
        <v>2.0082082838412902</v>
      </c>
      <c r="E29" s="14">
        <v>1.9831085396237667</v>
      </c>
      <c r="F29" s="14">
        <v>1.9560034505888746</v>
      </c>
      <c r="G29" s="14">
        <v>0.74060524720019061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2.5275259183865414E-2</v>
      </c>
      <c r="D30" s="14">
        <v>2.00730232245829</v>
      </c>
      <c r="E30" s="14">
        <v>1.9848482849570153</v>
      </c>
      <c r="F30" s="14">
        <v>1.9606203490571221</v>
      </c>
      <c r="G30" s="14">
        <v>0.741574152432811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2.2613010035249691E-2</v>
      </c>
      <c r="D31" s="14">
        <v>2.0064574947191951</v>
      </c>
      <c r="E31" s="14">
        <v>1.9863820424993124</v>
      </c>
      <c r="F31" s="14">
        <v>1.9647456921667086</v>
      </c>
      <c r="G31" s="14">
        <v>0.74238546201364985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2.0228437025464344E-2</v>
      </c>
      <c r="D32" s="14">
        <v>2.0056609191219845</v>
      </c>
      <c r="E32" s="14">
        <v>1.9877253465759206</v>
      </c>
      <c r="F32" s="14">
        <v>1.9684280625926838</v>
      </c>
      <c r="G32" s="14">
        <v>0.74305292330189154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1.80958470535597E-2</v>
      </c>
      <c r="D33" s="14">
        <v>2.0048966742227448</v>
      </c>
      <c r="E33" s="14">
        <v>1.9888857551083681</v>
      </c>
      <c r="F33" s="14">
        <v>1.9717102376393891</v>
      </c>
      <c r="G33" s="14">
        <v>0.74358442795806412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1.61898600680737E-2</v>
      </c>
      <c r="D34" s="14">
        <v>2.0041369798466797</v>
      </c>
      <c r="E34" s="14">
        <v>1.9898668332535303</v>
      </c>
      <c r="F34" s="14">
        <v>1.9746286444380452</v>
      </c>
      <c r="G34" s="14">
        <v>0.74397243561096715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1.4487059723701106E-2</v>
      </c>
      <c r="D35" s="14">
        <v>2.003351606490861</v>
      </c>
      <c r="E35" s="14">
        <v>1.9906560713036345</v>
      </c>
      <c r="F35" s="14">
        <v>1.9772137110227985</v>
      </c>
      <c r="G35" s="14">
        <v>0.74419812083014347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1.296468156196476E-2</v>
      </c>
      <c r="D36" s="14">
        <v>2.0024826097544777</v>
      </c>
      <c r="E36" s="14">
        <v>1.9912411439030691</v>
      </c>
      <c r="F36" s="14">
        <v>1.9794879119086497</v>
      </c>
      <c r="G36" s="14">
        <v>0.74421434396775121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1.1604649924566137E-2</v>
      </c>
      <c r="D37" s="14">
        <v>2.0014796139281077</v>
      </c>
      <c r="E37" s="14">
        <v>1.9915701305327689</v>
      </c>
      <c r="F37" s="14">
        <v>1.981467165090401</v>
      </c>
      <c r="G37" s="14">
        <v>0.7439662509438455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1.0386870474370424E-2</v>
      </c>
      <c r="D38" s="14">
        <v>2.000215436391831</v>
      </c>
      <c r="E38" s="14">
        <v>1.9916107260093663</v>
      </c>
      <c r="F38" s="14">
        <v>1.9831545095075298</v>
      </c>
      <c r="G38" s="14">
        <v>0.74333451628941116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9.30171426906958E-3</v>
      </c>
      <c r="D39" s="14">
        <v>1.9986140884837003</v>
      </c>
      <c r="E39" s="14">
        <v>1.9912175487079276</v>
      </c>
      <c r="F39" s="14">
        <v>1.9845458716153852</v>
      </c>
      <c r="G39" s="14">
        <v>0.74221018834425334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8.3262888796092529E-3</v>
      </c>
      <c r="D40" s="14">
        <v>1.9963691557686407</v>
      </c>
      <c r="E40" s="14">
        <v>1.9903454249442811</v>
      </c>
      <c r="F40" s="14">
        <v>1.9856099671891783</v>
      </c>
      <c r="G40" s="14">
        <v>0.74030708264359502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7.4679310721769993E-3</v>
      </c>
      <c r="D41" s="14">
        <v>1.9934037846973747</v>
      </c>
      <c r="E41" s="14">
        <v>1.9886029950233515</v>
      </c>
      <c r="F41" s="14">
        <v>1.986311410764916</v>
      </c>
      <c r="G41" s="14">
        <v>0.73743803192739121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6.6827401243234105E-3</v>
      </c>
      <c r="D42" s="14">
        <v>1.9889212506159581</v>
      </c>
      <c r="E42" s="14">
        <v>1.9860105869690967</v>
      </c>
      <c r="F42" s="14">
        <v>1.9865462963515097</v>
      </c>
      <c r="G42" s="14">
        <v>0.73289354764122905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6.026886150418455E-3</v>
      </c>
      <c r="D43" s="14">
        <v>1.983034868422328</v>
      </c>
      <c r="E43" s="14">
        <v>1.9814836853480449</v>
      </c>
      <c r="F43" s="14">
        <v>1.9862302678378834</v>
      </c>
      <c r="G43" s="14">
        <v>0.72644087132827395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5.3751687410549904E-3</v>
      </c>
      <c r="D44" s="14">
        <v>1.9735358422263429</v>
      </c>
      <c r="E44" s="14">
        <v>1.9754988760683285</v>
      </c>
      <c r="F44" s="14">
        <v>1.9850877695328446</v>
      </c>
      <c r="G44" s="14">
        <v>0.71623582588922607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4.9451578629795901E-3</v>
      </c>
      <c r="D45" s="14">
        <v>1.9616154254435942</v>
      </c>
      <c r="E45" s="14">
        <v>1.9649057080006238</v>
      </c>
      <c r="F45" s="14">
        <v>1.9829752585648122</v>
      </c>
      <c r="G45" s="14">
        <v>0.70237303362223469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4.3229360377254967E-3</v>
      </c>
      <c r="D46" s="14">
        <v>1.9407917972969608</v>
      </c>
      <c r="E46" s="14">
        <v>1.9522464144205207</v>
      </c>
      <c r="F46" s="14">
        <v>1.9791787470507054</v>
      </c>
      <c r="G46" s="14">
        <v>0.67979056212304667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4.2773876684296134E-3</v>
      </c>
      <c r="D47" s="14">
        <v>1.9168891380939637</v>
      </c>
      <c r="E47" s="14">
        <v>1.9279277843888702</v>
      </c>
      <c r="F47" s="14">
        <v>1.9735726822445989</v>
      </c>
      <c r="G47" s="14">
        <v>0.65075525515231125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3.3869363573466836E-3</v>
      </c>
      <c r="D48" s="14">
        <v>1.8699520478939862</v>
      </c>
      <c r="E48" s="14">
        <v>1.9026787591849059</v>
      </c>
      <c r="F48" s="14">
        <v>1.9642468251530438</v>
      </c>
      <c r="G48" s="14">
        <v>0.60058447957917582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4.319512419410477E-3</v>
      </c>
      <c r="D49" s="14">
        <v>1.8237734230919034</v>
      </c>
      <c r="E49" s="14">
        <v>1.8461155517749903</v>
      </c>
      <c r="F49" s="14">
        <v>1.9516042189675411</v>
      </c>
      <c r="G49" s="14">
        <v>0.54128547955764605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2.1534025700575103E-3</v>
      </c>
      <c r="D50" s="14">
        <v>1.71457802133745</v>
      </c>
      <c r="E50" s="14">
        <v>1.7995208134636203</v>
      </c>
      <c r="F50" s="14">
        <v>1.9302718611808327</v>
      </c>
      <c r="G50" s="14">
        <v>0.42811694889043039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6.115616941848318E-3</v>
      </c>
      <c r="D51" s="14">
        <v>1.6324954887812864</v>
      </c>
      <c r="E51" s="14">
        <v>1.663771528608301</v>
      </c>
      <c r="F51" s="14">
        <v>1.9034719876648736</v>
      </c>
      <c r="G51" s="14">
        <v>0.31155480082003573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-8.5290451124724899E-4</v>
      </c>
      <c r="D52" s="14">
        <v>1.3680959749959003</v>
      </c>
      <c r="E52" s="14">
        <v>1.5906544299699157</v>
      </c>
      <c r="F52" s="14">
        <v>1.855288146524666</v>
      </c>
      <c r="G52" s="14">
        <v>4.9744166436723747E-2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1.25</v>
      </c>
      <c r="E53" s="14">
        <v>1.25</v>
      </c>
      <c r="F53" s="14">
        <v>1.25</v>
      </c>
      <c r="G53" s="14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8B8-D742-42DF-B888-49506FA5B21E}">
  <sheetPr codeName="Sheet10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Q25" sqref="Q25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27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26" t="s">
        <v>10</v>
      </c>
      <c r="D1" s="26" t="s">
        <v>11</v>
      </c>
      <c r="E1" s="26" t="s">
        <v>12</v>
      </c>
      <c r="F1" s="26" t="s">
        <v>13</v>
      </c>
      <c r="G1" s="26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27">
        <v>0</v>
      </c>
      <c r="D2" s="27">
        <v>1.25</v>
      </c>
      <c r="E2" s="27">
        <v>1.25</v>
      </c>
      <c r="F2" s="27">
        <v>1.25</v>
      </c>
      <c r="G2" s="27"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27">
        <v>8.8302105233661804E-2</v>
      </c>
      <c r="D3" s="27">
        <v>2.2437660578959386</v>
      </c>
      <c r="E3" s="27">
        <v>1.6687056581067035</v>
      </c>
      <c r="F3" s="27">
        <v>1.3394389452106346</v>
      </c>
      <c r="G3" s="27">
        <v>4.1661106228591718E-2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27">
        <v>0.17537449805170199</v>
      </c>
      <c r="D4" s="27">
        <v>2.2552956977351823</v>
      </c>
      <c r="E4" s="27">
        <v>1.8214737376305625</v>
      </c>
      <c r="F4" s="27">
        <v>1.4218660529378442</v>
      </c>
      <c r="G4" s="27">
        <v>0.25215731173243144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27">
        <v>0.2324144935327383</v>
      </c>
      <c r="D5" s="27">
        <v>2.1710973498135941</v>
      </c>
      <c r="E5" s="27">
        <v>1.8391572476499825</v>
      </c>
      <c r="F5" s="27">
        <v>1.4892968696566617</v>
      </c>
      <c r="G5" s="27">
        <v>0.42171559647707618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27">
        <v>0.25732286200109833</v>
      </c>
      <c r="D6" s="27">
        <v>2.1236109460771893</v>
      </c>
      <c r="E6" s="27">
        <v>1.8469979233874692</v>
      </c>
      <c r="F6" s="27">
        <v>1.5463851365345092</v>
      </c>
      <c r="G6" s="27">
        <v>0.54802537717297051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27">
        <v>0.25692470702687092</v>
      </c>
      <c r="D7" s="27">
        <v>2.1025765376212902</v>
      </c>
      <c r="E7" s="27">
        <v>1.8592590071222606</v>
      </c>
      <c r="F7" s="27">
        <v>1.5964423626323194</v>
      </c>
      <c r="G7" s="27">
        <v>0.63550808450652585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27">
        <v>0.24030952669582284</v>
      </c>
      <c r="D8" s="27">
        <v>2.0896984598390693</v>
      </c>
      <c r="E8" s="27">
        <v>1.8726461897134974</v>
      </c>
      <c r="F8" s="27">
        <v>1.6408354113809267</v>
      </c>
      <c r="G8" s="27">
        <v>0.68722915312196575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27">
        <v>0.21588789174263126</v>
      </c>
      <c r="D9" s="27">
        <v>2.0773155939236343</v>
      </c>
      <c r="E9" s="27">
        <v>1.884692311741752</v>
      </c>
      <c r="F9" s="27">
        <v>1.6801186278097702</v>
      </c>
      <c r="G9" s="27">
        <v>0.71046511550389402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27">
        <v>0.1899180459183071</v>
      </c>
      <c r="D10" s="27">
        <v>2.064670808961008</v>
      </c>
      <c r="E10" s="27">
        <v>1.8950736317447823</v>
      </c>
      <c r="F10" s="27">
        <v>1.7147283241133817</v>
      </c>
      <c r="G10" s="27">
        <v>0.71561851079351202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27">
        <v>0.16608392048109083</v>
      </c>
      <c r="D11" s="27">
        <v>2.0531689495815177</v>
      </c>
      <c r="E11" s="27">
        <v>1.9043405840545171</v>
      </c>
      <c r="F11" s="27">
        <v>1.7451879804055141</v>
      </c>
      <c r="G11" s="27">
        <v>0.71263745904913789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27">
        <v>0.14585243246001939</v>
      </c>
      <c r="D12" s="27">
        <v>2.0439501421541779</v>
      </c>
      <c r="E12" s="27">
        <v>1.9130292031705942</v>
      </c>
      <c r="F12" s="27">
        <v>1.7720765749628935</v>
      </c>
      <c r="G12" s="27">
        <v>0.70852456282707754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27">
        <v>0.12921892713478239</v>
      </c>
      <c r="D13" s="27">
        <v>2.0372505911826559</v>
      </c>
      <c r="E13" s="27">
        <v>1.9213725463840976</v>
      </c>
      <c r="F13" s="27">
        <v>1.7959422364226718</v>
      </c>
      <c r="G13" s="27">
        <v>0.706765128824835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27">
        <v>0.11547487237568775</v>
      </c>
      <c r="D14" s="27">
        <v>2.0326166382102193</v>
      </c>
      <c r="E14" s="27">
        <v>1.9293453274042589</v>
      </c>
      <c r="F14" s="27">
        <v>1.8172429325835511</v>
      </c>
      <c r="G14" s="27">
        <v>0.70808881389044087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27">
        <v>0.10377650424685803</v>
      </c>
      <c r="D15" s="27">
        <v>2.0293320029715058</v>
      </c>
      <c r="E15" s="27">
        <v>1.9368082843616741</v>
      </c>
      <c r="F15" s="27">
        <v>1.8363309489184667</v>
      </c>
      <c r="G15" s="27">
        <v>0.71169748135377564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27">
        <v>9.3451765327572836E-2</v>
      </c>
      <c r="D16" s="27">
        <v>2.0267490452705204</v>
      </c>
      <c r="E16" s="27">
        <v>1.9436291944591564</v>
      </c>
      <c r="F16" s="27">
        <v>1.8534685775901516</v>
      </c>
      <c r="G16" s="27">
        <v>0.71633911568706055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27">
        <v>8.4090218568885794E-2</v>
      </c>
      <c r="D17" s="27">
        <v>2.0244416030186683</v>
      </c>
      <c r="E17" s="27">
        <v>1.9497427322695151</v>
      </c>
      <c r="F17" s="27">
        <v>1.8688561498787184</v>
      </c>
      <c r="G17" s="27">
        <v>0.72096502024740527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27">
        <v>7.5503119997702747E-2</v>
      </c>
      <c r="D18" s="27">
        <v>2.022213078255958</v>
      </c>
      <c r="E18" s="27">
        <v>1.9551574621902164</v>
      </c>
      <c r="F18" s="27">
        <v>1.88265827343267</v>
      </c>
      <c r="G18" s="27">
        <v>0.72497587248244888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27">
        <v>6.7635464710669113E-2</v>
      </c>
      <c r="D19" s="27">
        <v>2.0200290054381558</v>
      </c>
      <c r="E19" s="27">
        <v>1.9599338470075562</v>
      </c>
      <c r="F19" s="27">
        <v>1.8950216393131636</v>
      </c>
      <c r="G19" s="27">
        <v>0.72819194922183883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27">
        <v>6.0483841488867478E-2</v>
      </c>
      <c r="D20" s="27">
        <v>2.0179340305788722</v>
      </c>
      <c r="E20" s="27">
        <v>1.9641551638415207</v>
      </c>
      <c r="F20" s="27">
        <v>1.9060837545270775</v>
      </c>
      <c r="G20" s="27">
        <v>0.73070156234977657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27">
        <v>5.4043583404194934E-2</v>
      </c>
      <c r="D21" s="27">
        <v>2.0159878328536394</v>
      </c>
      <c r="E21" s="27">
        <v>1.9679044607213236</v>
      </c>
      <c r="F21" s="27">
        <v>1.9159751215764682</v>
      </c>
      <c r="G21" s="27">
        <v>0.73270074631359605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27">
        <v>4.8286796299268485E-2</v>
      </c>
      <c r="D22" s="27">
        <v>2.0142306087563147</v>
      </c>
      <c r="E22" s="27">
        <v>1.9712519902192642</v>
      </c>
      <c r="F22" s="27">
        <v>1.9248181154226542</v>
      </c>
      <c r="G22" s="27">
        <v>0.73438093476100341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27">
        <v>4.3161970660862928E-2</v>
      </c>
      <c r="D23" s="27">
        <v>2.0126737096946448</v>
      </c>
      <c r="E23" s="27">
        <v>1.9742518455772533</v>
      </c>
      <c r="F23" s="27">
        <v>1.9327251189071335</v>
      </c>
      <c r="G23" s="27">
        <v>0.73587608342135735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27">
        <v>3.8603742890407251E-2</v>
      </c>
      <c r="D24" s="27">
        <v>2.0113051650134102</v>
      </c>
      <c r="E24" s="27">
        <v>1.9769442275240245</v>
      </c>
      <c r="F24" s="27">
        <v>1.9397973230566992</v>
      </c>
      <c r="G24" s="27">
        <v>0.73725534690177663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27">
        <v>3.4544086402669698E-2</v>
      </c>
      <c r="D25" s="27">
        <v>2.0101004370314177</v>
      </c>
      <c r="E25" s="27">
        <v>1.9793597374535628</v>
      </c>
      <c r="F25" s="27">
        <v>1.9461246033144235</v>
      </c>
      <c r="G25" s="27">
        <v>0.73853990797718783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27">
        <v>3.0920325755485221E-2</v>
      </c>
      <c r="D26" s="27">
        <v>2.0090319883708814</v>
      </c>
      <c r="E26" s="27">
        <v>1.9815234020876753</v>
      </c>
      <c r="F26" s="27">
        <v>1.9517862679695051</v>
      </c>
      <c r="G26" s="27">
        <v>0.73972581508949142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27">
        <v>2.7678853549468967E-2</v>
      </c>
      <c r="D27" s="27">
        <v>2.0080752004709721</v>
      </c>
      <c r="E27" s="27">
        <v>1.9834572035509068</v>
      </c>
      <c r="F27" s="27">
        <v>1.9568522718946371</v>
      </c>
      <c r="G27" s="27">
        <v>0.74080234247237908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27">
        <v>2.4775396519835523E-2</v>
      </c>
      <c r="D28" s="27">
        <v>2.0072102236026259</v>
      </c>
      <c r="E28" s="27">
        <v>1.9851813421478495</v>
      </c>
      <c r="F28" s="27">
        <v>1.9613844875483561</v>
      </c>
      <c r="G28" s="27">
        <v>0.74176203452268508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27">
        <v>2.2173442785305409E-2</v>
      </c>
      <c r="D29" s="27">
        <v>2.0064216139516891</v>
      </c>
      <c r="E29" s="27">
        <v>1.9867140426135055</v>
      </c>
      <c r="F29" s="27">
        <v>1.965437828924657</v>
      </c>
      <c r="G29" s="27">
        <v>0.74260374244711047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27">
        <v>1.9842084489028945E-2</v>
      </c>
      <c r="D30" s="27">
        <v>2.0056958792818715</v>
      </c>
      <c r="E30" s="27">
        <v>1.9880714734410647</v>
      </c>
      <c r="F30" s="27">
        <v>1.9690610534568065</v>
      </c>
      <c r="G30" s="27">
        <v>0.74333057939160763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27">
        <v>1.7754316028788214E-2</v>
      </c>
      <c r="D31" s="27">
        <v>2.005020246121183</v>
      </c>
      <c r="E31" s="27">
        <v>1.9892661038300323</v>
      </c>
      <c r="F31" s="27">
        <v>1.9722973807966002</v>
      </c>
      <c r="G31" s="27">
        <v>0.7439469394604995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27">
        <v>1.5885705953095939E-2</v>
      </c>
      <c r="D32" s="27">
        <v>2.0043787641397985</v>
      </c>
      <c r="E32" s="27">
        <v>1.9903074008225907</v>
      </c>
      <c r="F32" s="27">
        <v>1.975184705297488</v>
      </c>
      <c r="G32" s="27">
        <v>0.74445358670928208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27">
        <v>1.4214117694373554E-2</v>
      </c>
      <c r="D33" s="27">
        <v>2.0037537799017699</v>
      </c>
      <c r="E33" s="27">
        <v>1.9911978152296594</v>
      </c>
      <c r="F33" s="27">
        <v>1.9777559220118734</v>
      </c>
      <c r="G33" s="27">
        <v>0.74484656586989639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27">
        <v>1.2718938519501566E-2</v>
      </c>
      <c r="D34" s="27">
        <v>2.0031174810617713</v>
      </c>
      <c r="E34" s="27">
        <v>1.9919368943616975</v>
      </c>
      <c r="F34" s="27">
        <v>1.9800384623263643</v>
      </c>
      <c r="G34" s="27">
        <v>0.7451103035347888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27">
        <v>1.1382104189528473E-2</v>
      </c>
      <c r="D35" s="27">
        <v>2.002440900802605</v>
      </c>
      <c r="E35" s="27">
        <v>1.992508990900431</v>
      </c>
      <c r="F35" s="27">
        <v>1.9820546817892255</v>
      </c>
      <c r="G35" s="27">
        <v>0.74522186871213913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27">
        <v>1.0186130276984782E-2</v>
      </c>
      <c r="D36" s="27">
        <v>2.0016679359488267</v>
      </c>
      <c r="E36" s="27">
        <v>1.9928992801845191</v>
      </c>
      <c r="F36" s="27">
        <v>1.9838198746635891</v>
      </c>
      <c r="G36" s="27">
        <v>0.74513274005012353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27">
        <v>9.1177220529285521E-3</v>
      </c>
      <c r="D37" s="27">
        <v>2.0007501572833113</v>
      </c>
      <c r="E37" s="27">
        <v>1.9930536576013149</v>
      </c>
      <c r="F37" s="27">
        <v>1.9853436000993643</v>
      </c>
      <c r="G37" s="27">
        <v>0.74478805695291594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27">
        <v>8.160878117225788E-3</v>
      </c>
      <c r="D38" s="27">
        <v>1.9995619484809728</v>
      </c>
      <c r="E38" s="27">
        <v>1.9929379315790356</v>
      </c>
      <c r="F38" s="27">
        <v>1.9866232514537085</v>
      </c>
      <c r="G38" s="27">
        <v>0.74406869706413092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27">
        <v>7.3094218810747886E-3</v>
      </c>
      <c r="D39" s="27">
        <v>1.9980287091079592</v>
      </c>
      <c r="E39" s="27">
        <v>1.99240479417029</v>
      </c>
      <c r="F39" s="27">
        <v>1.9876497426425908</v>
      </c>
      <c r="G39" s="27">
        <v>0.74286575319031034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27">
        <v>6.543340946420788E-3</v>
      </c>
      <c r="D40" s="27">
        <v>1.9958447116277587</v>
      </c>
      <c r="E40" s="27">
        <v>1.9914075780079077</v>
      </c>
      <c r="F40" s="27">
        <v>1.9883872898512556</v>
      </c>
      <c r="G40" s="27">
        <v>0.74089242723974047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27">
        <v>5.872511776030335E-3</v>
      </c>
      <c r="D41" s="27">
        <v>1.9929342333881168</v>
      </c>
      <c r="E41" s="27">
        <v>1.9895529577888342</v>
      </c>
      <c r="F41" s="27">
        <v>1.9887965147695732</v>
      </c>
      <c r="G41" s="27">
        <v>0.73796103982957717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27">
        <v>5.2551705611241862E-3</v>
      </c>
      <c r="D42" s="27">
        <v>1.9885002662524647</v>
      </c>
      <c r="E42" s="27">
        <v>1.9868605307086011</v>
      </c>
      <c r="F42" s="27">
        <v>1.9887698524030344</v>
      </c>
      <c r="G42" s="27">
        <v>0.7333606327596941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27">
        <v>4.7496189870811951E-3</v>
      </c>
      <c r="D43" s="27">
        <v>1.9826581189622414</v>
      </c>
      <c r="E43" s="27">
        <v>1.9822431280984327</v>
      </c>
      <c r="F43" s="27">
        <v>1.9882197963933632</v>
      </c>
      <c r="G43" s="27">
        <v>0.72685846365908402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27">
        <v>4.232215678882564E-3</v>
      </c>
      <c r="D44" s="27">
        <v>1.9731965357595387</v>
      </c>
      <c r="E44" s="27">
        <v>1.9761786228858143</v>
      </c>
      <c r="F44" s="27">
        <v>1.9868677029363193</v>
      </c>
      <c r="G44" s="27">
        <v>0.71660766867033565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27">
        <v>3.9226586172676978E-3</v>
      </c>
      <c r="D45" s="27">
        <v>1.9613124209002526</v>
      </c>
      <c r="E45" s="27">
        <v>1.9655108378276367</v>
      </c>
      <c r="F45" s="27">
        <v>1.9845677275530733</v>
      </c>
      <c r="G45" s="27">
        <v>0.70270543790208118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27">
        <v>3.4076401025310019E-3</v>
      </c>
      <c r="D46" s="27">
        <v>1.9405143055001486</v>
      </c>
      <c r="E46" s="27">
        <v>1.952789573897284</v>
      </c>
      <c r="F46" s="27">
        <v>1.9806029195683101</v>
      </c>
      <c r="G46" s="27">
        <v>0.68008284615226922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27">
        <v>3.4590382939531888E-3</v>
      </c>
      <c r="D47" s="27">
        <v>1.9166449000431902</v>
      </c>
      <c r="E47" s="27">
        <v>1.928404603715439</v>
      </c>
      <c r="F47" s="27">
        <v>1.9748466978110495</v>
      </c>
      <c r="G47" s="27">
        <v>0.65101762225061499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27">
        <v>2.6534138275284805E-3</v>
      </c>
      <c r="D48" s="27">
        <v>1.8697145072210188</v>
      </c>
      <c r="E48" s="27">
        <v>1.9031136288312032</v>
      </c>
      <c r="F48" s="27">
        <v>1.9653848006579469</v>
      </c>
      <c r="G48" s="27">
        <v>0.60080465048383835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27">
        <v>3.665477462016186E-3</v>
      </c>
      <c r="D49" s="27">
        <v>1.8235794725657493</v>
      </c>
      <c r="E49" s="27">
        <v>1.846476342701759</v>
      </c>
      <c r="F49" s="27">
        <v>1.952622321129649</v>
      </c>
      <c r="G49" s="27">
        <v>0.54149043781705319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27">
        <v>1.5638568569524341E-3</v>
      </c>
      <c r="D50" s="27">
        <v>1.7143453914367017</v>
      </c>
      <c r="E50" s="27">
        <v>1.7998772578963829</v>
      </c>
      <c r="F50" s="27">
        <v>1.9311773974572839</v>
      </c>
      <c r="G50" s="27">
        <v>0.42825743567446911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27">
        <v>5.5961722610403447E-3</v>
      </c>
      <c r="D51" s="27">
        <v>1.6323614905205708</v>
      </c>
      <c r="E51" s="27">
        <v>1.6639999929006177</v>
      </c>
      <c r="F51" s="27">
        <v>1.9042839658329798</v>
      </c>
      <c r="G51" s="27">
        <v>0.31171924112835803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27">
        <v>-1.3326250265117915E-3</v>
      </c>
      <c r="D52" s="27">
        <v>1.3677857920465302</v>
      </c>
      <c r="E52" s="27">
        <v>1.5909863227666823</v>
      </c>
      <c r="F52" s="27">
        <v>1.855999130192199</v>
      </c>
      <c r="G52" s="27">
        <v>4.9759151839646076E-2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27">
        <v>0</v>
      </c>
      <c r="D53" s="27">
        <v>1.25</v>
      </c>
      <c r="E53" s="27">
        <v>1.25</v>
      </c>
      <c r="F53" s="27">
        <v>1.25</v>
      </c>
      <c r="G53" s="27">
        <v>0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27" t="e">
        <f>'25hike'!C54+IPI_plus!C53</f>
        <v>#REF!</v>
      </c>
      <c r="D54" s="27" t="e">
        <f>'25hike'!D54+IPI_plus!D53</f>
        <v>#REF!</v>
      </c>
      <c r="E54" s="27" t="e">
        <f>'25hike'!E54+IPI_plus!E53</f>
        <v>#REF!</v>
      </c>
      <c r="F54" s="27" t="e">
        <f>'25hike'!F54+IPI_plus!F53</f>
        <v>#REF!</v>
      </c>
      <c r="G54" s="27" t="e">
        <f>'25hike'!G54+IPI_plus!G53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27" t="e">
        <f>'25hike'!C55+IPI_plus!C54</f>
        <v>#REF!</v>
      </c>
      <c r="D55" s="27" t="e">
        <f>'25hike'!D55+IPI_plus!D54</f>
        <v>#REF!</v>
      </c>
      <c r="E55" s="27" t="e">
        <f>'25hike'!E55+IPI_plus!E54</f>
        <v>#REF!</v>
      </c>
      <c r="F55" s="27" t="e">
        <f>'25hike'!F55+IPI_plus!F54</f>
        <v>#REF!</v>
      </c>
      <c r="G55" s="27" t="e">
        <f>'25hike'!G55+IPI_plus!G54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27" t="e">
        <f>'25hike'!C56+IPI_plus!C55</f>
        <v>#REF!</v>
      </c>
      <c r="D56" s="27" t="e">
        <f>'25hike'!D56+IPI_plus!D55</f>
        <v>#REF!</v>
      </c>
      <c r="E56" s="27" t="e">
        <f>'25hike'!E56+IPI_plus!E55</f>
        <v>#REF!</v>
      </c>
      <c r="F56" s="27" t="e">
        <f>'25hike'!F56+IPI_plus!F55</f>
        <v>#REF!</v>
      </c>
      <c r="G56" s="27" t="e">
        <f>'25hike'!G56+IPI_plus!G55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27" t="e">
        <f>'25hike'!C57+IPI_plus!C56</f>
        <v>#REF!</v>
      </c>
      <c r="D57" s="27" t="e">
        <f>'25hike'!D57+IPI_plus!D56</f>
        <v>#REF!</v>
      </c>
      <c r="E57" s="27" t="e">
        <f>'25hike'!E57+IPI_plus!E56</f>
        <v>#REF!</v>
      </c>
      <c r="F57" s="27" t="e">
        <f>'25hike'!F57+IPI_plus!F56</f>
        <v>#REF!</v>
      </c>
      <c r="G57" s="27" t="e">
        <f>'25hike'!G57+IPI_plus!G56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27" t="e">
        <f>'25hike'!C58+IPI_plus!C57</f>
        <v>#REF!</v>
      </c>
      <c r="D58" s="27" t="e">
        <f>'25hike'!D58+IPI_plus!D57</f>
        <v>#REF!</v>
      </c>
      <c r="E58" s="27" t="e">
        <f>'25hike'!E58+IPI_plus!E57</f>
        <v>#REF!</v>
      </c>
      <c r="F58" s="27" t="e">
        <f>'25hike'!F58+IPI_plus!F57</f>
        <v>#REF!</v>
      </c>
      <c r="G58" s="27" t="e">
        <f>'25hike'!G58+IPI_plus!G57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27" t="e">
        <f>'25hike'!C59+IPI_plus!C58</f>
        <v>#REF!</v>
      </c>
      <c r="D59" s="27" t="e">
        <f>'25hike'!D59+IPI_plus!D58</f>
        <v>#REF!</v>
      </c>
      <c r="E59" s="27" t="e">
        <f>'25hike'!E59+IPI_plus!E58</f>
        <v>#REF!</v>
      </c>
      <c r="F59" s="27" t="e">
        <f>'25hike'!F59+IPI_plus!F58</f>
        <v>#REF!</v>
      </c>
      <c r="G59" s="27" t="e">
        <f>'25hike'!G59+IPI_plus!G58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27" t="e">
        <f>'25hike'!C60+IPI_plus!C59</f>
        <v>#REF!</v>
      </c>
      <c r="D60" s="27" t="e">
        <f>'25hike'!D60+IPI_plus!D59</f>
        <v>#REF!</v>
      </c>
      <c r="E60" s="27" t="e">
        <f>'25hike'!E60+IPI_plus!E59</f>
        <v>#REF!</v>
      </c>
      <c r="F60" s="27" t="e">
        <f>'25hike'!F60+IPI_plus!F59</f>
        <v>#REF!</v>
      </c>
      <c r="G60" s="27" t="e">
        <f>'25hike'!G60+IPI_plus!G59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27" t="e">
        <f>'25hike'!C61+IPI_plus!C60</f>
        <v>#REF!</v>
      </c>
      <c r="D61" s="27" t="e">
        <f>'25hike'!D61+IPI_plus!D60</f>
        <v>#REF!</v>
      </c>
      <c r="E61" s="27" t="e">
        <f>'25hike'!E61+IPI_plus!E60</f>
        <v>#REF!</v>
      </c>
      <c r="F61" s="27" t="e">
        <f>'25hike'!F61+IPI_plus!F60</f>
        <v>#REF!</v>
      </c>
      <c r="G61" s="27" t="e">
        <f>'25hike'!G61+IPI_plus!G60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27" t="e">
        <f>'25hike'!C62+IPI_plus!C61</f>
        <v>#REF!</v>
      </c>
      <c r="D62" s="27" t="e">
        <f>'25hike'!D62+IPI_plus!D61</f>
        <v>#REF!</v>
      </c>
      <c r="E62" s="27" t="e">
        <f>'25hike'!E62+IPI_plus!E61</f>
        <v>#REF!</v>
      </c>
      <c r="F62" s="27" t="e">
        <f>'25hike'!F62+IPI_plus!F61</f>
        <v>#REF!</v>
      </c>
      <c r="G62" s="27" t="e">
        <f>'25hike'!G62+IPI_plus!G61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27" t="e">
        <f>'25hike'!C63+IPI_plus!C62</f>
        <v>#REF!</v>
      </c>
      <c r="D63" s="27" t="e">
        <f>'25hike'!D63+IPI_plus!D62</f>
        <v>#REF!</v>
      </c>
      <c r="E63" s="27" t="e">
        <f>'25hike'!E63+IPI_plus!E62</f>
        <v>#REF!</v>
      </c>
      <c r="F63" s="27" t="e">
        <f>'25hike'!F63+IPI_plus!F62</f>
        <v>#REF!</v>
      </c>
      <c r="G63" s="27" t="e">
        <f>'25hike'!G63+IPI_plus!G62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27" t="e">
        <f>'25hike'!C64+IPI_plus!C63</f>
        <v>#REF!</v>
      </c>
      <c r="D64" s="27" t="e">
        <f>'25hike'!D64+IPI_plus!D63</f>
        <v>#REF!</v>
      </c>
      <c r="E64" s="27" t="e">
        <f>'25hike'!E64+IPI_plus!E63</f>
        <v>#REF!</v>
      </c>
      <c r="F64" s="27" t="e">
        <f>'25hike'!F64+IPI_plus!F63</f>
        <v>#REF!</v>
      </c>
      <c r="G64" s="27" t="e">
        <f>'25hike'!G64+IPI_plus!G63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27" t="e">
        <f>'25hike'!C65+IPI_plus!C64</f>
        <v>#REF!</v>
      </c>
      <c r="D65" s="27" t="e">
        <f>'25hike'!D65+IPI_plus!D64</f>
        <v>#REF!</v>
      </c>
      <c r="E65" s="27" t="e">
        <f>'25hike'!E65+IPI_plus!E64</f>
        <v>#REF!</v>
      </c>
      <c r="F65" s="27" t="e">
        <f>'25hike'!F65+IPI_plus!F64</f>
        <v>#REF!</v>
      </c>
      <c r="G65" s="27" t="e">
        <f>'25hike'!G65+IPI_plus!G64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27" t="e">
        <f>'25hike'!C66+IPI_plus!C65</f>
        <v>#REF!</v>
      </c>
      <c r="D66" s="27" t="e">
        <f>'25hike'!D66+IPI_plus!D65</f>
        <v>#REF!</v>
      </c>
      <c r="E66" s="27" t="e">
        <f>'25hike'!E66+IPI_plus!E65</f>
        <v>#REF!</v>
      </c>
      <c r="F66" s="27" t="e">
        <f>'25hike'!F66+IPI_plus!F65</f>
        <v>#REF!</v>
      </c>
      <c r="G66" s="27" t="e">
        <f>'25hike'!G66+IPI_plus!G65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27" t="e">
        <f>'25hike'!C67+IPI_plus!C66</f>
        <v>#REF!</v>
      </c>
      <c r="D67" s="27" t="e">
        <f>'25hike'!D67+IPI_plus!D66</f>
        <v>#REF!</v>
      </c>
      <c r="E67" s="27" t="e">
        <f>'25hike'!E67+IPI_plus!E66</f>
        <v>#REF!</v>
      </c>
      <c r="F67" s="27" t="e">
        <f>'25hike'!F67+IPI_plus!F66</f>
        <v>#REF!</v>
      </c>
      <c r="G67" s="27" t="e">
        <f>'25hike'!G67+IPI_plus!G66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27" t="e">
        <f>'25hike'!C68+IPI_plus!C67</f>
        <v>#REF!</v>
      </c>
      <c r="D68" s="27" t="e">
        <f>'25hike'!D68+IPI_plus!D67</f>
        <v>#REF!</v>
      </c>
      <c r="E68" s="27" t="e">
        <f>'25hike'!E68+IPI_plus!E67</f>
        <v>#REF!</v>
      </c>
      <c r="F68" s="27" t="e">
        <f>'25hike'!F68+IPI_plus!F67</f>
        <v>#REF!</v>
      </c>
      <c r="G68" s="27" t="e">
        <f>'25hike'!G68+IPI_plus!G67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27" t="e">
        <f>'25hike'!C69+IPI_plus!C68</f>
        <v>#REF!</v>
      </c>
      <c r="D69" s="27" t="e">
        <f>'25hike'!D69+IPI_plus!D68</f>
        <v>#REF!</v>
      </c>
      <c r="E69" s="27" t="e">
        <f>'25hike'!E69+IPI_plus!E68</f>
        <v>#REF!</v>
      </c>
      <c r="F69" s="27" t="e">
        <f>'25hike'!F69+IPI_plus!F68</f>
        <v>#REF!</v>
      </c>
      <c r="G69" s="27" t="e">
        <f>'25hike'!G69+IPI_plus!G68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27" t="e">
        <f>'25hike'!C70+IPI_plus!C69</f>
        <v>#REF!</v>
      </c>
      <c r="D70" s="27" t="e">
        <f>'25hike'!D70+IPI_plus!D69</f>
        <v>#REF!</v>
      </c>
      <c r="E70" s="27" t="e">
        <f>'25hike'!E70+IPI_plus!E69</f>
        <v>#REF!</v>
      </c>
      <c r="F70" s="27" t="e">
        <f>'25hike'!F70+IPI_plus!F69</f>
        <v>#REF!</v>
      </c>
      <c r="G70" s="27" t="e">
        <f>'25hike'!G70+IPI_plus!G69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27" t="e">
        <f>'25hike'!C71+IPI_plus!C70</f>
        <v>#REF!</v>
      </c>
      <c r="D71" s="27" t="e">
        <f>'25hike'!D71+IPI_plus!D70</f>
        <v>#REF!</v>
      </c>
      <c r="E71" s="27" t="e">
        <f>'25hike'!E71+IPI_plus!E70</f>
        <v>#REF!</v>
      </c>
      <c r="F71" s="27" t="e">
        <f>'25hike'!F71+IPI_plus!F70</f>
        <v>#REF!</v>
      </c>
      <c r="G71" s="27" t="e">
        <f>'25hike'!G71+IPI_plus!G70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27" t="e">
        <f>'25hike'!C72+IPI_plus!C71</f>
        <v>#REF!</v>
      </c>
      <c r="D72" s="27" t="e">
        <f>'25hike'!D72+IPI_plus!D71</f>
        <v>#REF!</v>
      </c>
      <c r="E72" s="27" t="e">
        <f>'25hike'!E72+IPI_plus!E71</f>
        <v>#REF!</v>
      </c>
      <c r="F72" s="27" t="e">
        <f>'25hike'!F72+IPI_plus!F71</f>
        <v>#REF!</v>
      </c>
      <c r="G72" s="27" t="e">
        <f>'25hike'!G72+IPI_plus!G71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27" t="e">
        <f>'25hike'!C73+IPI_plus!C72</f>
        <v>#REF!</v>
      </c>
      <c r="D73" s="27" t="e">
        <f>'25hike'!D73+IPI_plus!D72</f>
        <v>#REF!</v>
      </c>
      <c r="E73" s="27" t="e">
        <f>'25hike'!E73+IPI_plus!E72</f>
        <v>#REF!</v>
      </c>
      <c r="F73" s="27" t="e">
        <f>'25hike'!F73+IPI_plus!F72</f>
        <v>#REF!</v>
      </c>
      <c r="G73" s="27" t="e">
        <f>'25hike'!G73+IPI_plus!G72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27" t="e">
        <f>'25hike'!C74+IPI_plus!C73</f>
        <v>#REF!</v>
      </c>
      <c r="D74" s="27" t="e">
        <f>'25hike'!D74+IPI_plus!D73</f>
        <v>#REF!</v>
      </c>
      <c r="E74" s="27" t="e">
        <f>'25hike'!E74+IPI_plus!E73</f>
        <v>#REF!</v>
      </c>
      <c r="F74" s="27" t="e">
        <f>'25hike'!F74+IPI_plus!F73</f>
        <v>#REF!</v>
      </c>
      <c r="G74" s="27" t="e">
        <f>'25hike'!G74+IPI_plus!G73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27" t="e">
        <f>'25hike'!C75+IPI_plus!C74</f>
        <v>#REF!</v>
      </c>
      <c r="D75" s="27" t="e">
        <f>'25hike'!D75+IPI_plus!D74</f>
        <v>#REF!</v>
      </c>
      <c r="E75" s="27" t="e">
        <f>'25hike'!E75+IPI_plus!E74</f>
        <v>#REF!</v>
      </c>
      <c r="F75" s="27" t="e">
        <f>'25hike'!F75+IPI_plus!F74</f>
        <v>#REF!</v>
      </c>
      <c r="G75" s="27" t="e">
        <f>'25hike'!G75+IPI_plus!G74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27" t="e">
        <f>'25hike'!C76+IPI_plus!C75</f>
        <v>#REF!</v>
      </c>
      <c r="D76" s="27" t="e">
        <f>'25hike'!D76+IPI_plus!D75</f>
        <v>#REF!</v>
      </c>
      <c r="E76" s="27" t="e">
        <f>'25hike'!E76+IPI_plus!E75</f>
        <v>#REF!</v>
      </c>
      <c r="F76" s="27" t="e">
        <f>'25hike'!F76+IPI_plus!F75</f>
        <v>#REF!</v>
      </c>
      <c r="G76" s="27" t="e">
        <f>'25hike'!G76+IPI_plus!G75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27" t="e">
        <f>'25hike'!C77+IPI_plus!C76</f>
        <v>#REF!</v>
      </c>
      <c r="D77" s="27" t="e">
        <f>'25hike'!D77+IPI_plus!D76</f>
        <v>#REF!</v>
      </c>
      <c r="E77" s="27" t="e">
        <f>'25hike'!E77+IPI_plus!E76</f>
        <v>#REF!</v>
      </c>
      <c r="F77" s="27" t="e">
        <f>'25hike'!F77+IPI_plus!F76</f>
        <v>#REF!</v>
      </c>
      <c r="G77" s="27" t="e">
        <f>'25hike'!G77+IPI_plus!G76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27" t="e">
        <f>'25hike'!C78+IPI_plus!C77</f>
        <v>#REF!</v>
      </c>
      <c r="D78" s="27" t="e">
        <f>'25hike'!D78+IPI_plus!D77</f>
        <v>#REF!</v>
      </c>
      <c r="E78" s="27" t="e">
        <f>'25hike'!E78+IPI_plus!E77</f>
        <v>#REF!</v>
      </c>
      <c r="F78" s="27" t="e">
        <f>'25hike'!F78+IPI_plus!F77</f>
        <v>#REF!</v>
      </c>
      <c r="G78" s="27" t="e">
        <f>'25hike'!G78+IPI_plus!G77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27" t="e">
        <f>'25hike'!C79+IPI_plus!C78</f>
        <v>#REF!</v>
      </c>
      <c r="D79" s="27" t="e">
        <f>'25hike'!D79+IPI_plus!D78</f>
        <v>#REF!</v>
      </c>
      <c r="E79" s="27" t="e">
        <f>'25hike'!E79+IPI_plus!E78</f>
        <v>#REF!</v>
      </c>
      <c r="F79" s="27" t="e">
        <f>'25hike'!F79+IPI_plus!F78</f>
        <v>#REF!</v>
      </c>
      <c r="G79" s="27" t="e">
        <f>'25hike'!G79+IPI_plus!G78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27" t="e">
        <f>'25hike'!C80+IPI_plus!C79</f>
        <v>#REF!</v>
      </c>
      <c r="D80" s="27" t="e">
        <f>'25hike'!D80+IPI_plus!D79</f>
        <v>#REF!</v>
      </c>
      <c r="E80" s="27" t="e">
        <f>'25hike'!E80+IPI_plus!E79</f>
        <v>#REF!</v>
      </c>
      <c r="F80" s="27" t="e">
        <f>'25hike'!F80+IPI_plus!F79</f>
        <v>#REF!</v>
      </c>
      <c r="G80" s="27" t="e">
        <f>'25hike'!G80+IPI_plus!G79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27" t="e">
        <f>'25hike'!C81+IPI_plus!C80</f>
        <v>#REF!</v>
      </c>
      <c r="D81" s="27" t="e">
        <f>'25hike'!D81+IPI_plus!D80</f>
        <v>#REF!</v>
      </c>
      <c r="E81" s="27" t="e">
        <f>'25hike'!E81+IPI_plus!E80</f>
        <v>#REF!</v>
      </c>
      <c r="F81" s="27" t="e">
        <f>'25hike'!F81+IPI_plus!F80</f>
        <v>#REF!</v>
      </c>
      <c r="G81" s="27" t="e">
        <f>'25hike'!G81+IPI_plus!G80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27" t="e">
        <f>'25hike'!C82+IPI_plus!C81</f>
        <v>#REF!</v>
      </c>
      <c r="D82" s="27" t="e">
        <f>'25hike'!D82+IPI_plus!D81</f>
        <v>#REF!</v>
      </c>
      <c r="E82" s="27" t="e">
        <f>'25hike'!E82+IPI_plus!E81</f>
        <v>#REF!</v>
      </c>
      <c r="F82" s="27" t="e">
        <f>'25hike'!F82+IPI_plus!F81</f>
        <v>#REF!</v>
      </c>
      <c r="G82" s="27" t="e">
        <f>'25hike'!G82+IPI_plus!G81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27" t="e">
        <f>'25hike'!C83+IPI_plus!C82</f>
        <v>#REF!</v>
      </c>
      <c r="D83" s="27" t="e">
        <f>'25hike'!D83+IPI_plus!D82</f>
        <v>#REF!</v>
      </c>
      <c r="E83" s="27" t="e">
        <f>'25hike'!E83+IPI_plus!E82</f>
        <v>#REF!</v>
      </c>
      <c r="F83" s="27" t="e">
        <f>'25hike'!F83+IPI_plus!F82</f>
        <v>#REF!</v>
      </c>
      <c r="G83" s="27" t="e">
        <f>'25hike'!G83+IPI_plus!G82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27" t="e">
        <f>'25hike'!C84+IPI_plus!C83</f>
        <v>#REF!</v>
      </c>
      <c r="D84" s="27" t="e">
        <f>'25hike'!D84+IPI_plus!D83</f>
        <v>#REF!</v>
      </c>
      <c r="E84" s="27" t="e">
        <f>'25hike'!E84+IPI_plus!E83</f>
        <v>#REF!</v>
      </c>
      <c r="F84" s="27" t="e">
        <f>'25hike'!F84+IPI_plus!F83</f>
        <v>#REF!</v>
      </c>
      <c r="G84" s="27" t="e">
        <f>'25hike'!G84+IPI_plus!G83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27" t="e">
        <f>'25hike'!C85+IPI_plus!C84</f>
        <v>#REF!</v>
      </c>
      <c r="D85" s="27" t="e">
        <f>'25hike'!D85+IPI_plus!D84</f>
        <v>#REF!</v>
      </c>
      <c r="E85" s="27" t="e">
        <f>'25hike'!E85+IPI_plus!E84</f>
        <v>#REF!</v>
      </c>
      <c r="F85" s="27" t="e">
        <f>'25hike'!F85+IPI_plus!F84</f>
        <v>#REF!</v>
      </c>
      <c r="G85" s="27" t="e">
        <f>'25hike'!G85+IPI_plus!G84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27" t="e">
        <f>'25hike'!C86+IPI_plus!C85</f>
        <v>#REF!</v>
      </c>
      <c r="D86" s="27" t="e">
        <f>'25hike'!D86+IPI_plus!D85</f>
        <v>#REF!</v>
      </c>
      <c r="E86" s="27" t="e">
        <f>'25hike'!E86+IPI_plus!E85</f>
        <v>#REF!</v>
      </c>
      <c r="F86" s="27" t="e">
        <f>'25hike'!F86+IPI_plus!F85</f>
        <v>#REF!</v>
      </c>
      <c r="G86" s="27" t="e">
        <f>'25hike'!G86+IPI_plus!G85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27" t="e">
        <f>'25hike'!C87+IPI_plus!C86</f>
        <v>#REF!</v>
      </c>
      <c r="D87" s="27" t="e">
        <f>'25hike'!D87+IPI_plus!D86</f>
        <v>#REF!</v>
      </c>
      <c r="E87" s="27" t="e">
        <f>'25hike'!E87+IPI_plus!E86</f>
        <v>#REF!</v>
      </c>
      <c r="F87" s="27" t="e">
        <f>'25hike'!F87+IPI_plus!F86</f>
        <v>#REF!</v>
      </c>
      <c r="G87" s="27" t="e">
        <f>'25hike'!G87+IPI_plus!G86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27" t="e">
        <f>'25hike'!C88+IPI_plus!C87</f>
        <v>#REF!</v>
      </c>
      <c r="D88" s="27" t="e">
        <f>'25hike'!D88+IPI_plus!D87</f>
        <v>#REF!</v>
      </c>
      <c r="E88" s="27" t="e">
        <f>'25hike'!E88+IPI_plus!E87</f>
        <v>#REF!</v>
      </c>
      <c r="F88" s="27" t="e">
        <f>'25hike'!F88+IPI_plus!F87</f>
        <v>#REF!</v>
      </c>
      <c r="G88" s="27" t="e">
        <f>'25hike'!G88+IPI_plus!G87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27" t="e">
        <f>'25hike'!C89+IPI_plus!C88</f>
        <v>#REF!</v>
      </c>
      <c r="D89" s="27" t="e">
        <f>'25hike'!D89+IPI_plus!D88</f>
        <v>#REF!</v>
      </c>
      <c r="E89" s="27" t="e">
        <f>'25hike'!E89+IPI_plus!E88</f>
        <v>#REF!</v>
      </c>
      <c r="F89" s="27" t="e">
        <f>'25hike'!F89+IPI_plus!F88</f>
        <v>#REF!</v>
      </c>
      <c r="G89" s="27" t="e">
        <f>'25hike'!G89+IPI_plus!G88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27" t="e">
        <f>'25hike'!C90+IPI_plus!C89</f>
        <v>#REF!</v>
      </c>
      <c r="D90" s="27" t="e">
        <f>'25hike'!D90+IPI_plus!D89</f>
        <v>#REF!</v>
      </c>
      <c r="E90" s="27" t="e">
        <f>'25hike'!E90+IPI_plus!E89</f>
        <v>#REF!</v>
      </c>
      <c r="F90" s="27" t="e">
        <f>'25hike'!F90+IPI_plus!F89</f>
        <v>#REF!</v>
      </c>
      <c r="G90" s="27" t="e">
        <f>'25hike'!G90+IPI_plus!G89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27" t="e">
        <f>'25hike'!C91+IPI_plus!C90</f>
        <v>#REF!</v>
      </c>
      <c r="D91" s="27" t="e">
        <f>'25hike'!D91+IPI_plus!D90</f>
        <v>#REF!</v>
      </c>
      <c r="E91" s="27" t="e">
        <f>'25hike'!E91+IPI_plus!E90</f>
        <v>#REF!</v>
      </c>
      <c r="F91" s="27" t="e">
        <f>'25hike'!F91+IPI_plus!F90</f>
        <v>#REF!</v>
      </c>
      <c r="G91" s="27" t="e">
        <f>'25hike'!G91+IPI_plus!G90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27" t="e">
        <f>'25hike'!C92+IPI_plus!C91</f>
        <v>#REF!</v>
      </c>
      <c r="D92" s="27" t="e">
        <f>'25hike'!D92+IPI_plus!D91</f>
        <v>#REF!</v>
      </c>
      <c r="E92" s="27" t="e">
        <f>'25hike'!E92+IPI_plus!E91</f>
        <v>#REF!</v>
      </c>
      <c r="F92" s="27" t="e">
        <f>'25hike'!F92+IPI_plus!F91</f>
        <v>#REF!</v>
      </c>
      <c r="G92" s="27" t="e">
        <f>'25hike'!G92+IPI_plus!G91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27" t="e">
        <f>'25hike'!C93+IPI_plus!C92</f>
        <v>#REF!</v>
      </c>
      <c r="D93" s="27" t="e">
        <f>'25hike'!D93+IPI_plus!D92</f>
        <v>#REF!</v>
      </c>
      <c r="E93" s="27" t="e">
        <f>'25hike'!E93+IPI_plus!E92</f>
        <v>#REF!</v>
      </c>
      <c r="F93" s="27" t="e">
        <f>'25hike'!F93+IPI_plus!F92</f>
        <v>#REF!</v>
      </c>
      <c r="G93" s="27" t="e">
        <f>'25hike'!G93+IPI_plus!G92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27" t="e">
        <f>'25hike'!C94+IPI_plus!C93</f>
        <v>#REF!</v>
      </c>
      <c r="D94" s="27" t="e">
        <f>'25hike'!D94+IPI_plus!D93</f>
        <v>#REF!</v>
      </c>
      <c r="E94" s="27" t="e">
        <f>'25hike'!E94+IPI_plus!E93</f>
        <v>#REF!</v>
      </c>
      <c r="F94" s="27" t="e">
        <f>'25hike'!F94+IPI_plus!F93</f>
        <v>#REF!</v>
      </c>
      <c r="G94" s="27" t="e">
        <f>'25hike'!G94+IPI_plus!G93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27" t="e">
        <f>'25hike'!C95+IPI_plus!C94</f>
        <v>#REF!</v>
      </c>
      <c r="D95" s="27" t="e">
        <f>'25hike'!D95+IPI_plus!D94</f>
        <v>#REF!</v>
      </c>
      <c r="E95" s="27" t="e">
        <f>'25hike'!E95+IPI_plus!E94</f>
        <v>#REF!</v>
      </c>
      <c r="F95" s="27" t="e">
        <f>'25hike'!F95+IPI_plus!F94</f>
        <v>#REF!</v>
      </c>
      <c r="G95" s="27" t="e">
        <f>'25hike'!G95+IPI_plus!G94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27" t="e">
        <f>'25hike'!C96+IPI_plus!C95</f>
        <v>#REF!</v>
      </c>
      <c r="D96" s="27" t="e">
        <f>'25hike'!D96+IPI_plus!D95</f>
        <v>#REF!</v>
      </c>
      <c r="E96" s="27" t="e">
        <f>'25hike'!E96+IPI_plus!E95</f>
        <v>#REF!</v>
      </c>
      <c r="F96" s="27" t="e">
        <f>'25hike'!F96+IPI_plus!F95</f>
        <v>#REF!</v>
      </c>
      <c r="G96" s="27" t="e">
        <f>'25hike'!G96+IPI_plus!G95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27" t="e">
        <f>'25hike'!C97+IPI_plus!C96</f>
        <v>#REF!</v>
      </c>
      <c r="D97" s="27" t="e">
        <f>'25hike'!D97+IPI_plus!D96</f>
        <v>#REF!</v>
      </c>
      <c r="E97" s="27" t="e">
        <f>'25hike'!E97+IPI_plus!E96</f>
        <v>#REF!</v>
      </c>
      <c r="F97" s="27" t="e">
        <f>'25hike'!F97+IPI_plus!F96</f>
        <v>#REF!</v>
      </c>
      <c r="G97" s="27" t="e">
        <f>'25hike'!G97+IPI_plus!G96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27" t="e">
        <f>'25hike'!C98+IPI_plus!C97</f>
        <v>#REF!</v>
      </c>
      <c r="D98" s="27" t="e">
        <f>'25hike'!D98+IPI_plus!D97</f>
        <v>#REF!</v>
      </c>
      <c r="E98" s="27" t="e">
        <f>'25hike'!E98+IPI_plus!E97</f>
        <v>#REF!</v>
      </c>
      <c r="F98" s="27" t="e">
        <f>'25hike'!F98+IPI_plus!F97</f>
        <v>#REF!</v>
      </c>
      <c r="G98" s="27" t="e">
        <f>'25hike'!G98+IPI_plus!G97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27" t="e">
        <f>'25hike'!C99+IPI_plus!C98</f>
        <v>#REF!</v>
      </c>
      <c r="D99" s="27" t="e">
        <f>'25hike'!D99+IPI_plus!D98</f>
        <v>#REF!</v>
      </c>
      <c r="E99" s="27" t="e">
        <f>'25hike'!E99+IPI_plus!E98</f>
        <v>#REF!</v>
      </c>
      <c r="F99" s="27" t="e">
        <f>'25hike'!F99+IPI_plus!F98</f>
        <v>#REF!</v>
      </c>
      <c r="G99" s="27" t="e">
        <f>'25hike'!G99+IPI_plus!G98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27" t="e">
        <f>'25hike'!C100+IPI_plus!C99</f>
        <v>#REF!</v>
      </c>
      <c r="D100" s="27" t="e">
        <f>'25hike'!D100+IPI_plus!D99</f>
        <v>#REF!</v>
      </c>
      <c r="E100" s="27" t="e">
        <f>'25hike'!E100+IPI_plus!E99</f>
        <v>#REF!</v>
      </c>
      <c r="F100" s="27" t="e">
        <f>'25hike'!F100+IPI_plus!F99</f>
        <v>#REF!</v>
      </c>
      <c r="G100" s="27" t="e">
        <f>'25hike'!G100+IPI_plus!G99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27" t="e">
        <f>'25hike'!C101+IPI_plus!C100</f>
        <v>#REF!</v>
      </c>
      <c r="D101" s="27" t="e">
        <f>'25hike'!D101+IPI_plus!D100</f>
        <v>#REF!</v>
      </c>
      <c r="E101" s="27" t="e">
        <f>'25hike'!E101+IPI_plus!E100</f>
        <v>#REF!</v>
      </c>
      <c r="F101" s="27" t="e">
        <f>'25hike'!F101+IPI_plus!F100</f>
        <v>#REF!</v>
      </c>
      <c r="G101" s="27" t="e">
        <f>'25hike'!G101+IPI_plus!G100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27" t="e">
        <f>'25hike'!C102+IPI_plus!C101</f>
        <v>#REF!</v>
      </c>
      <c r="D102" s="27" t="e">
        <f>'25hike'!D102+IPI_plus!D101</f>
        <v>#REF!</v>
      </c>
      <c r="E102" s="27" t="e">
        <f>'25hike'!E102+IPI_plus!E101</f>
        <v>#REF!</v>
      </c>
      <c r="F102" s="27" t="e">
        <f>'25hike'!F102+IPI_plus!F101</f>
        <v>#REF!</v>
      </c>
      <c r="G102" s="27" t="e">
        <f>'25hike'!G102+IPI_plus!G101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27" t="e">
        <f>'25hike'!C103+IPI_plus!C102</f>
        <v>#REF!</v>
      </c>
      <c r="D103" s="27" t="e">
        <f>'25hike'!D103+IPI_plus!D102</f>
        <v>#REF!</v>
      </c>
      <c r="E103" s="27" t="e">
        <f>'25hike'!E103+IPI_plus!E102</f>
        <v>#REF!</v>
      </c>
      <c r="F103" s="27" t="e">
        <f>'25hike'!F103+IPI_plus!F102</f>
        <v>#REF!</v>
      </c>
      <c r="G103" s="27" t="e">
        <f>'25hike'!G103+IPI_plus!G102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27" t="e">
        <f>'25hike'!C104+IPI_plus!C103</f>
        <v>#REF!</v>
      </c>
      <c r="D104" s="27" t="e">
        <f>'25hike'!D104+IPI_plus!D103</f>
        <v>#REF!</v>
      </c>
      <c r="E104" s="27" t="e">
        <f>'25hike'!E104+IPI_plus!E103</f>
        <v>#REF!</v>
      </c>
      <c r="F104" s="27" t="e">
        <f>'25hike'!F104+IPI_plus!F103</f>
        <v>#REF!</v>
      </c>
      <c r="G104" s="27" t="e">
        <f>'25hike'!G104+IPI_plus!G103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27" t="e">
        <f>'25hike'!C105+IPI_plus!C104</f>
        <v>#REF!</v>
      </c>
      <c r="D105" s="27" t="e">
        <f>'25hike'!D105+IPI_plus!D104</f>
        <v>#REF!</v>
      </c>
      <c r="E105" s="27" t="e">
        <f>'25hike'!E105+IPI_plus!E104</f>
        <v>#REF!</v>
      </c>
      <c r="F105" s="27" t="e">
        <f>'25hike'!F105+IPI_plus!F104</f>
        <v>#REF!</v>
      </c>
      <c r="G105" s="27" t="e">
        <f>'25hike'!G105+IPI_plus!G104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27" t="e">
        <f>'25hike'!C106+IPI_plus!C105</f>
        <v>#REF!</v>
      </c>
      <c r="D106" s="27" t="e">
        <f>'25hike'!D106+IPI_plus!D105</f>
        <v>#REF!</v>
      </c>
      <c r="E106" s="27" t="e">
        <f>'25hike'!E106+IPI_plus!E105</f>
        <v>#REF!</v>
      </c>
      <c r="F106" s="27" t="e">
        <f>'25hike'!F106+IPI_plus!F105</f>
        <v>#REF!</v>
      </c>
      <c r="G106" s="27" t="e">
        <f>'25hike'!G106+IPI_plus!G105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27" t="e">
        <f>'25hike'!C107+IPI_plus!C106</f>
        <v>#REF!</v>
      </c>
      <c r="D107" s="27" t="e">
        <f>'25hike'!D107+IPI_plus!D106</f>
        <v>#REF!</v>
      </c>
      <c r="E107" s="27" t="e">
        <f>'25hike'!E107+IPI_plus!E106</f>
        <v>#REF!</v>
      </c>
      <c r="F107" s="27" t="e">
        <f>'25hike'!F107+IPI_plus!F106</f>
        <v>#REF!</v>
      </c>
      <c r="G107" s="27" t="e">
        <f>'25hike'!G107+IPI_plus!G106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27" t="e">
        <f>'25hike'!C108+IPI_plus!C107</f>
        <v>#REF!</v>
      </c>
      <c r="D108" s="27" t="e">
        <f>'25hike'!D108+IPI_plus!D107</f>
        <v>#REF!</v>
      </c>
      <c r="E108" s="27" t="e">
        <f>'25hike'!E108+IPI_plus!E107</f>
        <v>#REF!</v>
      </c>
      <c r="F108" s="27" t="e">
        <f>'25hike'!F108+IPI_plus!F107</f>
        <v>#REF!</v>
      </c>
      <c r="G108" s="27" t="e">
        <f>'25hike'!G108+IPI_plus!G107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27" t="e">
        <f>'25hike'!C109+IPI_plus!C108</f>
        <v>#REF!</v>
      </c>
      <c r="D109" s="27" t="e">
        <f>'25hike'!D109+IPI_plus!D108</f>
        <v>#REF!</v>
      </c>
      <c r="E109" s="27" t="e">
        <f>'25hike'!E109+IPI_plus!E108</f>
        <v>#REF!</v>
      </c>
      <c r="F109" s="27" t="e">
        <f>'25hike'!F109+IPI_plus!F108</f>
        <v>#REF!</v>
      </c>
      <c r="G109" s="27" t="e">
        <f>'25hike'!G109+IPI_plus!G108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27" t="e">
        <f>'25hike'!C110+IPI_plus!C109</f>
        <v>#REF!</v>
      </c>
      <c r="D110" s="27" t="e">
        <f>'25hike'!D110+IPI_plus!D109</f>
        <v>#REF!</v>
      </c>
      <c r="E110" s="27" t="e">
        <f>'25hike'!E110+IPI_plus!E109</f>
        <v>#REF!</v>
      </c>
      <c r="F110" s="27" t="e">
        <f>'25hike'!F110+IPI_plus!F109</f>
        <v>#REF!</v>
      </c>
      <c r="G110" s="27" t="e">
        <f>'25hike'!G110+IPI_plus!G109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27" t="e">
        <f>'25hike'!C111+IPI_plus!C110</f>
        <v>#REF!</v>
      </c>
      <c r="D111" s="27" t="e">
        <f>'25hike'!D111+IPI_plus!D110</f>
        <v>#REF!</v>
      </c>
      <c r="E111" s="27" t="e">
        <f>'25hike'!E111+IPI_plus!E110</f>
        <v>#REF!</v>
      </c>
      <c r="F111" s="27" t="e">
        <f>'25hike'!F111+IPI_plus!F110</f>
        <v>#REF!</v>
      </c>
      <c r="G111" s="27" t="e">
        <f>'25hike'!G111+IPI_plus!G110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27" t="e">
        <f>'25hike'!C112+IPI_plus!C111</f>
        <v>#REF!</v>
      </c>
      <c r="D112" s="27" t="e">
        <f>'25hike'!D112+IPI_plus!D111</f>
        <v>#REF!</v>
      </c>
      <c r="E112" s="27" t="e">
        <f>'25hike'!E112+IPI_plus!E111</f>
        <v>#REF!</v>
      </c>
      <c r="F112" s="27" t="e">
        <f>'25hike'!F112+IPI_plus!F111</f>
        <v>#REF!</v>
      </c>
      <c r="G112" s="27" t="e">
        <f>'25hike'!G112+IPI_plus!G111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27" t="e">
        <f>'25hike'!C113+IPI_plus!C112</f>
        <v>#REF!</v>
      </c>
      <c r="D113" s="27" t="e">
        <f>'25hike'!D113+IPI_plus!D112</f>
        <v>#REF!</v>
      </c>
      <c r="E113" s="27" t="e">
        <f>'25hike'!E113+IPI_plus!E112</f>
        <v>#REF!</v>
      </c>
      <c r="F113" s="27" t="e">
        <f>'25hike'!F113+IPI_plus!F112</f>
        <v>#REF!</v>
      </c>
      <c r="G113" s="27" t="e">
        <f>'25hike'!G113+IPI_plus!G112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27" t="e">
        <f>'25hike'!C114+IPI_plus!C113</f>
        <v>#REF!</v>
      </c>
      <c r="D114" s="27" t="e">
        <f>'25hike'!D114+IPI_plus!D113</f>
        <v>#REF!</v>
      </c>
      <c r="E114" s="27" t="e">
        <f>'25hike'!E114+IPI_plus!E113</f>
        <v>#REF!</v>
      </c>
      <c r="F114" s="27" t="e">
        <f>'25hike'!F114+IPI_plus!F113</f>
        <v>#REF!</v>
      </c>
      <c r="G114" s="27" t="e">
        <f>'25hike'!G114+IPI_plus!G113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27" t="e">
        <f>'25hike'!C115+IPI_plus!C114</f>
        <v>#REF!</v>
      </c>
      <c r="D115" s="27" t="e">
        <f>'25hike'!D115+IPI_plus!D114</f>
        <v>#REF!</v>
      </c>
      <c r="E115" s="27" t="e">
        <f>'25hike'!E115+IPI_plus!E114</f>
        <v>#REF!</v>
      </c>
      <c r="F115" s="27" t="e">
        <f>'25hike'!F115+IPI_plus!F114</f>
        <v>#REF!</v>
      </c>
      <c r="G115" s="27" t="e">
        <f>'25hike'!G115+IPI_plus!G114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27" t="e">
        <f>'25hike'!C116+IPI_plus!C115</f>
        <v>#REF!</v>
      </c>
      <c r="D116" s="27" t="e">
        <f>'25hike'!D116+IPI_plus!D115</f>
        <v>#REF!</v>
      </c>
      <c r="E116" s="27" t="e">
        <f>'25hike'!E116+IPI_plus!E115</f>
        <v>#REF!</v>
      </c>
      <c r="F116" s="27" t="e">
        <f>'25hike'!F116+IPI_plus!F115</f>
        <v>#REF!</v>
      </c>
      <c r="G116" s="27" t="e">
        <f>'25hike'!G116+IPI_plus!G115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27" t="e">
        <f>'25hike'!C117+IPI_plus!C116</f>
        <v>#REF!</v>
      </c>
      <c r="D117" s="27" t="e">
        <f>'25hike'!D117+IPI_plus!D116</f>
        <v>#REF!</v>
      </c>
      <c r="E117" s="27" t="e">
        <f>'25hike'!E117+IPI_plus!E116</f>
        <v>#REF!</v>
      </c>
      <c r="F117" s="27" t="e">
        <f>'25hike'!F117+IPI_plus!F116</f>
        <v>#REF!</v>
      </c>
      <c r="G117" s="27" t="e">
        <f>'25hike'!G117+IPI_plus!G116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27" t="e">
        <f>'25hike'!C118+IPI_plus!C117</f>
        <v>#REF!</v>
      </c>
      <c r="D118" s="27" t="e">
        <f>'25hike'!D118+IPI_plus!D117</f>
        <v>#REF!</v>
      </c>
      <c r="E118" s="27" t="e">
        <f>'25hike'!E118+IPI_plus!E117</f>
        <v>#REF!</v>
      </c>
      <c r="F118" s="27" t="e">
        <f>'25hike'!F118+IPI_plus!F117</f>
        <v>#REF!</v>
      </c>
      <c r="G118" s="27" t="e">
        <f>'25hike'!G118+IPI_plus!G117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27" t="e">
        <f>'25hike'!C119+IPI_plus!C118</f>
        <v>#REF!</v>
      </c>
      <c r="D119" s="27" t="e">
        <f>'25hike'!D119+IPI_plus!D118</f>
        <v>#REF!</v>
      </c>
      <c r="E119" s="27" t="e">
        <f>'25hike'!E119+IPI_plus!E118</f>
        <v>#REF!</v>
      </c>
      <c r="F119" s="27" t="e">
        <f>'25hike'!F119+IPI_plus!F118</f>
        <v>#REF!</v>
      </c>
      <c r="G119" s="27" t="e">
        <f>'25hike'!G119+IPI_plus!G118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27" t="e">
        <f>'25hike'!C120+IPI_plus!C119</f>
        <v>#REF!</v>
      </c>
      <c r="D120" s="27" t="e">
        <f>'25hike'!D120+IPI_plus!D119</f>
        <v>#REF!</v>
      </c>
      <c r="E120" s="27" t="e">
        <f>'25hike'!E120+IPI_plus!E119</f>
        <v>#REF!</v>
      </c>
      <c r="F120" s="27" t="e">
        <f>'25hike'!F120+IPI_plus!F119</f>
        <v>#REF!</v>
      </c>
      <c r="G120" s="27" t="e">
        <f>'25hike'!G120+IPI_plus!G119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27" t="e">
        <f>'25hike'!C121+IPI_plus!C120</f>
        <v>#REF!</v>
      </c>
      <c r="D121" s="27" t="e">
        <f>'25hike'!D121+IPI_plus!D120</f>
        <v>#REF!</v>
      </c>
      <c r="E121" s="27" t="e">
        <f>'25hike'!E121+IPI_plus!E120</f>
        <v>#REF!</v>
      </c>
      <c r="F121" s="27" t="e">
        <f>'25hike'!F121+IPI_plus!F120</f>
        <v>#REF!</v>
      </c>
      <c r="G121" s="27" t="e">
        <f>'25hike'!G121+IPI_plus!G120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27" t="e">
        <f>'25hike'!C122+IPI_plus!C121</f>
        <v>#REF!</v>
      </c>
      <c r="D122" s="27" t="e">
        <f>'25hike'!D122+IPI_plus!D121</f>
        <v>#REF!</v>
      </c>
      <c r="E122" s="27" t="e">
        <f>'25hike'!E122+IPI_plus!E121</f>
        <v>#REF!</v>
      </c>
      <c r="F122" s="27" t="e">
        <f>'25hike'!F122+IPI_plus!F121</f>
        <v>#REF!</v>
      </c>
      <c r="G122" s="27" t="e">
        <f>'25hike'!G122+IPI_plus!G121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27" t="e">
        <f>'25hike'!C123+IPI_plus!C122</f>
        <v>#REF!</v>
      </c>
      <c r="D123" s="27" t="e">
        <f>'25hike'!D123+IPI_plus!D122</f>
        <v>#REF!</v>
      </c>
      <c r="E123" s="27" t="e">
        <f>'25hike'!E123+IPI_plus!E122</f>
        <v>#REF!</v>
      </c>
      <c r="F123" s="27" t="e">
        <f>'25hike'!F123+IPI_plus!F122</f>
        <v>#REF!</v>
      </c>
      <c r="G123" s="27" t="e">
        <f>'25hike'!G123+IPI_plus!G122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27" t="e">
        <f>'25hike'!C124+IPI_plus!C123</f>
        <v>#REF!</v>
      </c>
      <c r="D124" s="27" t="e">
        <f>'25hike'!D124+IPI_plus!D123</f>
        <v>#REF!</v>
      </c>
      <c r="E124" s="27" t="e">
        <f>'25hike'!E124+IPI_plus!E123</f>
        <v>#REF!</v>
      </c>
      <c r="F124" s="27" t="e">
        <f>'25hike'!F124+IPI_plus!F123</f>
        <v>#REF!</v>
      </c>
      <c r="G124" s="27" t="e">
        <f>'25hike'!G124+IPI_plus!G123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27" t="e">
        <f>'25hike'!C125+IPI_plus!C124</f>
        <v>#REF!</v>
      </c>
      <c r="D125" s="27" t="e">
        <f>'25hike'!D125+IPI_plus!D124</f>
        <v>#REF!</v>
      </c>
      <c r="E125" s="27" t="e">
        <f>'25hike'!E125+IPI_plus!E124</f>
        <v>#REF!</v>
      </c>
      <c r="F125" s="27" t="e">
        <f>'25hike'!F125+IPI_plus!F124</f>
        <v>#REF!</v>
      </c>
      <c r="G125" s="27" t="e">
        <f>'25hike'!G125+IPI_plus!G124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27" t="e">
        <f>'25hike'!C126+IPI_plus!C125</f>
        <v>#REF!</v>
      </c>
      <c r="D126" s="27" t="e">
        <f>'25hike'!D126+IPI_plus!D125</f>
        <v>#REF!</v>
      </c>
      <c r="E126" s="27" t="e">
        <f>'25hike'!E126+IPI_plus!E125</f>
        <v>#REF!</v>
      </c>
      <c r="F126" s="27" t="e">
        <f>'25hike'!F126+IPI_plus!F125</f>
        <v>#REF!</v>
      </c>
      <c r="G126" s="27" t="e">
        <f>'25hike'!G126+IPI_plus!G125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27" t="e">
        <f>'25hike'!C127+IPI_plus!C126</f>
        <v>#REF!</v>
      </c>
      <c r="D127" s="27" t="e">
        <f>'25hike'!D127+IPI_plus!D126</f>
        <v>#REF!</v>
      </c>
      <c r="E127" s="27" t="e">
        <f>'25hike'!E127+IPI_plus!E126</f>
        <v>#REF!</v>
      </c>
      <c r="F127" s="27" t="e">
        <f>'25hike'!F127+IPI_plus!F126</f>
        <v>#REF!</v>
      </c>
      <c r="G127" s="27" t="e">
        <f>'25hike'!G127+IPI_plus!G126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27" t="e">
        <f>'25hike'!C128+IPI_plus!C127</f>
        <v>#REF!</v>
      </c>
      <c r="D128" s="27" t="e">
        <f>'25hike'!D128+IPI_plus!D127</f>
        <v>#REF!</v>
      </c>
      <c r="E128" s="27" t="e">
        <f>'25hike'!E128+IPI_plus!E127</f>
        <v>#REF!</v>
      </c>
      <c r="F128" s="27" t="e">
        <f>'25hike'!F128+IPI_plus!F127</f>
        <v>#REF!</v>
      </c>
      <c r="G128" s="27" t="e">
        <f>'25hike'!G128+IPI_plus!G127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27" t="e">
        <f>'25hike'!C129+IPI_plus!C128</f>
        <v>#REF!</v>
      </c>
      <c r="D129" s="27" t="e">
        <f>'25hike'!D129+IPI_plus!D128</f>
        <v>#REF!</v>
      </c>
      <c r="E129" s="27" t="e">
        <f>'25hike'!E129+IPI_plus!E128</f>
        <v>#REF!</v>
      </c>
      <c r="F129" s="27" t="e">
        <f>'25hike'!F129+IPI_plus!F128</f>
        <v>#REF!</v>
      </c>
      <c r="G129" s="27" t="e">
        <f>'25hike'!G129+IPI_plus!G128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27" t="e">
        <f>'25hike'!C130+IPI_plus!C129</f>
        <v>#REF!</v>
      </c>
      <c r="D130" s="27" t="e">
        <f>'25hike'!D130+IPI_plus!D129</f>
        <v>#REF!</v>
      </c>
      <c r="E130" s="27" t="e">
        <f>'25hike'!E130+IPI_plus!E129</f>
        <v>#REF!</v>
      </c>
      <c r="F130" s="27" t="e">
        <f>'25hike'!F130+IPI_plus!F129</f>
        <v>#REF!</v>
      </c>
      <c r="G130" s="27" t="e">
        <f>'25hike'!G130+IPI_plus!G129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27" t="e">
        <f>'25hike'!C131+IPI_plus!C130</f>
        <v>#REF!</v>
      </c>
      <c r="D131" s="27" t="e">
        <f>'25hike'!D131+IPI_plus!D130</f>
        <v>#REF!</v>
      </c>
      <c r="E131" s="27" t="e">
        <f>'25hike'!E131+IPI_plus!E130</f>
        <v>#REF!</v>
      </c>
      <c r="F131" s="27" t="e">
        <f>'25hike'!F131+IPI_plus!F130</f>
        <v>#REF!</v>
      </c>
      <c r="G131" s="27" t="e">
        <f>'25hike'!G131+IPI_plus!G130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27" t="e">
        <f>'25hike'!C132+IPI_plus!C131</f>
        <v>#REF!</v>
      </c>
      <c r="D132" s="27" t="e">
        <f>'25hike'!D132+IPI_plus!D131</f>
        <v>#REF!</v>
      </c>
      <c r="E132" s="27" t="e">
        <f>'25hike'!E132+IPI_plus!E131</f>
        <v>#REF!</v>
      </c>
      <c r="F132" s="27" t="e">
        <f>'25hike'!F132+IPI_plus!F131</f>
        <v>#REF!</v>
      </c>
      <c r="G132" s="27" t="e">
        <f>'25hike'!G132+IPI_plus!G131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27" t="e">
        <f>'25hike'!C133+IPI_plus!C132</f>
        <v>#REF!</v>
      </c>
      <c r="D133" s="27" t="e">
        <f>'25hike'!D133+IPI_plus!D132</f>
        <v>#REF!</v>
      </c>
      <c r="E133" s="27" t="e">
        <f>'25hike'!E133+IPI_plus!E132</f>
        <v>#REF!</v>
      </c>
      <c r="F133" s="27" t="e">
        <f>'25hike'!F133+IPI_plus!F132</f>
        <v>#REF!</v>
      </c>
      <c r="G133" s="27" t="e">
        <f>'25hike'!G133+IPI_plus!G132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27" t="e">
        <f>'25hike'!C134+IPI_plus!C133</f>
        <v>#REF!</v>
      </c>
      <c r="D134" s="27" t="e">
        <f>'25hike'!D134+IPI_plus!D133</f>
        <v>#REF!</v>
      </c>
      <c r="E134" s="27" t="e">
        <f>'25hike'!E134+IPI_plus!E133</f>
        <v>#REF!</v>
      </c>
      <c r="F134" s="27" t="e">
        <f>'25hike'!F134+IPI_plus!F133</f>
        <v>#REF!</v>
      </c>
      <c r="G134" s="27" t="e">
        <f>'25hike'!G134+IPI_plus!G133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27" t="e">
        <f>'25hike'!C135+IPI_plus!C134</f>
        <v>#REF!</v>
      </c>
      <c r="D135" s="27" t="e">
        <f>'25hike'!D135+IPI_plus!D134</f>
        <v>#REF!</v>
      </c>
      <c r="E135" s="27" t="e">
        <f>'25hike'!E135+IPI_plus!E134</f>
        <v>#REF!</v>
      </c>
      <c r="F135" s="27" t="e">
        <f>'25hike'!F135+IPI_plus!F134</f>
        <v>#REF!</v>
      </c>
      <c r="G135" s="27" t="e">
        <f>'25hike'!G135+IPI_plus!G134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27" t="e">
        <f>'25hike'!C136+IPI_plus!C135</f>
        <v>#REF!</v>
      </c>
      <c r="D136" s="27" t="e">
        <f>'25hike'!D136+IPI_plus!D135</f>
        <v>#REF!</v>
      </c>
      <c r="E136" s="27" t="e">
        <f>'25hike'!E136+IPI_plus!E135</f>
        <v>#REF!</v>
      </c>
      <c r="F136" s="27" t="e">
        <f>'25hike'!F136+IPI_plus!F135</f>
        <v>#REF!</v>
      </c>
      <c r="G136" s="27" t="e">
        <f>'25hike'!G136+IPI_plus!G135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27" t="e">
        <f>'25hike'!C137+IPI_plus!C136</f>
        <v>#REF!</v>
      </c>
      <c r="D137" s="27" t="e">
        <f>'25hike'!D137+IPI_plus!D136</f>
        <v>#REF!</v>
      </c>
      <c r="E137" s="27" t="e">
        <f>'25hike'!E137+IPI_plus!E136</f>
        <v>#REF!</v>
      </c>
      <c r="F137" s="27" t="e">
        <f>'25hike'!F137+IPI_plus!F136</f>
        <v>#REF!</v>
      </c>
      <c r="G137" s="27" t="e">
        <f>'25hike'!G137+IPI_plus!G136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27" t="e">
        <f>'25hike'!C138+IPI_plus!C137</f>
        <v>#REF!</v>
      </c>
      <c r="D138" s="27" t="e">
        <f>'25hike'!D138+IPI_plus!D137</f>
        <v>#REF!</v>
      </c>
      <c r="E138" s="27" t="e">
        <f>'25hike'!E138+IPI_plus!E137</f>
        <v>#REF!</v>
      </c>
      <c r="F138" s="27" t="e">
        <f>'25hike'!F138+IPI_plus!F137</f>
        <v>#REF!</v>
      </c>
      <c r="G138" s="27" t="e">
        <f>'25hike'!G138+IPI_plus!G137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27" t="e">
        <f>'25hike'!C139+IPI_plus!C138</f>
        <v>#REF!</v>
      </c>
      <c r="D139" s="27" t="e">
        <f>'25hike'!D139+IPI_plus!D138</f>
        <v>#REF!</v>
      </c>
      <c r="E139" s="27" t="e">
        <f>'25hike'!E139+IPI_plus!E138</f>
        <v>#REF!</v>
      </c>
      <c r="F139" s="27" t="e">
        <f>'25hike'!F139+IPI_plus!F138</f>
        <v>#REF!</v>
      </c>
      <c r="G139" s="27" t="e">
        <f>'25hike'!G139+IPI_plus!G138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27" t="e">
        <f>'25hike'!C140+IPI_plus!C139</f>
        <v>#REF!</v>
      </c>
      <c r="D140" s="27" t="e">
        <f>'25hike'!D140+IPI_plus!D139</f>
        <v>#REF!</v>
      </c>
      <c r="E140" s="27" t="e">
        <f>'25hike'!E140+IPI_plus!E139</f>
        <v>#REF!</v>
      </c>
      <c r="F140" s="27" t="e">
        <f>'25hike'!F140+IPI_plus!F139</f>
        <v>#REF!</v>
      </c>
      <c r="G140" s="27" t="e">
        <f>'25hike'!G140+IPI_plus!G139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27" t="e">
        <f>'25hike'!C141+IPI_plus!C140</f>
        <v>#REF!</v>
      </c>
      <c r="D141" s="27" t="e">
        <f>'25hike'!D141+IPI_plus!D140</f>
        <v>#REF!</v>
      </c>
      <c r="E141" s="27" t="e">
        <f>'25hike'!E141+IPI_plus!E140</f>
        <v>#REF!</v>
      </c>
      <c r="F141" s="27" t="e">
        <f>'25hike'!F141+IPI_plus!F140</f>
        <v>#REF!</v>
      </c>
      <c r="G141" s="27" t="e">
        <f>'25hike'!G141+IPI_plus!G140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27" t="e">
        <f>'25hike'!C142+IPI_plus!C141</f>
        <v>#REF!</v>
      </c>
      <c r="D142" s="27" t="e">
        <f>'25hike'!D142+IPI_plus!D141</f>
        <v>#REF!</v>
      </c>
      <c r="E142" s="27" t="e">
        <f>'25hike'!E142+IPI_plus!E141</f>
        <v>#REF!</v>
      </c>
      <c r="F142" s="27" t="e">
        <f>'25hike'!F142+IPI_plus!F141</f>
        <v>#REF!</v>
      </c>
      <c r="G142" s="27" t="e">
        <f>'25hike'!G142+IPI_plus!G141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27" t="e">
        <f>'25hike'!C143+IPI_plus!C142</f>
        <v>#REF!</v>
      </c>
      <c r="D143" s="27" t="e">
        <f>'25hike'!D143+IPI_plus!D142</f>
        <v>#REF!</v>
      </c>
      <c r="E143" s="27" t="e">
        <f>'25hike'!E143+IPI_plus!E142</f>
        <v>#REF!</v>
      </c>
      <c r="F143" s="27" t="e">
        <f>'25hike'!F143+IPI_plus!F142</f>
        <v>#REF!</v>
      </c>
      <c r="G143" s="27" t="e">
        <f>'25hike'!G143+IPI_plus!G142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27" t="e">
        <f>'25hike'!C144+IPI_plus!C143</f>
        <v>#REF!</v>
      </c>
      <c r="D144" s="27" t="e">
        <f>'25hike'!D144+IPI_plus!D143</f>
        <v>#REF!</v>
      </c>
      <c r="E144" s="27" t="e">
        <f>'25hike'!E144+IPI_plus!E143</f>
        <v>#REF!</v>
      </c>
      <c r="F144" s="27" t="e">
        <f>'25hike'!F144+IPI_plus!F143</f>
        <v>#REF!</v>
      </c>
      <c r="G144" s="27" t="e">
        <f>'25hike'!G144+IPI_plus!G143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27" t="e">
        <f>'25hike'!C145+IPI_plus!C144</f>
        <v>#REF!</v>
      </c>
      <c r="D145" s="27" t="e">
        <f>'25hike'!D145+IPI_plus!D144</f>
        <v>#REF!</v>
      </c>
      <c r="E145" s="27" t="e">
        <f>'25hike'!E145+IPI_plus!E144</f>
        <v>#REF!</v>
      </c>
      <c r="F145" s="27" t="e">
        <f>'25hike'!F145+IPI_plus!F144</f>
        <v>#REF!</v>
      </c>
      <c r="G145" s="27" t="e">
        <f>'25hike'!G145+IPI_plus!G144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27" t="e">
        <f>'25hike'!C146+IPI_plus!C145</f>
        <v>#REF!</v>
      </c>
      <c r="D146" s="27" t="e">
        <f>'25hike'!D146+IPI_plus!D145</f>
        <v>#REF!</v>
      </c>
      <c r="E146" s="27" t="e">
        <f>'25hike'!E146+IPI_plus!E145</f>
        <v>#REF!</v>
      </c>
      <c r="F146" s="27" t="e">
        <f>'25hike'!F146+IPI_plus!F145</f>
        <v>#REF!</v>
      </c>
      <c r="G146" s="27" t="e">
        <f>'25hike'!G146+IPI_plus!G145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27" t="e">
        <f>'25hike'!C147+IPI_plus!C146</f>
        <v>#REF!</v>
      </c>
      <c r="D147" s="27" t="e">
        <f>'25hike'!D147+IPI_plus!D146</f>
        <v>#REF!</v>
      </c>
      <c r="E147" s="27" t="e">
        <f>'25hike'!E147+IPI_plus!E146</f>
        <v>#REF!</v>
      </c>
      <c r="F147" s="27" t="e">
        <f>'25hike'!F147+IPI_plus!F146</f>
        <v>#REF!</v>
      </c>
      <c r="G147" s="27" t="e">
        <f>'25hike'!G147+IPI_plus!G146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27" t="e">
        <f>'25hike'!C148+IPI_plus!C147</f>
        <v>#REF!</v>
      </c>
      <c r="D148" s="27" t="e">
        <f>'25hike'!D148+IPI_plus!D147</f>
        <v>#REF!</v>
      </c>
      <c r="E148" s="27" t="e">
        <f>'25hike'!E148+IPI_plus!E147</f>
        <v>#REF!</v>
      </c>
      <c r="F148" s="27" t="e">
        <f>'25hike'!F148+IPI_plus!F147</f>
        <v>#REF!</v>
      </c>
      <c r="G148" s="27" t="e">
        <f>'25hike'!G148+IPI_plus!G147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27" t="e">
        <f>'25hike'!C149+IPI_plus!C148</f>
        <v>#REF!</v>
      </c>
      <c r="D149" s="27" t="e">
        <f>'25hike'!D149+IPI_plus!D148</f>
        <v>#REF!</v>
      </c>
      <c r="E149" s="27" t="e">
        <f>'25hike'!E149+IPI_plus!E148</f>
        <v>#REF!</v>
      </c>
      <c r="F149" s="27" t="e">
        <f>'25hike'!F149+IPI_plus!F148</f>
        <v>#REF!</v>
      </c>
      <c r="G149" s="27" t="e">
        <f>'25hike'!G149+IPI_plus!G148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27" t="e">
        <f>'25hike'!C150+IPI_plus!C149</f>
        <v>#REF!</v>
      </c>
      <c r="D150" s="27" t="e">
        <f>'25hike'!D150+IPI_plus!D149</f>
        <v>#REF!</v>
      </c>
      <c r="E150" s="27" t="e">
        <f>'25hike'!E150+IPI_plus!E149</f>
        <v>#REF!</v>
      </c>
      <c r="F150" s="27" t="e">
        <f>'25hike'!F150+IPI_plus!F149</f>
        <v>#REF!</v>
      </c>
      <c r="G150" s="27" t="e">
        <f>'25hike'!G150+IPI_plus!G149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27" t="e">
        <f>'25hike'!C151+IPI_plus!C150</f>
        <v>#REF!</v>
      </c>
      <c r="D151" s="27" t="e">
        <f>'25hike'!D151+IPI_plus!D150</f>
        <v>#REF!</v>
      </c>
      <c r="E151" s="27" t="e">
        <f>'25hike'!E151+IPI_plus!E150</f>
        <v>#REF!</v>
      </c>
      <c r="F151" s="27" t="e">
        <f>'25hike'!F151+IPI_plus!F150</f>
        <v>#REF!</v>
      </c>
      <c r="G151" s="27" t="e">
        <f>'25hike'!G151+IPI_plus!G150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27" t="e">
        <f>'25hike'!C152+IPI_plus!C151</f>
        <v>#REF!</v>
      </c>
      <c r="D152" s="27" t="e">
        <f>'25hike'!D152+IPI_plus!D151</f>
        <v>#REF!</v>
      </c>
      <c r="E152" s="27" t="e">
        <f>'25hike'!E152+IPI_plus!E151</f>
        <v>#REF!</v>
      </c>
      <c r="F152" s="27" t="e">
        <f>'25hike'!F152+IPI_plus!F151</f>
        <v>#REF!</v>
      </c>
      <c r="G152" s="27" t="e">
        <f>'25hike'!G152+IPI_plus!G151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27" t="e">
        <f>'25hike'!C153+IPI_plus!C152</f>
        <v>#REF!</v>
      </c>
      <c r="D153" s="27" t="e">
        <f>'25hike'!D153+IPI_plus!D152</f>
        <v>#REF!</v>
      </c>
      <c r="E153" s="27" t="e">
        <f>'25hike'!E153+IPI_plus!E152</f>
        <v>#REF!</v>
      </c>
      <c r="F153" s="27" t="e">
        <f>'25hike'!F153+IPI_plus!F152</f>
        <v>#REF!</v>
      </c>
      <c r="G153" s="27" t="e">
        <f>'25hike'!G153+IPI_plus!G152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27" t="e">
        <f>'25hike'!C154+IPI_plus!C153</f>
        <v>#REF!</v>
      </c>
      <c r="D154" s="27" t="e">
        <f>'25hike'!D154+IPI_plus!D153</f>
        <v>#REF!</v>
      </c>
      <c r="E154" s="27" t="e">
        <f>'25hike'!E154+IPI_plus!E153</f>
        <v>#REF!</v>
      </c>
      <c r="F154" s="27" t="e">
        <f>'25hike'!F154+IPI_plus!F153</f>
        <v>#REF!</v>
      </c>
      <c r="G154" s="27" t="e">
        <f>'25hike'!G154+IPI_plus!G153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27" t="e">
        <f>'25hike'!C155+IPI_plus!C154</f>
        <v>#REF!</v>
      </c>
      <c r="D155" s="27" t="e">
        <f>'25hike'!D155+IPI_plus!D154</f>
        <v>#REF!</v>
      </c>
      <c r="E155" s="27" t="e">
        <f>'25hike'!E155+IPI_plus!E154</f>
        <v>#REF!</v>
      </c>
      <c r="F155" s="27" t="e">
        <f>'25hike'!F155+IPI_plus!F154</f>
        <v>#REF!</v>
      </c>
      <c r="G155" s="27" t="e">
        <f>'25hike'!G155+IPI_plus!G154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27" t="e">
        <f>'25hike'!C156+IPI_plus!C155</f>
        <v>#REF!</v>
      </c>
      <c r="D156" s="27" t="e">
        <f>'25hike'!D156+IPI_plus!D155</f>
        <v>#REF!</v>
      </c>
      <c r="E156" s="27" t="e">
        <f>'25hike'!E156+IPI_plus!E155</f>
        <v>#REF!</v>
      </c>
      <c r="F156" s="27" t="e">
        <f>'25hike'!F156+IPI_plus!F155</f>
        <v>#REF!</v>
      </c>
      <c r="G156" s="27" t="e">
        <f>'25hike'!G156+IPI_plus!G155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27" t="e">
        <f>'25hike'!C157+IPI_plus!C156</f>
        <v>#REF!</v>
      </c>
      <c r="D157" s="27" t="e">
        <f>'25hike'!D157+IPI_plus!D156</f>
        <v>#REF!</v>
      </c>
      <c r="E157" s="27" t="e">
        <f>'25hike'!E157+IPI_plus!E156</f>
        <v>#REF!</v>
      </c>
      <c r="F157" s="27" t="e">
        <f>'25hike'!F157+IPI_plus!F156</f>
        <v>#REF!</v>
      </c>
      <c r="G157" s="27" t="e">
        <f>'25hike'!G157+IPI_plus!G156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27" t="e">
        <f>'25hike'!C158+IPI_plus!C157</f>
        <v>#REF!</v>
      </c>
      <c r="D158" s="27" t="e">
        <f>'25hike'!D158+IPI_plus!D157</f>
        <v>#REF!</v>
      </c>
      <c r="E158" s="27" t="e">
        <f>'25hike'!E158+IPI_plus!E157</f>
        <v>#REF!</v>
      </c>
      <c r="F158" s="27" t="e">
        <f>'25hike'!F158+IPI_plus!F157</f>
        <v>#REF!</v>
      </c>
      <c r="G158" s="27" t="e">
        <f>'25hike'!G158+IPI_plus!G157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27" t="e">
        <f>'25hike'!C159+IPI_plus!C158</f>
        <v>#REF!</v>
      </c>
      <c r="D159" s="27" t="e">
        <f>'25hike'!D159+IPI_plus!D158</f>
        <v>#REF!</v>
      </c>
      <c r="E159" s="27" t="e">
        <f>'25hike'!E159+IPI_plus!E158</f>
        <v>#REF!</v>
      </c>
      <c r="F159" s="27" t="e">
        <f>'25hike'!F159+IPI_plus!F158</f>
        <v>#REF!</v>
      </c>
      <c r="G159" s="27" t="e">
        <f>'25hike'!G159+IPI_plus!G158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27" t="e">
        <f>'25hike'!C160+IPI_plus!C159</f>
        <v>#REF!</v>
      </c>
      <c r="D160" s="27" t="e">
        <f>'25hike'!D160+IPI_plus!D159</f>
        <v>#REF!</v>
      </c>
      <c r="E160" s="27" t="e">
        <f>'25hike'!E160+IPI_plus!E159</f>
        <v>#REF!</v>
      </c>
      <c r="F160" s="27" t="e">
        <f>'25hike'!F160+IPI_plus!F159</f>
        <v>#REF!</v>
      </c>
      <c r="G160" s="27" t="e">
        <f>'25hike'!G160+IPI_plus!G159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27" t="e">
        <f>'25hike'!C161+IPI_plus!C160</f>
        <v>#REF!</v>
      </c>
      <c r="D161" s="27" t="e">
        <f>'25hike'!D161+IPI_plus!D160</f>
        <v>#REF!</v>
      </c>
      <c r="E161" s="27" t="e">
        <f>'25hike'!E161+IPI_plus!E160</f>
        <v>#REF!</v>
      </c>
      <c r="F161" s="27" t="e">
        <f>'25hike'!F161+IPI_plus!F160</f>
        <v>#REF!</v>
      </c>
      <c r="G161" s="27" t="e">
        <f>'25hike'!G161+IPI_plus!G160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27" t="e">
        <f>'25hike'!C162+IPI_plus!C161</f>
        <v>#REF!</v>
      </c>
      <c r="D162" s="27" t="e">
        <f>'25hike'!D162+IPI_plus!D161</f>
        <v>#REF!</v>
      </c>
      <c r="E162" s="27" t="e">
        <f>'25hike'!E162+IPI_plus!E161</f>
        <v>#REF!</v>
      </c>
      <c r="F162" s="27" t="e">
        <f>'25hike'!F162+IPI_plus!F161</f>
        <v>#REF!</v>
      </c>
      <c r="G162" s="27" t="e">
        <f>'25hike'!G162+IPI_plus!G161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27" t="e">
        <f>'25hike'!C163+IPI_plus!C162</f>
        <v>#REF!</v>
      </c>
      <c r="D163" s="27" t="e">
        <f>'25hike'!D163+IPI_plus!D162</f>
        <v>#REF!</v>
      </c>
      <c r="E163" s="27" t="e">
        <f>'25hike'!E163+IPI_plus!E162</f>
        <v>#REF!</v>
      </c>
      <c r="F163" s="27" t="e">
        <f>'25hike'!F163+IPI_plus!F162</f>
        <v>#REF!</v>
      </c>
      <c r="G163" s="27" t="e">
        <f>'25hike'!G163+IPI_plus!G162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27" t="e">
        <f>'25hike'!C164+IPI_plus!C163</f>
        <v>#REF!</v>
      </c>
      <c r="D164" s="27" t="e">
        <f>'25hike'!D164+IPI_plus!D163</f>
        <v>#REF!</v>
      </c>
      <c r="E164" s="27" t="e">
        <f>'25hike'!E164+IPI_plus!E163</f>
        <v>#REF!</v>
      </c>
      <c r="F164" s="27" t="e">
        <f>'25hike'!F164+IPI_plus!F163</f>
        <v>#REF!</v>
      </c>
      <c r="G164" s="27" t="e">
        <f>'25hike'!G164+IPI_plus!G163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27" t="e">
        <f>'25hike'!C165+IPI_plus!C164</f>
        <v>#REF!</v>
      </c>
      <c r="D165" s="27" t="e">
        <f>'25hike'!D165+IPI_plus!D164</f>
        <v>#REF!</v>
      </c>
      <c r="E165" s="27" t="e">
        <f>'25hike'!E165+IPI_plus!E164</f>
        <v>#REF!</v>
      </c>
      <c r="F165" s="27" t="e">
        <f>'25hike'!F165+IPI_plus!F164</f>
        <v>#REF!</v>
      </c>
      <c r="G165" s="27" t="e">
        <f>'25hike'!G165+IPI_plus!G164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27" t="e">
        <f>'25hike'!C166+IPI_plus!C165</f>
        <v>#REF!</v>
      </c>
      <c r="D166" s="27" t="e">
        <f>'25hike'!D166+IPI_plus!D165</f>
        <v>#REF!</v>
      </c>
      <c r="E166" s="27" t="e">
        <f>'25hike'!E166+IPI_plus!E165</f>
        <v>#REF!</v>
      </c>
      <c r="F166" s="27" t="e">
        <f>'25hike'!F166+IPI_plus!F165</f>
        <v>#REF!</v>
      </c>
      <c r="G166" s="27" t="e">
        <f>'25hike'!G166+IPI_plus!G165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27" t="e">
        <f>'25hike'!C167+IPI_plus!C166</f>
        <v>#REF!</v>
      </c>
      <c r="D167" s="27" t="e">
        <f>'25hike'!D167+IPI_plus!D166</f>
        <v>#REF!</v>
      </c>
      <c r="E167" s="27" t="e">
        <f>'25hike'!E167+IPI_plus!E166</f>
        <v>#REF!</v>
      </c>
      <c r="F167" s="27" t="e">
        <f>'25hike'!F167+IPI_plus!F166</f>
        <v>#REF!</v>
      </c>
      <c r="G167" s="27" t="e">
        <f>'25hike'!G167+IPI_plus!G166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27" t="e">
        <f>'25hike'!C168+IPI_plus!C167</f>
        <v>#REF!</v>
      </c>
      <c r="D168" s="27" t="e">
        <f>'25hike'!D168+IPI_plus!D167</f>
        <v>#REF!</v>
      </c>
      <c r="E168" s="27" t="e">
        <f>'25hike'!E168+IPI_plus!E167</f>
        <v>#REF!</v>
      </c>
      <c r="F168" s="27" t="e">
        <f>'25hike'!F168+IPI_plus!F167</f>
        <v>#REF!</v>
      </c>
      <c r="G168" s="27" t="e">
        <f>'25hike'!G168+IPI_plus!G167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27" t="e">
        <f>'25hike'!C169+IPI_plus!C168</f>
        <v>#REF!</v>
      </c>
      <c r="D169" s="27" t="e">
        <f>'25hike'!D169+IPI_plus!D168</f>
        <v>#REF!</v>
      </c>
      <c r="E169" s="27" t="e">
        <f>'25hike'!E169+IPI_plus!E168</f>
        <v>#REF!</v>
      </c>
      <c r="F169" s="27" t="e">
        <f>'25hike'!F169+IPI_plus!F168</f>
        <v>#REF!</v>
      </c>
      <c r="G169" s="27" t="e">
        <f>'25hike'!G169+IPI_plus!G168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27" t="e">
        <f>'25hike'!C170+IPI_plus!C169</f>
        <v>#REF!</v>
      </c>
      <c r="D170" s="27" t="e">
        <f>'25hike'!D170+IPI_plus!D169</f>
        <v>#REF!</v>
      </c>
      <c r="E170" s="27" t="e">
        <f>'25hike'!E170+IPI_plus!E169</f>
        <v>#REF!</v>
      </c>
      <c r="F170" s="27" t="e">
        <f>'25hike'!F170+IPI_plus!F169</f>
        <v>#REF!</v>
      </c>
      <c r="G170" s="27" t="e">
        <f>'25hike'!G170+IPI_plus!G169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27" t="e">
        <f>'25hike'!C171+IPI_plus!C170</f>
        <v>#REF!</v>
      </c>
      <c r="D171" s="27" t="e">
        <f>'25hike'!D171+IPI_plus!D170</f>
        <v>#REF!</v>
      </c>
      <c r="E171" s="27" t="e">
        <f>'25hike'!E171+IPI_plus!E170</f>
        <v>#REF!</v>
      </c>
      <c r="F171" s="27" t="e">
        <f>'25hike'!F171+IPI_plus!F170</f>
        <v>#REF!</v>
      </c>
      <c r="G171" s="27" t="e">
        <f>'25hike'!G171+IPI_plus!G170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27" t="e">
        <f>'25hike'!C172+IPI_plus!C171</f>
        <v>#REF!</v>
      </c>
      <c r="D172" s="27" t="e">
        <f>'25hike'!D172+IPI_plus!D171</f>
        <v>#REF!</v>
      </c>
      <c r="E172" s="27" t="e">
        <f>'25hike'!E172+IPI_plus!E171</f>
        <v>#REF!</v>
      </c>
      <c r="F172" s="27" t="e">
        <f>'25hike'!F172+IPI_plus!F171</f>
        <v>#REF!</v>
      </c>
      <c r="G172" s="27" t="e">
        <f>'25hike'!G172+IPI_plus!G171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27" t="e">
        <f>'25hike'!C173+IPI_plus!C172</f>
        <v>#REF!</v>
      </c>
      <c r="D173" s="27" t="e">
        <f>'25hike'!D173+IPI_plus!D172</f>
        <v>#REF!</v>
      </c>
      <c r="E173" s="27" t="e">
        <f>'25hike'!E173+IPI_plus!E172</f>
        <v>#REF!</v>
      </c>
      <c r="F173" s="27" t="e">
        <f>'25hike'!F173+IPI_plus!F172</f>
        <v>#REF!</v>
      </c>
      <c r="G173" s="27" t="e">
        <f>'25hike'!G173+IPI_plus!G172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27" t="e">
        <f>'25hike'!C174+IPI_plus!C173</f>
        <v>#REF!</v>
      </c>
      <c r="D174" s="27" t="e">
        <f>'25hike'!D174+IPI_plus!D173</f>
        <v>#REF!</v>
      </c>
      <c r="E174" s="27" t="e">
        <f>'25hike'!E174+IPI_plus!E173</f>
        <v>#REF!</v>
      </c>
      <c r="F174" s="27" t="e">
        <f>'25hike'!F174+IPI_plus!F173</f>
        <v>#REF!</v>
      </c>
      <c r="G174" s="27" t="e">
        <f>'25hike'!G174+IPI_plus!G173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27" t="e">
        <f>'25hike'!C175+IPI_plus!C174</f>
        <v>#REF!</v>
      </c>
      <c r="D175" s="27" t="e">
        <f>'25hike'!D175+IPI_plus!D174</f>
        <v>#REF!</v>
      </c>
      <c r="E175" s="27" t="e">
        <f>'25hike'!E175+IPI_plus!E174</f>
        <v>#REF!</v>
      </c>
      <c r="F175" s="27" t="e">
        <f>'25hike'!F175+IPI_plus!F174</f>
        <v>#REF!</v>
      </c>
      <c r="G175" s="27" t="e">
        <f>'25hike'!G175+IPI_plus!G174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27" t="e">
        <f>'25hike'!C176+IPI_plus!C175</f>
        <v>#REF!</v>
      </c>
      <c r="D176" s="27" t="e">
        <f>'25hike'!D176+IPI_plus!D175</f>
        <v>#REF!</v>
      </c>
      <c r="E176" s="27" t="e">
        <f>'25hike'!E176+IPI_plus!E175</f>
        <v>#REF!</v>
      </c>
      <c r="F176" s="27" t="e">
        <f>'25hike'!F176+IPI_plus!F175</f>
        <v>#REF!</v>
      </c>
      <c r="G176" s="27" t="e">
        <f>'25hike'!G176+IPI_plus!G175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27" t="e">
        <f>'25hike'!C177+IPI_plus!C176</f>
        <v>#REF!</v>
      </c>
      <c r="D177" s="27" t="e">
        <f>'25hike'!D177+IPI_plus!D176</f>
        <v>#REF!</v>
      </c>
      <c r="E177" s="27" t="e">
        <f>'25hike'!E177+IPI_plus!E176</f>
        <v>#REF!</v>
      </c>
      <c r="F177" s="27" t="e">
        <f>'25hike'!F177+IPI_plus!F176</f>
        <v>#REF!</v>
      </c>
      <c r="G177" s="27" t="e">
        <f>'25hike'!G177+IPI_plus!G176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27" t="e">
        <f>'25hike'!C178+IPI_plus!C177</f>
        <v>#REF!</v>
      </c>
      <c r="D178" s="27" t="e">
        <f>'25hike'!D178+IPI_plus!D177</f>
        <v>#REF!</v>
      </c>
      <c r="E178" s="27" t="e">
        <f>'25hike'!E178+IPI_plus!E177</f>
        <v>#REF!</v>
      </c>
      <c r="F178" s="27" t="e">
        <f>'25hike'!F178+IPI_plus!F177</f>
        <v>#REF!</v>
      </c>
      <c r="G178" s="27" t="e">
        <f>'25hike'!G178+IPI_plus!G177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27" t="e">
        <f>'25hike'!C179+IPI_plus!C178</f>
        <v>#REF!</v>
      </c>
      <c r="D179" s="27" t="e">
        <f>'25hike'!D179+IPI_plus!D178</f>
        <v>#REF!</v>
      </c>
      <c r="E179" s="27" t="e">
        <f>'25hike'!E179+IPI_plus!E178</f>
        <v>#REF!</v>
      </c>
      <c r="F179" s="27" t="e">
        <f>'25hike'!F179+IPI_plus!F178</f>
        <v>#REF!</v>
      </c>
      <c r="G179" s="27" t="e">
        <f>'25hike'!G179+IPI_plus!G178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27" t="e">
        <f>'25hike'!C180+IPI_plus!C179</f>
        <v>#REF!</v>
      </c>
      <c r="D180" s="27" t="e">
        <f>'25hike'!D180+IPI_plus!D179</f>
        <v>#REF!</v>
      </c>
      <c r="E180" s="27" t="e">
        <f>'25hike'!E180+IPI_plus!E179</f>
        <v>#REF!</v>
      </c>
      <c r="F180" s="27" t="e">
        <f>'25hike'!F180+IPI_plus!F179</f>
        <v>#REF!</v>
      </c>
      <c r="G180" s="27" t="e">
        <f>'25hike'!G180+IPI_plus!G179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27" t="e">
        <f>'25hike'!C181+IPI_plus!C180</f>
        <v>#REF!</v>
      </c>
      <c r="D181" s="27" t="e">
        <f>'25hike'!D181+IPI_plus!D180</f>
        <v>#REF!</v>
      </c>
      <c r="E181" s="27" t="e">
        <f>'25hike'!E181+IPI_plus!E180</f>
        <v>#REF!</v>
      </c>
      <c r="F181" s="27" t="e">
        <f>'25hike'!F181+IPI_plus!F180</f>
        <v>#REF!</v>
      </c>
      <c r="G181" s="27" t="e">
        <f>'25hike'!G181+IPI_plus!G180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27" t="e">
        <f>'25hike'!C182+IPI_plus!C181</f>
        <v>#REF!</v>
      </c>
      <c r="D182" s="27" t="e">
        <f>'25hike'!D182+IPI_plus!D181</f>
        <v>#REF!</v>
      </c>
      <c r="E182" s="27" t="e">
        <f>'25hike'!E182+IPI_plus!E181</f>
        <v>#REF!</v>
      </c>
      <c r="F182" s="27" t="e">
        <f>'25hike'!F182+IPI_plus!F181</f>
        <v>#REF!</v>
      </c>
      <c r="G182" s="27" t="e">
        <f>'25hike'!G182+IPI_plus!G181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27" t="e">
        <f>'25hike'!C183+IPI_plus!C182</f>
        <v>#REF!</v>
      </c>
      <c r="D183" s="27" t="e">
        <f>'25hike'!D183+IPI_plus!D182</f>
        <v>#REF!</v>
      </c>
      <c r="E183" s="27" t="e">
        <f>'25hike'!E183+IPI_plus!E182</f>
        <v>#REF!</v>
      </c>
      <c r="F183" s="27" t="e">
        <f>'25hike'!F183+IPI_plus!F182</f>
        <v>#REF!</v>
      </c>
      <c r="G183" s="27" t="e">
        <f>'25hike'!G183+IPI_plus!G182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27" t="e">
        <f>'25hike'!C184+IPI_plus!C183</f>
        <v>#REF!</v>
      </c>
      <c r="D184" s="27" t="e">
        <f>'25hike'!D184+IPI_plus!D183</f>
        <v>#REF!</v>
      </c>
      <c r="E184" s="27" t="e">
        <f>'25hike'!E184+IPI_plus!E183</f>
        <v>#REF!</v>
      </c>
      <c r="F184" s="27" t="e">
        <f>'25hike'!F184+IPI_plus!F183</f>
        <v>#REF!</v>
      </c>
      <c r="G184" s="27" t="e">
        <f>'25hike'!G184+IPI_plus!G183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27" t="e">
        <f>'25hike'!C185+IPI_plus!C184</f>
        <v>#REF!</v>
      </c>
      <c r="D185" s="27" t="e">
        <f>'25hike'!D185+IPI_plus!D184</f>
        <v>#REF!</v>
      </c>
      <c r="E185" s="27" t="e">
        <f>'25hike'!E185+IPI_plus!E184</f>
        <v>#REF!</v>
      </c>
      <c r="F185" s="27" t="e">
        <f>'25hike'!F185+IPI_plus!F184</f>
        <v>#REF!</v>
      </c>
      <c r="G185" s="27" t="e">
        <f>'25hike'!G185+IPI_plus!G184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27" t="e">
        <f>'25hike'!C186+IPI_plus!C185</f>
        <v>#REF!</v>
      </c>
      <c r="D186" s="27" t="e">
        <f>'25hike'!D186+IPI_plus!D185</f>
        <v>#REF!</v>
      </c>
      <c r="E186" s="27" t="e">
        <f>'25hike'!E186+IPI_plus!E185</f>
        <v>#REF!</v>
      </c>
      <c r="F186" s="27" t="e">
        <f>'25hike'!F186+IPI_plus!F185</f>
        <v>#REF!</v>
      </c>
      <c r="G186" s="27" t="e">
        <f>'25hike'!G186+IPI_plus!G185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27" t="e">
        <f>'25hike'!C187+IPI_plus!C186</f>
        <v>#REF!</v>
      </c>
      <c r="D187" s="27" t="e">
        <f>'25hike'!D187+IPI_plus!D186</f>
        <v>#REF!</v>
      </c>
      <c r="E187" s="27" t="e">
        <f>'25hike'!E187+IPI_plus!E186</f>
        <v>#REF!</v>
      </c>
      <c r="F187" s="27" t="e">
        <f>'25hike'!F187+IPI_plus!F186</f>
        <v>#REF!</v>
      </c>
      <c r="G187" s="27" t="e">
        <f>'25hike'!G187+IPI_plus!G186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27" t="e">
        <f>'25hike'!C188+IPI_plus!C187</f>
        <v>#REF!</v>
      </c>
      <c r="D188" s="27" t="e">
        <f>'25hike'!D188+IPI_plus!D187</f>
        <v>#REF!</v>
      </c>
      <c r="E188" s="27" t="e">
        <f>'25hike'!E188+IPI_plus!E187</f>
        <v>#REF!</v>
      </c>
      <c r="F188" s="27" t="e">
        <f>'25hike'!F188+IPI_plus!F187</f>
        <v>#REF!</v>
      </c>
      <c r="G188" s="27" t="e">
        <f>'25hike'!G188+IPI_plus!G187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27" t="e">
        <f>'25hike'!C189+IPI_plus!C188</f>
        <v>#REF!</v>
      </c>
      <c r="D189" s="27" t="e">
        <f>'25hike'!D189+IPI_plus!D188</f>
        <v>#REF!</v>
      </c>
      <c r="E189" s="27" t="e">
        <f>'25hike'!E189+IPI_plus!E188</f>
        <v>#REF!</v>
      </c>
      <c r="F189" s="27" t="e">
        <f>'25hike'!F189+IPI_plus!F188</f>
        <v>#REF!</v>
      </c>
      <c r="G189" s="27" t="e">
        <f>'25hike'!G189+IPI_plus!G188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27" t="e">
        <f>'25hike'!C190+IPI_plus!C189</f>
        <v>#REF!</v>
      </c>
      <c r="D190" s="27" t="e">
        <f>'25hike'!D190+IPI_plus!D189</f>
        <v>#REF!</v>
      </c>
      <c r="E190" s="27" t="e">
        <f>'25hike'!E190+IPI_plus!E189</f>
        <v>#REF!</v>
      </c>
      <c r="F190" s="27" t="e">
        <f>'25hike'!F190+IPI_plus!F189</f>
        <v>#REF!</v>
      </c>
      <c r="G190" s="27" t="e">
        <f>'25hike'!G190+IPI_plus!G189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27" t="e">
        <f>'25hike'!C191+IPI_plus!C190</f>
        <v>#REF!</v>
      </c>
      <c r="D191" s="27" t="e">
        <f>'25hike'!D191+IPI_plus!D190</f>
        <v>#REF!</v>
      </c>
      <c r="E191" s="27" t="e">
        <f>'25hike'!E191+IPI_plus!E190</f>
        <v>#REF!</v>
      </c>
      <c r="F191" s="27" t="e">
        <f>'25hike'!F191+IPI_plus!F190</f>
        <v>#REF!</v>
      </c>
      <c r="G191" s="27" t="e">
        <f>'25hike'!G191+IPI_plus!G190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27" t="e">
        <f>'25hike'!C192+IPI_plus!C191</f>
        <v>#REF!</v>
      </c>
      <c r="D192" s="27" t="e">
        <f>'25hike'!D192+IPI_plus!D191</f>
        <v>#REF!</v>
      </c>
      <c r="E192" s="27" t="e">
        <f>'25hike'!E192+IPI_plus!E191</f>
        <v>#REF!</v>
      </c>
      <c r="F192" s="27" t="e">
        <f>'25hike'!F192+IPI_plus!F191</f>
        <v>#REF!</v>
      </c>
      <c r="G192" s="27" t="e">
        <f>'25hike'!G192+IPI_plus!G191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27" t="e">
        <f>'25hike'!C193+IPI_plus!C192</f>
        <v>#REF!</v>
      </c>
      <c r="D193" s="27" t="e">
        <f>'25hike'!D193+IPI_plus!D192</f>
        <v>#REF!</v>
      </c>
      <c r="E193" s="27" t="e">
        <f>'25hike'!E193+IPI_plus!E192</f>
        <v>#REF!</v>
      </c>
      <c r="F193" s="27" t="e">
        <f>'25hike'!F193+IPI_plus!F192</f>
        <v>#REF!</v>
      </c>
      <c r="G193" s="27" t="e">
        <f>'25hike'!G193+IPI_plus!G192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27" t="e">
        <f>'25hike'!C194+IPI_plus!C193</f>
        <v>#REF!</v>
      </c>
      <c r="D194" s="27" t="e">
        <f>'25hike'!D194+IPI_plus!D193</f>
        <v>#REF!</v>
      </c>
      <c r="E194" s="27" t="e">
        <f>'25hike'!E194+IPI_plus!E193</f>
        <v>#REF!</v>
      </c>
      <c r="F194" s="27" t="e">
        <f>'25hike'!F194+IPI_plus!F193</f>
        <v>#REF!</v>
      </c>
      <c r="G194" s="27" t="e">
        <f>'25hike'!G194+IPI_plus!G193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27" t="e">
        <f>'25hike'!C195+IPI_plus!C194</f>
        <v>#REF!</v>
      </c>
      <c r="D195" s="27" t="e">
        <f>'25hike'!D195+IPI_plus!D194</f>
        <v>#REF!</v>
      </c>
      <c r="E195" s="27" t="e">
        <f>'25hike'!E195+IPI_plus!E194</f>
        <v>#REF!</v>
      </c>
      <c r="F195" s="27" t="e">
        <f>'25hike'!F195+IPI_plus!F194</f>
        <v>#REF!</v>
      </c>
      <c r="G195" s="27" t="e">
        <f>'25hike'!G195+IPI_plus!G194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1" si="152">A195+0.25</f>
        <v>47.5</v>
      </c>
      <c r="B196" s="4">
        <f t="shared" ref="B196:B201" si="153">B195</f>
        <v>0</v>
      </c>
      <c r="C196" s="27" t="e">
        <f>'25hike'!C196+IPI_plus!C195</f>
        <v>#REF!</v>
      </c>
      <c r="D196" s="27" t="e">
        <f>'25hike'!D196+IPI_plus!D195</f>
        <v>#REF!</v>
      </c>
      <c r="E196" s="27" t="e">
        <f>'25hike'!E196+IPI_plus!E195</f>
        <v>#REF!</v>
      </c>
      <c r="F196" s="27" t="e">
        <f>'25hike'!F196+IPI_plus!F195</f>
        <v>#REF!</v>
      </c>
      <c r="G196" s="27" t="e">
        <f>'25hike'!G196+IPI_plus!G195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27" t="e">
        <f>'25hike'!C197+IPI_plus!C196</f>
        <v>#REF!</v>
      </c>
      <c r="D197" s="27" t="e">
        <f>'25hike'!D197+IPI_plus!D196</f>
        <v>#REF!</v>
      </c>
      <c r="E197" s="27" t="e">
        <f>'25hike'!E197+IPI_plus!E196</f>
        <v>#REF!</v>
      </c>
      <c r="F197" s="27" t="e">
        <f>'25hike'!F197+IPI_plus!F196</f>
        <v>#REF!</v>
      </c>
      <c r="G197" s="27" t="e">
        <f>'25hike'!G197+IPI_plus!G196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27" t="e">
        <f>'25hike'!C198+IPI_plus!C197</f>
        <v>#REF!</v>
      </c>
      <c r="D198" s="27" t="e">
        <f>'25hike'!D198+IPI_plus!D197</f>
        <v>#REF!</v>
      </c>
      <c r="E198" s="27" t="e">
        <f>'25hike'!E198+IPI_plus!E197</f>
        <v>#REF!</v>
      </c>
      <c r="F198" s="27" t="e">
        <f>'25hike'!F198+IPI_plus!F197</f>
        <v>#REF!</v>
      </c>
      <c r="G198" s="27" t="e">
        <f>'25hike'!G198+IPI_plus!G197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27" t="e">
        <f>'25hike'!C199+IPI_plus!C198</f>
        <v>#REF!</v>
      </c>
      <c r="D199" s="27" t="e">
        <f>'25hike'!D199+IPI_plus!D198</f>
        <v>#REF!</v>
      </c>
      <c r="E199" s="27" t="e">
        <f>'25hike'!E199+IPI_plus!E198</f>
        <v>#REF!</v>
      </c>
      <c r="F199" s="27" t="e">
        <f>'25hike'!F199+IPI_plus!F198</f>
        <v>#REF!</v>
      </c>
      <c r="G199" s="27" t="e">
        <f>'25hike'!G199+IPI_plus!G198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27" t="e">
        <f>'25hike'!C200+IPI_plus!C199</f>
        <v>#REF!</v>
      </c>
      <c r="D200" s="27" t="e">
        <f>'25hike'!D200+IPI_plus!D199</f>
        <v>#REF!</v>
      </c>
      <c r="E200" s="27" t="e">
        <f>'25hike'!E200+IPI_plus!E199</f>
        <v>#REF!</v>
      </c>
      <c r="F200" s="27" t="e">
        <f>'25hike'!F200+IPI_plus!F199</f>
        <v>#REF!</v>
      </c>
      <c r="G200" s="27" t="e">
        <f>'25hike'!G200+IPI_plus!G199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105-9517-42FE-8DE3-F363E8C5D230}">
  <sheetPr codeName="Sheet4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'25hike'!C7+IPI_plus!C2</f>
        <v>0.32978792578780958</v>
      </c>
      <c r="D7" s="18">
        <f>'25hike'!D7+IPI_plus!D2</f>
        <v>2.7563505341658141</v>
      </c>
      <c r="E7" s="18">
        <f>'25hike'!E7+IPI_plus!E2</f>
        <v>1.9757981731736383</v>
      </c>
      <c r="F7" s="18">
        <f>'25hike'!F7+IPI_plus!F2</f>
        <v>1.53604142903053</v>
      </c>
      <c r="G7" s="18">
        <f>'25hike'!G7+IPI_plus!G2</f>
        <v>0.91246723999525803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'25hike'!C8+IPI_plus!C3</f>
        <v>0.25895431493178589</v>
      </c>
      <c r="D8" s="18">
        <f>'25hike'!D8+IPI_plus!D3</f>
        <v>2.5482625426785668</v>
      </c>
      <c r="E8" s="18">
        <f>'25hike'!E8+IPI_plus!E3</f>
        <v>2.0287332614161233</v>
      </c>
      <c r="F8" s="18">
        <f>'25hike'!F8+IPI_plus!F3</f>
        <v>1.6271413292588535</v>
      </c>
      <c r="G8" s="18">
        <f>'25hike'!G8+IPI_plus!G3</f>
        <v>1.0818309287822399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'25hike'!C9+IPI_plus!C4</f>
        <v>0.17729617606896003</v>
      </c>
      <c r="D9" s="18">
        <f>'25hike'!D9+IPI_plus!D4</f>
        <v>2.2794879275066431</v>
      </c>
      <c r="E9" s="18">
        <f>'25hike'!E9+IPI_plus!E4</f>
        <v>1.9656224068483541</v>
      </c>
      <c r="F9" s="18">
        <f>'25hike'!F9+IPI_plus!F4</f>
        <v>1.6858525231011545</v>
      </c>
      <c r="G9" s="18">
        <f>'25hike'!G9+IPI_plus!G4</f>
        <v>0.94903306240078833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'25hike'!C10+IPI_plus!C5</f>
        <v>0.12160718506841942</v>
      </c>
      <c r="D10" s="18">
        <f>'25hike'!D10+IPI_plus!D5</f>
        <v>2.1080846559732436</v>
      </c>
      <c r="E10" s="18">
        <f>'25hike'!E10+IPI_plus!E5</f>
        <v>1.9171966386632895</v>
      </c>
      <c r="F10" s="18">
        <f>'25hike'!F10+IPI_plus!F5</f>
        <v>1.7238534150596425</v>
      </c>
      <c r="G10" s="18">
        <f>'25hike'!G10+IPI_plus!G5</f>
        <v>0.76424605568600756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'25hike'!C11+IPI_plus!C6</f>
        <v>9.8200365551925198E-2</v>
      </c>
      <c r="D11" s="18">
        <f>'25hike'!D11+IPI_plus!D6</f>
        <v>2.0275063163816145</v>
      </c>
      <c r="E11" s="18">
        <f>'25hike'!E11+IPI_plus!E6</f>
        <v>1.8982059779824196</v>
      </c>
      <c r="F11" s="18">
        <f>'25hike'!F11+IPI_plus!F6</f>
        <v>1.7511821761786202</v>
      </c>
      <c r="G11" s="18">
        <f>'25hike'!G11+IPI_plus!G6</f>
        <v>0.64122482694430227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'25hike'!C12+IPI_plus!C7</f>
        <v>9.6691450327223344E-2</v>
      </c>
      <c r="D12" s="18">
        <f>'25hike'!D12+IPI_plus!D7</f>
        <v>2.0040884133447254</v>
      </c>
      <c r="E12" s="18">
        <f>'25hike'!E12+IPI_plus!E7</f>
        <v>1.8996441026388853</v>
      </c>
      <c r="F12" s="18">
        <f>'25hike'!F12+IPI_plus!F7</f>
        <v>1.7739437375235696</v>
      </c>
      <c r="G12" s="18">
        <f>'25hike'!G12+IPI_plus!G7</f>
        <v>0.59891645670079385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'25hike'!C13+IPI_plus!C8</f>
        <v>0.10338883262913764</v>
      </c>
      <c r="D13" s="18">
        <f>'25hike'!D13+IPI_plus!D8</f>
        <v>2.0081168830929443</v>
      </c>
      <c r="E13" s="18">
        <f>'25hike'!E13+IPI_plus!E8</f>
        <v>1.9109065796495364</v>
      </c>
      <c r="F13" s="18">
        <f>'25hike'!F13+IPI_plus!F8</f>
        <v>1.7950193206248133</v>
      </c>
      <c r="G13" s="18">
        <f>'25hike'!G13+IPI_plus!G8</f>
        <v>0.61352263231586301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'25hike'!C14+IPI_plus!C9</f>
        <v>0.1084761717941522</v>
      </c>
      <c r="D14" s="18">
        <f>'25hike'!D14+IPI_plus!D9</f>
        <v>2.0199008581785356</v>
      </c>
      <c r="E14" s="18">
        <f>'25hike'!E14+IPI_plus!E9</f>
        <v>1.9245517138985693</v>
      </c>
      <c r="F14" s="18">
        <f>'25hike'!F14+IPI_plus!F9</f>
        <v>1.8152586590046484</v>
      </c>
      <c r="G14" s="18">
        <f>'25hike'!G14+IPI_plus!G9</f>
        <v>0.65277963299109754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'25hike'!C15+IPI_plus!C10</f>
        <v>0.10772400740855483</v>
      </c>
      <c r="D15" s="18">
        <f>'25hike'!D15+IPI_plus!D10</f>
        <v>2.0292756445228597</v>
      </c>
      <c r="E15" s="18">
        <f>'25hike'!E15+IPI_plus!E10</f>
        <v>1.9366436262060651</v>
      </c>
      <c r="F15" s="18">
        <f>'25hike'!F15+IPI_plus!F10</f>
        <v>1.8345201877012873</v>
      </c>
      <c r="G15" s="18">
        <f>'25hike'!G15+IPI_plus!G10</f>
        <v>0.69246623650170824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'25hike'!C16+IPI_plus!C11</f>
        <v>0.10118812670805671</v>
      </c>
      <c r="D16" s="18">
        <f>'25hike'!D16+IPI_plus!D11</f>
        <v>2.032998484515653</v>
      </c>
      <c r="E16" s="18">
        <f>'25hike'!E16+IPI_plus!E11</f>
        <v>1.9458798278148384</v>
      </c>
      <c r="F16" s="18">
        <f>'25hike'!F16+IPI_plus!F11</f>
        <v>1.8523832344145803</v>
      </c>
      <c r="G16" s="18">
        <f>'25hike'!G16+IPI_plus!G11</f>
        <v>0.72059457177432373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'25hike'!C17+IPI_plus!C12</f>
        <v>9.103884797231318E-2</v>
      </c>
      <c r="D17" s="18">
        <f>'25hike'!D17+IPI_plus!D12</f>
        <v>2.0317502515435808</v>
      </c>
      <c r="E17" s="18">
        <f>'25hike'!E17+IPI_plus!E12</f>
        <v>1.952484543704037</v>
      </c>
      <c r="F17" s="18">
        <f>'25hike'!F17+IPI_plus!F12</f>
        <v>1.8685262659561905</v>
      </c>
      <c r="G17" s="18">
        <f>'25hike'!G17+IPI_plus!G12</f>
        <v>0.73506086315884434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'25hike'!C18+IPI_plus!C13</f>
        <v>7.9767287598277198E-2</v>
      </c>
      <c r="D18" s="18">
        <f>'25hike'!D18+IPI_plus!D13</f>
        <v>2.0276750033804758</v>
      </c>
      <c r="E18" s="18">
        <f>'25hike'!E18+IPI_plus!E13</f>
        <v>1.957280861548969</v>
      </c>
      <c r="F18" s="18">
        <f>'25hike'!F18+IPI_plus!F13</f>
        <v>1.8828496523243761</v>
      </c>
      <c r="G18" s="18">
        <f>'25hike'!G18+IPI_plus!G13</f>
        <v>0.73919974473413219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'25hike'!C19+IPI_plus!C14</f>
        <v>6.9196915523773259E-2</v>
      </c>
      <c r="D19" s="18">
        <f>'25hike'!D19+IPI_plus!D14</f>
        <v>2.0228383854151817</v>
      </c>
      <c r="E19" s="18">
        <f>'25hike'!E19+IPI_plus!E14</f>
        <v>1.961097730642428</v>
      </c>
      <c r="F19" s="18">
        <f>'25hike'!F19+IPI_plus!F14</f>
        <v>1.8954486383025486</v>
      </c>
      <c r="G19" s="18">
        <f>'25hike'!G19+IPI_plus!G14</f>
        <v>0.73786786607383859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'25hike'!C20+IPI_plus!C15</f>
        <v>6.0219268998726899E-2</v>
      </c>
      <c r="D20" s="18">
        <f>'25hike'!D20+IPI_plus!D15</f>
        <v>2.0185621989261451</v>
      </c>
      <c r="E20" s="18">
        <f>'25hike'!E20+IPI_plus!E15</f>
        <v>1.9645029030473069</v>
      </c>
      <c r="F20" s="18">
        <f>'25hike'!F20+IPI_plus!F15</f>
        <v>1.9065288587586722</v>
      </c>
      <c r="G20" s="18">
        <f>'25hike'!G20+IPI_plus!G15</f>
        <v>0.73507644734236732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'25hike'!C21+IPI_plus!C16</f>
        <v>5.2968587873418432E-2</v>
      </c>
      <c r="D21" s="18">
        <f>'25hike'!D21+IPI_plus!D16</f>
        <v>2.0153665318868539</v>
      </c>
      <c r="E21" s="18">
        <f>'25hike'!E21+IPI_plus!E16</f>
        <v>1.9677664613162373</v>
      </c>
      <c r="F21" s="18">
        <f>'25hike'!F21+IPI_plus!F16</f>
        <v>1.9163242493402086</v>
      </c>
      <c r="G21" s="18">
        <f>'25hike'!G21+IPI_plus!G16</f>
        <v>0.73313705285737041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'25hike'!C22+IPI_plus!C17</f>
        <v>4.7151873613329835E-2</v>
      </c>
      <c r="D22" s="18">
        <f>'25hike'!D22+IPI_plus!D17</f>
        <v>2.0132097748029558</v>
      </c>
      <c r="E22" s="18">
        <f>'25hike'!E22+IPI_plus!E17</f>
        <v>1.9709414686023963</v>
      </c>
      <c r="F22" s="18">
        <f>'25hike'!F22+IPI_plus!F17</f>
        <v>1.9250439466318561</v>
      </c>
      <c r="G22" s="18">
        <f>'25hike'!G22+IPI_plus!G17</f>
        <v>0.73280688099257363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'25hike'!C23+IPI_plus!C18</f>
        <v>4.2346744525925559E-2</v>
      </c>
      <c r="D23" s="18">
        <f>'25hike'!D23+IPI_plus!D18</f>
        <v>2.0117885395687578</v>
      </c>
      <c r="E23" s="18">
        <f>'25hike'!E23+IPI_plus!E18</f>
        <v>1.9739724942149606</v>
      </c>
      <c r="F23" s="18">
        <f>'25hike'!F23+IPI_plus!F18</f>
        <v>1.9328509599961772</v>
      </c>
      <c r="G23" s="18">
        <f>'25hike'!G23+IPI_plus!G18</f>
        <v>0.7338629295655722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'25hike'!C24+IPI_plus!C19</f>
        <v>3.8187363010929148E-2</v>
      </c>
      <c r="D24" s="18">
        <f>'25hike'!D24+IPI_plus!D19</f>
        <v>2.0107670519318308</v>
      </c>
      <c r="E24" s="18">
        <f>'25hike'!E24+IPI_plus!E19</f>
        <v>1.976781600804548</v>
      </c>
      <c r="F24" s="18">
        <f>'25hike'!F24+IPI_plus!F19</f>
        <v>1.9398634082703861</v>
      </c>
      <c r="G24" s="18">
        <f>'25hike'!G24+IPI_plus!G19</f>
        <v>0.73569364686882865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'25hike'!C25+IPI_plus!C20</f>
        <v>3.4436551089018386E-2</v>
      </c>
      <c r="D25" s="18">
        <f>'25hike'!D25+IPI_plus!D20</f>
        <v>2.0098977880213482</v>
      </c>
      <c r="E25" s="18">
        <f>'25hike'!E25+IPI_plus!E20</f>
        <v>1.9793154661127985</v>
      </c>
      <c r="F25" s="18">
        <f>'25hike'!F25+IPI_plus!F20</f>
        <v>1.9461665024479728</v>
      </c>
      <c r="G25" s="18">
        <f>'25hike'!G25+IPI_plus!G20</f>
        <v>0.7377064953151351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'25hike'!C26+IPI_plus!C21</f>
        <v>3.0980089832623212E-2</v>
      </c>
      <c r="D26" s="18">
        <f>'25hike'!D26+IPI_plus!D21</f>
        <v>2.0090507102948658</v>
      </c>
      <c r="E26" s="18">
        <f>'25hike'!E26+IPI_plus!E21</f>
        <v>1.9815587389798295</v>
      </c>
      <c r="F26" s="18">
        <f>'25hike'!F26+IPI_plus!F21</f>
        <v>1.9518260811541932</v>
      </c>
      <c r="G26" s="18">
        <f>'25hike'!G26+IPI_plus!G21</f>
        <v>0.73951521325631453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'25hike'!C27+IPI_plus!C22</f>
        <v>2.7785647498492091E-2</v>
      </c>
      <c r="D27" s="18">
        <f>'25hike'!D27+IPI_plus!D22</f>
        <v>2.0081894164836287</v>
      </c>
      <c r="E27" s="18">
        <f>'25hike'!E27+IPI_plus!E22</f>
        <v>1.9835268760959235</v>
      </c>
      <c r="F27" s="18">
        <f>'25hike'!F27+IPI_plus!F22</f>
        <v>1.9568987813338421</v>
      </c>
      <c r="G27" s="18">
        <f>'25hike'!G27+IPI_plus!G22</f>
        <v>0.74096129352473594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'25hike'!C28+IPI_plus!C23</f>
        <v>2.4858024280994012E-2</v>
      </c>
      <c r="D28" s="18">
        <f>'25hike'!D28+IPI_plus!D23</f>
        <v>2.0073293238207701</v>
      </c>
      <c r="E28" s="18">
        <f>'25hike'!E28+IPI_plus!E23</f>
        <v>1.9852517873544022</v>
      </c>
      <c r="F28" s="18">
        <f>'25hike'!F28+IPI_plus!F23</f>
        <v>1.9614375301576659</v>
      </c>
      <c r="G28" s="18">
        <f>'25hike'!G28+IPI_plus!G23</f>
        <v>0.74204927099721529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'25hike'!C29+IPI_plus!C24</f>
        <v>2.2207088561592557E-2</v>
      </c>
      <c r="D29" s="18">
        <f>'25hike'!D29+IPI_plus!D24</f>
        <v>2.0065012080999698</v>
      </c>
      <c r="E29" s="18">
        <f>'25hike'!E29+IPI_plus!E24</f>
        <v>1.9867682767637744</v>
      </c>
      <c r="F29" s="18">
        <f>'25hike'!F29+IPI_plus!F24</f>
        <v>1.9654932611724729</v>
      </c>
      <c r="G29" s="18">
        <f>'25hike'!G29+IPI_plus!G24</f>
        <v>0.74286220070525244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'25hike'!C30+IPI_plus!C25</f>
        <v>1.9831966139219628E-2</v>
      </c>
      <c r="D30" s="18">
        <f>'25hike'!D30+IPI_plus!D25</f>
        <v>2.0057279924785374</v>
      </c>
      <c r="E30" s="18">
        <f>'25hike'!E30+IPI_plus!E25</f>
        <v>1.988106011695318</v>
      </c>
      <c r="F30" s="18">
        <f>'25hike'!F30+IPI_plus!F25</f>
        <v>1.969114386990019</v>
      </c>
      <c r="G30" s="18">
        <f>'25hike'!G30+IPI_plus!G25</f>
        <v>0.74349442212630601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'25hike'!C31+IPI_plus!C26</f>
        <v>1.7718146257764501E-2</v>
      </c>
      <c r="D31" s="18">
        <f>'25hike'!D31+IPI_plus!D26</f>
        <v>2.0050168109533151</v>
      </c>
      <c r="E31" s="18">
        <f>'25hike'!E31+IPI_plus!E26</f>
        <v>1.9892850969733904</v>
      </c>
      <c r="F31" s="18">
        <f>'25hike'!F31+IPI_plus!F26</f>
        <v>1.9723456051467154</v>
      </c>
      <c r="G31" s="18">
        <f>'25hike'!G31+IPI_plus!G26</f>
        <v>0.74401523607854458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'25hike'!C32+IPI_plus!C27</f>
        <v>1.5841286646054293E-2</v>
      </c>
      <c r="D32" s="18">
        <f>'25hike'!D32+IPI_plus!D27</f>
        <v>2.0043572901355025</v>
      </c>
      <c r="E32" s="18">
        <f>'25hike'!E32+IPI_plus!E27</f>
        <v>1.9903173498178837</v>
      </c>
      <c r="F32" s="18">
        <f>'25hike'!F32+IPI_plus!F27</f>
        <v>1.9752266567957066</v>
      </c>
      <c r="G32" s="18">
        <f>'25hike'!G32+IPI_plus!G27</f>
        <v>0.74445666928369103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'25hike'!C33+IPI_plus!C28</f>
        <v>1.4173411155012684E-2</v>
      </c>
      <c r="D33" s="18">
        <f>'25hike'!D33+IPI_plus!D28</f>
        <v>2.0037287115096887</v>
      </c>
      <c r="E33" s="18">
        <f>'25hike'!E33+IPI_plus!E28</f>
        <v>1.991204287269545</v>
      </c>
      <c r="F33" s="18">
        <f>'25hike'!F33+IPI_plus!F28</f>
        <v>1.9777918417199649</v>
      </c>
      <c r="G33" s="18">
        <f>'25hike'!G33+IPI_plus!G28</f>
        <v>0.74481982972526972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'25hike'!C34+IPI_plus!C29</f>
        <v>1.2687152190814358E-2</v>
      </c>
      <c r="D34" s="18">
        <f>'25hike'!D34+IPI_plus!D29</f>
        <v>2.0030970901039158</v>
      </c>
      <c r="E34" s="18">
        <f>'25hike'!E34+IPI_plus!E29</f>
        <v>1.991943248290009</v>
      </c>
      <c r="F34" s="18">
        <f>'25hike'!F34+IPI_plus!F29</f>
        <v>1.9800693140745202</v>
      </c>
      <c r="G34" s="18">
        <f>'25hike'!G34+IPI_plus!G29</f>
        <v>0.74508008265595504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'25hike'!C35+IPI_plus!C30</f>
        <v>1.1359458009404187E-2</v>
      </c>
      <c r="D35" s="18">
        <f>'25hike'!D35+IPI_plus!D30</f>
        <v>2.0024277987465813</v>
      </c>
      <c r="E35" s="18">
        <f>'25hike'!E35+IPI_plus!E30</f>
        <v>1.9925164989982422</v>
      </c>
      <c r="F35" s="18">
        <f>'25hike'!F35+IPI_plus!F30</f>
        <v>1.9820815776950058</v>
      </c>
      <c r="G35" s="18">
        <f>'25hike'!G35+IPI_plus!G30</f>
        <v>0.74520163961662189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'25hike'!C36+IPI_plus!C31</f>
        <v>1.017033111637556E-2</v>
      </c>
      <c r="D36" s="18">
        <f>'25hike'!D36+IPI_plus!D31</f>
        <v>2.0016611952733503</v>
      </c>
      <c r="E36" s="18">
        <f>'25hike'!E36+IPI_plus!E31</f>
        <v>1.9929078323608793</v>
      </c>
      <c r="F36" s="18">
        <f>'25hike'!F36+IPI_plus!F31</f>
        <v>1.9838437432770568</v>
      </c>
      <c r="G36" s="18">
        <f>'25hike'!G36+IPI_plus!G31</f>
        <v>0.74512551362736634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'25hike'!C37+IPI_plus!C32</f>
        <v>9.1059612207576267E-3</v>
      </c>
      <c r="D37" s="18">
        <f>'25hike'!D37+IPI_plus!D32</f>
        <v>2.0007474156497174</v>
      </c>
      <c r="E37" s="18">
        <f>'25hike'!E37+IPI_plus!E32</f>
        <v>1.9930625974445024</v>
      </c>
      <c r="F37" s="18">
        <f>'25hike'!F37+IPI_plus!F32</f>
        <v>1.9853650737905963</v>
      </c>
      <c r="G37" s="18">
        <f>'25hike'!G37+IPI_plus!G32</f>
        <v>0.74479088209628275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'25hike'!C38+IPI_plus!C33</f>
        <v>8.1509672173903369E-3</v>
      </c>
      <c r="D38" s="18">
        <f>'25hike'!D38+IPI_plus!D33</f>
        <v>1.9995609974619348</v>
      </c>
      <c r="E38" s="18">
        <f>'25hike'!E38+IPI_plus!E33</f>
        <v>1.992946531639628</v>
      </c>
      <c r="F38" s="18">
        <f>'25hike'!F38+IPI_plus!F33</f>
        <v>1.9866427069210169</v>
      </c>
      <c r="G38" s="18">
        <f>'25hike'!G38+IPI_plus!G33</f>
        <v>0.7440768188975595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'25hike'!C39+IPI_plus!C34</f>
        <v>7.3001188709352679E-3</v>
      </c>
      <c r="D39" s="18">
        <f>'25hike'!D39+IPI_plus!D34</f>
        <v>1.9980279947273629</v>
      </c>
      <c r="E39" s="18">
        <f>'25hike'!E39+IPI_plus!E34</f>
        <v>1.9924126912591009</v>
      </c>
      <c r="F39" s="18">
        <f>'25hike'!F39+IPI_plus!F34</f>
        <v>1.987667382823588</v>
      </c>
      <c r="G39" s="18">
        <f>'25hike'!G39+IPI_plus!G34</f>
        <v>0.7428750498641522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'25hike'!C40+IPI_plus!C35</f>
        <v>6.5342383336068153E-3</v>
      </c>
      <c r="D40" s="18">
        <f>'25hike'!D40+IPI_plus!D35</f>
        <v>1.9958437651609844</v>
      </c>
      <c r="E40" s="18">
        <f>'25hike'!E40+IPI_plus!E35</f>
        <v>1.9914145202122295</v>
      </c>
      <c r="F40" s="18">
        <f>'25hike'!F40+IPI_plus!F35</f>
        <v>1.9884032572339538</v>
      </c>
      <c r="G40" s="18">
        <f>'25hike'!G40+IPI_plus!G35</f>
        <v>0.74090062227653364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'25hike'!C41+IPI_plus!C36</f>
        <v>5.8636505019176739E-3</v>
      </c>
      <c r="D41" s="18">
        <f>'25hike'!D41+IPI_plus!D36</f>
        <v>1.9929327984372138</v>
      </c>
      <c r="E41" s="18">
        <f>'25hike'!E41+IPI_plus!E36</f>
        <v>1.9895592946792489</v>
      </c>
      <c r="F41" s="18">
        <f>'25hike'!F41+IPI_plus!F36</f>
        <v>1.9888109159422473</v>
      </c>
      <c r="G41" s="18">
        <f>'25hike'!G41+IPI_plus!G36</f>
        <v>0.73796722451749042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'25hike'!C42+IPI_plus!C37</f>
        <v>5.2468371133535478E-3</v>
      </c>
      <c r="D42" s="18">
        <f>'25hike'!D42+IPI_plus!D37</f>
        <v>1.988499202627088</v>
      </c>
      <c r="E42" s="18">
        <f>'25hike'!E42+IPI_plus!E37</f>
        <v>1.9868660680525134</v>
      </c>
      <c r="F42" s="18">
        <f>'25hike'!F42+IPI_plus!F37</f>
        <v>1.988782861743883</v>
      </c>
      <c r="G42" s="18">
        <f>'25hike'!G42+IPI_plus!G37</f>
        <v>0.73336547766315607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'25hike'!C43+IPI_plus!C38</f>
        <v>4.741943901065953E-3</v>
      </c>
      <c r="D43" s="18">
        <f>'25hike'!D43+IPI_plus!D38</f>
        <v>1.9826569417190092</v>
      </c>
      <c r="E43" s="18">
        <f>'25hike'!E43+IPI_plus!E38</f>
        <v>1.9822489946783677</v>
      </c>
      <c r="F43" s="18">
        <f>'25hike'!F43+IPI_plus!F38</f>
        <v>1.9882315289416443</v>
      </c>
      <c r="G43" s="18">
        <f>'25hike'!G43+IPI_plus!G38</f>
        <v>0.72686221771959159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'25hike'!C44+IPI_plus!C39</f>
        <v>4.2254613988041327E-3</v>
      </c>
      <c r="D44" s="18">
        <f>'25hike'!D44+IPI_plus!D39</f>
        <v>1.9731974639095593</v>
      </c>
      <c r="E44" s="18">
        <f>'25hike'!E44+IPI_plus!E39</f>
        <v>1.9761836236521957</v>
      </c>
      <c r="F44" s="18">
        <f>'25hike'!F44+IPI_plus!F39</f>
        <v>1.9868784630887564</v>
      </c>
      <c r="G44" s="18">
        <f>'25hike'!G44+IPI_plus!G39</f>
        <v>0.71661238220089396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'25hike'!C45+IPI_plus!C40</f>
        <v>3.9165252322532432E-3</v>
      </c>
      <c r="D45" s="18">
        <f>'25hike'!D45+IPI_plus!D40</f>
        <v>1.9613126400915768</v>
      </c>
      <c r="E45" s="18">
        <f>'25hike'!E45+IPI_plus!E40</f>
        <v>1.9655181936135304</v>
      </c>
      <c r="F45" s="18">
        <f>'25hike'!F45+IPI_plus!F40</f>
        <v>1.9845775390190104</v>
      </c>
      <c r="G45" s="18">
        <f>'25hike'!G45+IPI_plus!G40</f>
        <v>0.7027099062330181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'25hike'!C46+IPI_plus!C41</f>
        <v>3.4025920978527713E-3</v>
      </c>
      <c r="D46" s="18">
        <f>'25hike'!D46+IPI_plus!D41</f>
        <v>1.9405204328406258</v>
      </c>
      <c r="E46" s="18">
        <f>'25hike'!E46+IPI_plus!E41</f>
        <v>1.9527944523906542</v>
      </c>
      <c r="F46" s="18">
        <f>'25hike'!F46+IPI_plus!F41</f>
        <v>1.9806123994629556</v>
      </c>
      <c r="G46" s="18">
        <f>'25hike'!G46+IPI_plus!G41</f>
        <v>0.68009173217796204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'25hike'!C47+IPI_plus!C42</f>
        <v>3.4539508096179095E-3</v>
      </c>
      <c r="D47" s="18">
        <f>'25hike'!D47+IPI_plus!D42</f>
        <v>1.9166463222381203</v>
      </c>
      <c r="E47" s="18">
        <f>'25hike'!E47+IPI_plus!E42</f>
        <v>1.9284174823731008</v>
      </c>
      <c r="F47" s="18">
        <f>'25hike'!F47+IPI_plus!F42</f>
        <v>1.9748554525127207</v>
      </c>
      <c r="G47" s="18">
        <f>'25hike'!G47+IPI_plus!G42</f>
        <v>0.65102467969831934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'25hike'!C48+IPI_plus!C43</f>
        <v>2.6500665068931381E-3</v>
      </c>
      <c r="D48" s="18">
        <f>'25hike'!D48+IPI_plus!D43</f>
        <v>1.8697333548134827</v>
      </c>
      <c r="E48" s="18">
        <f>'25hike'!E48+IPI_plus!E43</f>
        <v>1.9031170660929568</v>
      </c>
      <c r="F48" s="18">
        <f>'25hike'!F48+IPI_plus!F43</f>
        <v>1.9653944637197893</v>
      </c>
      <c r="G48" s="18">
        <f>'25hike'!G48+IPI_plus!G43</f>
        <v>0.60082442829547844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'25hike'!C49+IPI_plus!C44</f>
        <v>3.6602690790789867E-3</v>
      </c>
      <c r="D49" s="18">
        <f>'25hike'!D49+IPI_plus!D44</f>
        <v>1.8235781010635637</v>
      </c>
      <c r="E49" s="18">
        <f>'25hike'!E49+IPI_plus!E44</f>
        <v>1.8465057357620367</v>
      </c>
      <c r="F49" s="18">
        <f>'25hike'!F49+IPI_plus!F44</f>
        <v>1.9526309910807289</v>
      </c>
      <c r="G49" s="18">
        <f>'25hike'!G49+IPI_plus!G44</f>
        <v>0.54149994593195361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'25hike'!C50+IPI_plus!C45</f>
        <v>1.5632527686510237E-3</v>
      </c>
      <c r="D50" s="18">
        <f>'25hike'!D50+IPI_plus!D45</f>
        <v>1.714399117689041</v>
      </c>
      <c r="E50" s="18">
        <f>'25hike'!E50+IPI_plus!E45</f>
        <v>1.7998710295465219</v>
      </c>
      <c r="F50" s="18">
        <f>'25hike'!F50+IPI_plus!F45</f>
        <v>1.9311901224754768</v>
      </c>
      <c r="G50" s="18">
        <f>'25hike'!G50+IPI_plus!G45</f>
        <v>0.4283054747840645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'25hike'!C51+IPI_plus!C46</f>
        <v>5.5879614048375851E-3</v>
      </c>
      <c r="D51" s="18">
        <f>'25hike'!D51+IPI_plus!D46</f>
        <v>1.6323380066110238</v>
      </c>
      <c r="E51" s="18">
        <f>'25hike'!E51+IPI_plus!E46</f>
        <v>1.6640789634911473</v>
      </c>
      <c r="F51" s="18">
        <f>'25hike'!F51+IPI_plus!F46</f>
        <v>1.9042934320476761</v>
      </c>
      <c r="G51" s="18">
        <f>'25hike'!G51+IPI_plus!G46</f>
        <v>0.31172397961372156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'25hike'!C52+IPI_plus!C47</f>
        <v>-1.3258691220259188E-3</v>
      </c>
      <c r="D52" s="18">
        <f>'25hike'!D52+IPI_plus!D47</f>
        <v>1.3679428037086956</v>
      </c>
      <c r="E52" s="18">
        <f>'25hike'!E52+IPI_plus!E47</f>
        <v>1.5909348141169739</v>
      </c>
      <c r="F52" s="18">
        <f>'25hike'!F52+IPI_plus!F47</f>
        <v>1.8560218754971678</v>
      </c>
      <c r="G52" s="18">
        <f>'25hike'!G52+IPI_plus!G47</f>
        <v>4.9886106621442952E-2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'25hike'!C53+IPI_plus!C48</f>
        <v>-4.2171020358262358E-4</v>
      </c>
      <c r="D53" s="18">
        <f>'25hike'!D53+IPI_plus!D48</f>
        <v>1.2498749347722753</v>
      </c>
      <c r="E53" s="18">
        <f>'25hike'!E53+IPI_plus!E48</f>
        <v>1.2502326208226273</v>
      </c>
      <c r="F53" s="18">
        <f>'25hike'!F53+IPI_plus!F48</f>
        <v>1.2506564374944815</v>
      </c>
      <c r="G53" s="18">
        <f>'25hike'!G53+IPI_plus!G48</f>
        <v>1.3212218743541867E-4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'25hike'!C54+IPI_plus!C49</f>
        <v>#REF!</v>
      </c>
      <c r="D54" s="18" t="e">
        <f>'25hike'!D54+IPI_plus!D49</f>
        <v>#REF!</v>
      </c>
      <c r="E54" s="18" t="e">
        <f>'25hike'!E54+IPI_plus!E49</f>
        <v>#REF!</v>
      </c>
      <c r="F54" s="18" t="e">
        <f>'25hike'!F54+IPI_plus!F49</f>
        <v>#REF!</v>
      </c>
      <c r="G54" s="18" t="e">
        <f>'25hike'!G54+IPI_plus!G49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'25hike'!C55+IPI_plus!C50</f>
        <v>#REF!</v>
      </c>
      <c r="D55" s="18" t="e">
        <f>'25hike'!D55+IPI_plus!D50</f>
        <v>#REF!</v>
      </c>
      <c r="E55" s="18" t="e">
        <f>'25hike'!E55+IPI_plus!E50</f>
        <v>#REF!</v>
      </c>
      <c r="F55" s="18" t="e">
        <f>'25hike'!F55+IPI_plus!F50</f>
        <v>#REF!</v>
      </c>
      <c r="G55" s="18" t="e">
        <f>'25hike'!G55+IPI_plus!G50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'25hike'!C56+IPI_plus!C51</f>
        <v>#REF!</v>
      </c>
      <c r="D56" s="18" t="e">
        <f>'25hike'!D56+IPI_plus!D51</f>
        <v>#REF!</v>
      </c>
      <c r="E56" s="18" t="e">
        <f>'25hike'!E56+IPI_plus!E51</f>
        <v>#REF!</v>
      </c>
      <c r="F56" s="18" t="e">
        <f>'25hike'!F56+IPI_plus!F51</f>
        <v>#REF!</v>
      </c>
      <c r="G56" s="18" t="e">
        <f>'25hike'!G56+IPI_plus!G51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'25hike'!C57+IPI_plus!C52</f>
        <v>#REF!</v>
      </c>
      <c r="D57" s="18" t="e">
        <f>'25hike'!D57+IPI_plus!D52</f>
        <v>#REF!</v>
      </c>
      <c r="E57" s="18" t="e">
        <f>'25hike'!E57+IPI_plus!E52</f>
        <v>#REF!</v>
      </c>
      <c r="F57" s="18" t="e">
        <f>'25hike'!F57+IPI_plus!F52</f>
        <v>#REF!</v>
      </c>
      <c r="G57" s="18" t="e">
        <f>'25hike'!G57+IPI_plus!G52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'25hike'!C58+IPI_plus!C53</f>
        <v>#REF!</v>
      </c>
      <c r="D58" s="18" t="e">
        <f>'25hike'!D58+IPI_plus!D53</f>
        <v>#REF!</v>
      </c>
      <c r="E58" s="18" t="e">
        <f>'25hike'!E58+IPI_plus!E53</f>
        <v>#REF!</v>
      </c>
      <c r="F58" s="18" t="e">
        <f>'25hike'!F58+IPI_plus!F53</f>
        <v>#REF!</v>
      </c>
      <c r="G58" s="18" t="e">
        <f>'25hike'!G58+IPI_plus!G53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'25hike'!C59+IPI_plus!C54</f>
        <v>#REF!</v>
      </c>
      <c r="D59" s="18" t="e">
        <f>'25hike'!D59+IPI_plus!D54</f>
        <v>#REF!</v>
      </c>
      <c r="E59" s="18" t="e">
        <f>'25hike'!E59+IPI_plus!E54</f>
        <v>#REF!</v>
      </c>
      <c r="F59" s="18" t="e">
        <f>'25hike'!F59+IPI_plus!F54</f>
        <v>#REF!</v>
      </c>
      <c r="G59" s="18" t="e">
        <f>'25hike'!G59+IPI_plus!G54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'25hike'!C60+IPI_plus!C55</f>
        <v>#REF!</v>
      </c>
      <c r="D60" s="18" t="e">
        <f>'25hike'!D60+IPI_plus!D55</f>
        <v>#REF!</v>
      </c>
      <c r="E60" s="18" t="e">
        <f>'25hike'!E60+IPI_plus!E55</f>
        <v>#REF!</v>
      </c>
      <c r="F60" s="18" t="e">
        <f>'25hike'!F60+IPI_plus!F55</f>
        <v>#REF!</v>
      </c>
      <c r="G60" s="18" t="e">
        <f>'25hike'!G60+IPI_plus!G55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'25hike'!C61+IPI_plus!C56</f>
        <v>#REF!</v>
      </c>
      <c r="D61" s="18" t="e">
        <f>'25hike'!D61+IPI_plus!D56</f>
        <v>#REF!</v>
      </c>
      <c r="E61" s="18" t="e">
        <f>'25hike'!E61+IPI_plus!E56</f>
        <v>#REF!</v>
      </c>
      <c r="F61" s="18" t="e">
        <f>'25hike'!F61+IPI_plus!F56</f>
        <v>#REF!</v>
      </c>
      <c r="G61" s="18" t="e">
        <f>'25hike'!G61+IPI_plus!G56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'25hike'!C62+IPI_plus!C57</f>
        <v>#REF!</v>
      </c>
      <c r="D62" s="18" t="e">
        <f>'25hike'!D62+IPI_plus!D57</f>
        <v>#REF!</v>
      </c>
      <c r="E62" s="18" t="e">
        <f>'25hike'!E62+IPI_plus!E57</f>
        <v>#REF!</v>
      </c>
      <c r="F62" s="18" t="e">
        <f>'25hike'!F62+IPI_plus!F57</f>
        <v>#REF!</v>
      </c>
      <c r="G62" s="18" t="e">
        <f>'25hike'!G62+IPI_plus!G57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'25hike'!C63+IPI_plus!C58</f>
        <v>#REF!</v>
      </c>
      <c r="D63" s="18" t="e">
        <f>'25hike'!D63+IPI_plus!D58</f>
        <v>#REF!</v>
      </c>
      <c r="E63" s="18" t="e">
        <f>'25hike'!E63+IPI_plus!E58</f>
        <v>#REF!</v>
      </c>
      <c r="F63" s="18" t="e">
        <f>'25hike'!F63+IPI_plus!F58</f>
        <v>#REF!</v>
      </c>
      <c r="G63" s="18" t="e">
        <f>'25hike'!G63+IPI_plus!G58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'25hike'!C64+IPI_plus!C59</f>
        <v>#REF!</v>
      </c>
      <c r="D64" s="18" t="e">
        <f>'25hike'!D64+IPI_plus!D59</f>
        <v>#REF!</v>
      </c>
      <c r="E64" s="18" t="e">
        <f>'25hike'!E64+IPI_plus!E59</f>
        <v>#REF!</v>
      </c>
      <c r="F64" s="18" t="e">
        <f>'25hike'!F64+IPI_plus!F59</f>
        <v>#REF!</v>
      </c>
      <c r="G64" s="18" t="e">
        <f>'25hike'!G64+IPI_plus!G59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'25hike'!C65+IPI_plus!C60</f>
        <v>#REF!</v>
      </c>
      <c r="D65" s="18" t="e">
        <f>'25hike'!D65+IPI_plus!D60</f>
        <v>#REF!</v>
      </c>
      <c r="E65" s="18" t="e">
        <f>'25hike'!E65+IPI_plus!E60</f>
        <v>#REF!</v>
      </c>
      <c r="F65" s="18" t="e">
        <f>'25hike'!F65+IPI_plus!F60</f>
        <v>#REF!</v>
      </c>
      <c r="G65" s="18" t="e">
        <f>'25hike'!G65+IPI_plus!G60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'25hike'!C66+IPI_plus!C61</f>
        <v>#REF!</v>
      </c>
      <c r="D66" s="18" t="e">
        <f>'25hike'!D66+IPI_plus!D61</f>
        <v>#REF!</v>
      </c>
      <c r="E66" s="18" t="e">
        <f>'25hike'!E66+IPI_plus!E61</f>
        <v>#REF!</v>
      </c>
      <c r="F66" s="18" t="e">
        <f>'25hike'!F66+IPI_plus!F61</f>
        <v>#REF!</v>
      </c>
      <c r="G66" s="18" t="e">
        <f>'25hike'!G66+IPI_plus!G61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'25hike'!C67+IPI_plus!C62</f>
        <v>#REF!</v>
      </c>
      <c r="D67" s="18" t="e">
        <f>'25hike'!D67+IPI_plus!D62</f>
        <v>#REF!</v>
      </c>
      <c r="E67" s="18" t="e">
        <f>'25hike'!E67+IPI_plus!E62</f>
        <v>#REF!</v>
      </c>
      <c r="F67" s="18" t="e">
        <f>'25hike'!F67+IPI_plus!F62</f>
        <v>#REF!</v>
      </c>
      <c r="G67" s="18" t="e">
        <f>'25hike'!G67+IPI_plus!G62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'25hike'!C68+IPI_plus!C63</f>
        <v>#REF!</v>
      </c>
      <c r="D68" s="18" t="e">
        <f>'25hike'!D68+IPI_plus!D63</f>
        <v>#REF!</v>
      </c>
      <c r="E68" s="18" t="e">
        <f>'25hike'!E68+IPI_plus!E63</f>
        <v>#REF!</v>
      </c>
      <c r="F68" s="18" t="e">
        <f>'25hike'!F68+IPI_plus!F63</f>
        <v>#REF!</v>
      </c>
      <c r="G68" s="18" t="e">
        <f>'25hike'!G68+IPI_plus!G63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'25hike'!C69+IPI_plus!C64</f>
        <v>#REF!</v>
      </c>
      <c r="D69" s="18" t="e">
        <f>'25hike'!D69+IPI_plus!D64</f>
        <v>#REF!</v>
      </c>
      <c r="E69" s="18" t="e">
        <f>'25hike'!E69+IPI_plus!E64</f>
        <v>#REF!</v>
      </c>
      <c r="F69" s="18" t="e">
        <f>'25hike'!F69+IPI_plus!F64</f>
        <v>#REF!</v>
      </c>
      <c r="G69" s="18" t="e">
        <f>'25hike'!G69+IPI_plus!G64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'25hike'!C70+IPI_plus!C65</f>
        <v>#REF!</v>
      </c>
      <c r="D70" s="18" t="e">
        <f>'25hike'!D70+IPI_plus!D65</f>
        <v>#REF!</v>
      </c>
      <c r="E70" s="18" t="e">
        <f>'25hike'!E70+IPI_plus!E65</f>
        <v>#REF!</v>
      </c>
      <c r="F70" s="18" t="e">
        <f>'25hike'!F70+IPI_plus!F65</f>
        <v>#REF!</v>
      </c>
      <c r="G70" s="18" t="e">
        <f>'25hike'!G70+IPI_plus!G65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'25hike'!C71+IPI_plus!C66</f>
        <v>#REF!</v>
      </c>
      <c r="D71" s="18" t="e">
        <f>'25hike'!D71+IPI_plus!D66</f>
        <v>#REF!</v>
      </c>
      <c r="E71" s="18" t="e">
        <f>'25hike'!E71+IPI_plus!E66</f>
        <v>#REF!</v>
      </c>
      <c r="F71" s="18" t="e">
        <f>'25hike'!F71+IPI_plus!F66</f>
        <v>#REF!</v>
      </c>
      <c r="G71" s="18" t="e">
        <f>'25hike'!G71+IPI_plus!G66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'25hike'!C72+IPI_plus!C67</f>
        <v>#REF!</v>
      </c>
      <c r="D72" s="18" t="e">
        <f>'25hike'!D72+IPI_plus!D67</f>
        <v>#REF!</v>
      </c>
      <c r="E72" s="18" t="e">
        <f>'25hike'!E72+IPI_plus!E67</f>
        <v>#REF!</v>
      </c>
      <c r="F72" s="18" t="e">
        <f>'25hike'!F72+IPI_plus!F67</f>
        <v>#REF!</v>
      </c>
      <c r="G72" s="18" t="e">
        <f>'25hike'!G72+IPI_plus!G67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'25hike'!C73+IPI_plus!C68</f>
        <v>#REF!</v>
      </c>
      <c r="D73" s="18" t="e">
        <f>'25hike'!D73+IPI_plus!D68</f>
        <v>#REF!</v>
      </c>
      <c r="E73" s="18" t="e">
        <f>'25hike'!E73+IPI_plus!E68</f>
        <v>#REF!</v>
      </c>
      <c r="F73" s="18" t="e">
        <f>'25hike'!F73+IPI_plus!F68</f>
        <v>#REF!</v>
      </c>
      <c r="G73" s="18" t="e">
        <f>'25hike'!G73+IPI_plus!G68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'25hike'!C74+IPI_plus!C69</f>
        <v>#REF!</v>
      </c>
      <c r="D74" s="18" t="e">
        <f>'25hike'!D74+IPI_plus!D69</f>
        <v>#REF!</v>
      </c>
      <c r="E74" s="18" t="e">
        <f>'25hike'!E74+IPI_plus!E69</f>
        <v>#REF!</v>
      </c>
      <c r="F74" s="18" t="e">
        <f>'25hike'!F74+IPI_plus!F69</f>
        <v>#REF!</v>
      </c>
      <c r="G74" s="18" t="e">
        <f>'25hike'!G74+IPI_plus!G69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'25hike'!C75+IPI_plus!C70</f>
        <v>#REF!</v>
      </c>
      <c r="D75" s="18" t="e">
        <f>'25hike'!D75+IPI_plus!D70</f>
        <v>#REF!</v>
      </c>
      <c r="E75" s="18" t="e">
        <f>'25hike'!E75+IPI_plus!E70</f>
        <v>#REF!</v>
      </c>
      <c r="F75" s="18" t="e">
        <f>'25hike'!F75+IPI_plus!F70</f>
        <v>#REF!</v>
      </c>
      <c r="G75" s="18" t="e">
        <f>'25hike'!G75+IPI_plus!G70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'25hike'!C76+IPI_plus!C71</f>
        <v>#REF!</v>
      </c>
      <c r="D76" s="18" t="e">
        <f>'25hike'!D76+IPI_plus!D71</f>
        <v>#REF!</v>
      </c>
      <c r="E76" s="18" t="e">
        <f>'25hike'!E76+IPI_plus!E71</f>
        <v>#REF!</v>
      </c>
      <c r="F76" s="18" t="e">
        <f>'25hike'!F76+IPI_plus!F71</f>
        <v>#REF!</v>
      </c>
      <c r="G76" s="18" t="e">
        <f>'25hike'!G76+IPI_plus!G71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'25hike'!C77+IPI_plus!C72</f>
        <v>#REF!</v>
      </c>
      <c r="D77" s="18" t="e">
        <f>'25hike'!D77+IPI_plus!D72</f>
        <v>#REF!</v>
      </c>
      <c r="E77" s="18" t="e">
        <f>'25hike'!E77+IPI_plus!E72</f>
        <v>#REF!</v>
      </c>
      <c r="F77" s="18" t="e">
        <f>'25hike'!F77+IPI_plus!F72</f>
        <v>#REF!</v>
      </c>
      <c r="G77" s="18" t="e">
        <f>'25hike'!G77+IPI_plus!G72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'25hike'!C78+IPI_plus!C73</f>
        <v>#REF!</v>
      </c>
      <c r="D78" s="18" t="e">
        <f>'25hike'!D78+IPI_plus!D73</f>
        <v>#REF!</v>
      </c>
      <c r="E78" s="18" t="e">
        <f>'25hike'!E78+IPI_plus!E73</f>
        <v>#REF!</v>
      </c>
      <c r="F78" s="18" t="e">
        <f>'25hike'!F78+IPI_plus!F73</f>
        <v>#REF!</v>
      </c>
      <c r="G78" s="18" t="e">
        <f>'25hike'!G78+IPI_plus!G73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'25hike'!C79+IPI_plus!C74</f>
        <v>#REF!</v>
      </c>
      <c r="D79" s="18" t="e">
        <f>'25hike'!D79+IPI_plus!D74</f>
        <v>#REF!</v>
      </c>
      <c r="E79" s="18" t="e">
        <f>'25hike'!E79+IPI_plus!E74</f>
        <v>#REF!</v>
      </c>
      <c r="F79" s="18" t="e">
        <f>'25hike'!F79+IPI_plus!F74</f>
        <v>#REF!</v>
      </c>
      <c r="G79" s="18" t="e">
        <f>'25hike'!G79+IPI_plus!G74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'25hike'!C80+IPI_plus!C75</f>
        <v>#REF!</v>
      </c>
      <c r="D80" s="18" t="e">
        <f>'25hike'!D80+IPI_plus!D75</f>
        <v>#REF!</v>
      </c>
      <c r="E80" s="18" t="e">
        <f>'25hike'!E80+IPI_plus!E75</f>
        <v>#REF!</v>
      </c>
      <c r="F80" s="18" t="e">
        <f>'25hike'!F80+IPI_plus!F75</f>
        <v>#REF!</v>
      </c>
      <c r="G80" s="18" t="e">
        <f>'25hike'!G80+IPI_plus!G75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'25hike'!C81+IPI_plus!C76</f>
        <v>#REF!</v>
      </c>
      <c r="D81" s="18" t="e">
        <f>'25hike'!D81+IPI_plus!D76</f>
        <v>#REF!</v>
      </c>
      <c r="E81" s="18" t="e">
        <f>'25hike'!E81+IPI_plus!E76</f>
        <v>#REF!</v>
      </c>
      <c r="F81" s="18" t="e">
        <f>'25hike'!F81+IPI_plus!F76</f>
        <v>#REF!</v>
      </c>
      <c r="G81" s="18" t="e">
        <f>'25hike'!G81+IPI_plus!G76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'25hike'!C82+IPI_plus!C77</f>
        <v>#REF!</v>
      </c>
      <c r="D82" s="18" t="e">
        <f>'25hike'!D82+IPI_plus!D77</f>
        <v>#REF!</v>
      </c>
      <c r="E82" s="18" t="e">
        <f>'25hike'!E82+IPI_plus!E77</f>
        <v>#REF!</v>
      </c>
      <c r="F82" s="18" t="e">
        <f>'25hike'!F82+IPI_plus!F77</f>
        <v>#REF!</v>
      </c>
      <c r="G82" s="18" t="e">
        <f>'25hike'!G82+IPI_plus!G77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'25hike'!C83+IPI_plus!C78</f>
        <v>#REF!</v>
      </c>
      <c r="D83" s="18" t="e">
        <f>'25hike'!D83+IPI_plus!D78</f>
        <v>#REF!</v>
      </c>
      <c r="E83" s="18" t="e">
        <f>'25hike'!E83+IPI_plus!E78</f>
        <v>#REF!</v>
      </c>
      <c r="F83" s="18" t="e">
        <f>'25hike'!F83+IPI_plus!F78</f>
        <v>#REF!</v>
      </c>
      <c r="G83" s="18" t="e">
        <f>'25hike'!G83+IPI_plus!G78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'25hike'!C84+IPI_plus!C79</f>
        <v>#REF!</v>
      </c>
      <c r="D84" s="18" t="e">
        <f>'25hike'!D84+IPI_plus!D79</f>
        <v>#REF!</v>
      </c>
      <c r="E84" s="18" t="e">
        <f>'25hike'!E84+IPI_plus!E79</f>
        <v>#REF!</v>
      </c>
      <c r="F84" s="18" t="e">
        <f>'25hike'!F84+IPI_plus!F79</f>
        <v>#REF!</v>
      </c>
      <c r="G84" s="18" t="e">
        <f>'25hike'!G84+IPI_plus!G79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'25hike'!C85+IPI_plus!C80</f>
        <v>#REF!</v>
      </c>
      <c r="D85" s="18" t="e">
        <f>'25hike'!D85+IPI_plus!D80</f>
        <v>#REF!</v>
      </c>
      <c r="E85" s="18" t="e">
        <f>'25hike'!E85+IPI_plus!E80</f>
        <v>#REF!</v>
      </c>
      <c r="F85" s="18" t="e">
        <f>'25hike'!F85+IPI_plus!F80</f>
        <v>#REF!</v>
      </c>
      <c r="G85" s="18" t="e">
        <f>'25hike'!G85+IPI_plus!G80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'25hike'!C86+IPI_plus!C81</f>
        <v>#REF!</v>
      </c>
      <c r="D86" s="18" t="e">
        <f>'25hike'!D86+IPI_plus!D81</f>
        <v>#REF!</v>
      </c>
      <c r="E86" s="18" t="e">
        <f>'25hike'!E86+IPI_plus!E81</f>
        <v>#REF!</v>
      </c>
      <c r="F86" s="18" t="e">
        <f>'25hike'!F86+IPI_plus!F81</f>
        <v>#REF!</v>
      </c>
      <c r="G86" s="18" t="e">
        <f>'25hike'!G86+IPI_plus!G81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'25hike'!C87+IPI_plus!C82</f>
        <v>#REF!</v>
      </c>
      <c r="D87" s="18" t="e">
        <f>'25hike'!D87+IPI_plus!D82</f>
        <v>#REF!</v>
      </c>
      <c r="E87" s="18" t="e">
        <f>'25hike'!E87+IPI_plus!E82</f>
        <v>#REF!</v>
      </c>
      <c r="F87" s="18" t="e">
        <f>'25hike'!F87+IPI_plus!F82</f>
        <v>#REF!</v>
      </c>
      <c r="G87" s="18" t="e">
        <f>'25hike'!G87+IPI_plus!G82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'25hike'!C88+IPI_plus!C83</f>
        <v>#REF!</v>
      </c>
      <c r="D88" s="18" t="e">
        <f>'25hike'!D88+IPI_plus!D83</f>
        <v>#REF!</v>
      </c>
      <c r="E88" s="18" t="e">
        <f>'25hike'!E88+IPI_plus!E83</f>
        <v>#REF!</v>
      </c>
      <c r="F88" s="18" t="e">
        <f>'25hike'!F88+IPI_plus!F83</f>
        <v>#REF!</v>
      </c>
      <c r="G88" s="18" t="e">
        <f>'25hike'!G88+IPI_plus!G83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'25hike'!C89+IPI_plus!C84</f>
        <v>#REF!</v>
      </c>
      <c r="D89" s="18" t="e">
        <f>'25hike'!D89+IPI_plus!D84</f>
        <v>#REF!</v>
      </c>
      <c r="E89" s="18" t="e">
        <f>'25hike'!E89+IPI_plus!E84</f>
        <v>#REF!</v>
      </c>
      <c r="F89" s="18" t="e">
        <f>'25hike'!F89+IPI_plus!F84</f>
        <v>#REF!</v>
      </c>
      <c r="G89" s="18" t="e">
        <f>'25hike'!G89+IPI_plus!G84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'25hike'!C90+IPI_plus!C85</f>
        <v>#REF!</v>
      </c>
      <c r="D90" s="18" t="e">
        <f>'25hike'!D90+IPI_plus!D85</f>
        <v>#REF!</v>
      </c>
      <c r="E90" s="18" t="e">
        <f>'25hike'!E90+IPI_plus!E85</f>
        <v>#REF!</v>
      </c>
      <c r="F90" s="18" t="e">
        <f>'25hike'!F90+IPI_plus!F85</f>
        <v>#REF!</v>
      </c>
      <c r="G90" s="18" t="e">
        <f>'25hike'!G90+IPI_plus!G85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'25hike'!C91+IPI_plus!C86</f>
        <v>#REF!</v>
      </c>
      <c r="D91" s="18" t="e">
        <f>'25hike'!D91+IPI_plus!D86</f>
        <v>#REF!</v>
      </c>
      <c r="E91" s="18" t="e">
        <f>'25hike'!E91+IPI_plus!E86</f>
        <v>#REF!</v>
      </c>
      <c r="F91" s="18" t="e">
        <f>'25hike'!F91+IPI_plus!F86</f>
        <v>#REF!</v>
      </c>
      <c r="G91" s="18" t="e">
        <f>'25hike'!G91+IPI_plus!G86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'25hike'!C92+IPI_plus!C87</f>
        <v>#REF!</v>
      </c>
      <c r="D92" s="18" t="e">
        <f>'25hike'!D92+IPI_plus!D87</f>
        <v>#REF!</v>
      </c>
      <c r="E92" s="18" t="e">
        <f>'25hike'!E92+IPI_plus!E87</f>
        <v>#REF!</v>
      </c>
      <c r="F92" s="18" t="e">
        <f>'25hike'!F92+IPI_plus!F87</f>
        <v>#REF!</v>
      </c>
      <c r="G92" s="18" t="e">
        <f>'25hike'!G92+IPI_plus!G87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'25hike'!C93+IPI_plus!C88</f>
        <v>#REF!</v>
      </c>
      <c r="D93" s="18" t="e">
        <f>'25hike'!D93+IPI_plus!D88</f>
        <v>#REF!</v>
      </c>
      <c r="E93" s="18" t="e">
        <f>'25hike'!E93+IPI_plus!E88</f>
        <v>#REF!</v>
      </c>
      <c r="F93" s="18" t="e">
        <f>'25hike'!F93+IPI_plus!F88</f>
        <v>#REF!</v>
      </c>
      <c r="G93" s="18" t="e">
        <f>'25hike'!G93+IPI_plus!G88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'25hike'!C94+IPI_plus!C89</f>
        <v>#REF!</v>
      </c>
      <c r="D94" s="18" t="e">
        <f>'25hike'!D94+IPI_plus!D89</f>
        <v>#REF!</v>
      </c>
      <c r="E94" s="18" t="e">
        <f>'25hike'!E94+IPI_plus!E89</f>
        <v>#REF!</v>
      </c>
      <c r="F94" s="18" t="e">
        <f>'25hike'!F94+IPI_plus!F89</f>
        <v>#REF!</v>
      </c>
      <c r="G94" s="18" t="e">
        <f>'25hike'!G94+IPI_plus!G89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'25hike'!C95+IPI_plus!C90</f>
        <v>#REF!</v>
      </c>
      <c r="D95" s="18" t="e">
        <f>'25hike'!D95+IPI_plus!D90</f>
        <v>#REF!</v>
      </c>
      <c r="E95" s="18" t="e">
        <f>'25hike'!E95+IPI_plus!E90</f>
        <v>#REF!</v>
      </c>
      <c r="F95" s="18" t="e">
        <f>'25hike'!F95+IPI_plus!F90</f>
        <v>#REF!</v>
      </c>
      <c r="G95" s="18" t="e">
        <f>'25hike'!G95+IPI_plus!G90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'25hike'!C96+IPI_plus!C91</f>
        <v>#REF!</v>
      </c>
      <c r="D96" s="18" t="e">
        <f>'25hike'!D96+IPI_plus!D91</f>
        <v>#REF!</v>
      </c>
      <c r="E96" s="18" t="e">
        <f>'25hike'!E96+IPI_plus!E91</f>
        <v>#REF!</v>
      </c>
      <c r="F96" s="18" t="e">
        <f>'25hike'!F96+IPI_plus!F91</f>
        <v>#REF!</v>
      </c>
      <c r="G96" s="18" t="e">
        <f>'25hike'!G96+IPI_plus!G91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'25hike'!C97+IPI_plus!C92</f>
        <v>#REF!</v>
      </c>
      <c r="D97" s="18" t="e">
        <f>'25hike'!D97+IPI_plus!D92</f>
        <v>#REF!</v>
      </c>
      <c r="E97" s="18" t="e">
        <f>'25hike'!E97+IPI_plus!E92</f>
        <v>#REF!</v>
      </c>
      <c r="F97" s="18" t="e">
        <f>'25hike'!F97+IPI_plus!F92</f>
        <v>#REF!</v>
      </c>
      <c r="G97" s="18" t="e">
        <f>'25hike'!G97+IPI_plus!G92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'25hike'!C98+IPI_plus!C93</f>
        <v>#REF!</v>
      </c>
      <c r="D98" s="18" t="e">
        <f>'25hike'!D98+IPI_plus!D93</f>
        <v>#REF!</v>
      </c>
      <c r="E98" s="18" t="e">
        <f>'25hike'!E98+IPI_plus!E93</f>
        <v>#REF!</v>
      </c>
      <c r="F98" s="18" t="e">
        <f>'25hike'!F98+IPI_plus!F93</f>
        <v>#REF!</v>
      </c>
      <c r="G98" s="18" t="e">
        <f>'25hike'!G98+IPI_plus!G93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'25hike'!C99+IPI_plus!C94</f>
        <v>#REF!</v>
      </c>
      <c r="D99" s="18" t="e">
        <f>'25hike'!D99+IPI_plus!D94</f>
        <v>#REF!</v>
      </c>
      <c r="E99" s="18" t="e">
        <f>'25hike'!E99+IPI_plus!E94</f>
        <v>#REF!</v>
      </c>
      <c r="F99" s="18" t="e">
        <f>'25hike'!F99+IPI_plus!F94</f>
        <v>#REF!</v>
      </c>
      <c r="G99" s="18" t="e">
        <f>'25hike'!G99+IPI_plus!G94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'25hike'!C100+IPI_plus!C95</f>
        <v>#REF!</v>
      </c>
      <c r="D100" s="18" t="e">
        <f>'25hike'!D100+IPI_plus!D95</f>
        <v>#REF!</v>
      </c>
      <c r="E100" s="18" t="e">
        <f>'25hike'!E100+IPI_plus!E95</f>
        <v>#REF!</v>
      </c>
      <c r="F100" s="18" t="e">
        <f>'25hike'!F100+IPI_plus!F95</f>
        <v>#REF!</v>
      </c>
      <c r="G100" s="18" t="e">
        <f>'25hike'!G100+IPI_plus!G95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'25hike'!C101+IPI_plus!C96</f>
        <v>#REF!</v>
      </c>
      <c r="D101" s="18" t="e">
        <f>'25hike'!D101+IPI_plus!D96</f>
        <v>#REF!</v>
      </c>
      <c r="E101" s="18" t="e">
        <f>'25hike'!E101+IPI_plus!E96</f>
        <v>#REF!</v>
      </c>
      <c r="F101" s="18" t="e">
        <f>'25hike'!F101+IPI_plus!F96</f>
        <v>#REF!</v>
      </c>
      <c r="G101" s="18" t="e">
        <f>'25hike'!G101+IPI_plus!G96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'25hike'!C102+IPI_plus!C97</f>
        <v>#REF!</v>
      </c>
      <c r="D102" s="18" t="e">
        <f>'25hike'!D102+IPI_plus!D97</f>
        <v>#REF!</v>
      </c>
      <c r="E102" s="18" t="e">
        <f>'25hike'!E102+IPI_plus!E97</f>
        <v>#REF!</v>
      </c>
      <c r="F102" s="18" t="e">
        <f>'25hike'!F102+IPI_plus!F97</f>
        <v>#REF!</v>
      </c>
      <c r="G102" s="18" t="e">
        <f>'25hike'!G102+IPI_plus!G97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'25hike'!C103+IPI_plus!C98</f>
        <v>#REF!</v>
      </c>
      <c r="D103" s="18" t="e">
        <f>'25hike'!D103+IPI_plus!D98</f>
        <v>#REF!</v>
      </c>
      <c r="E103" s="18" t="e">
        <f>'25hike'!E103+IPI_plus!E98</f>
        <v>#REF!</v>
      </c>
      <c r="F103" s="18" t="e">
        <f>'25hike'!F103+IPI_plus!F98</f>
        <v>#REF!</v>
      </c>
      <c r="G103" s="18" t="e">
        <f>'25hike'!G103+IPI_plus!G98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'25hike'!C104+IPI_plus!C99</f>
        <v>#REF!</v>
      </c>
      <c r="D104" s="18" t="e">
        <f>'25hike'!D104+IPI_plus!D99</f>
        <v>#REF!</v>
      </c>
      <c r="E104" s="18" t="e">
        <f>'25hike'!E104+IPI_plus!E99</f>
        <v>#REF!</v>
      </c>
      <c r="F104" s="18" t="e">
        <f>'25hike'!F104+IPI_plus!F99</f>
        <v>#REF!</v>
      </c>
      <c r="G104" s="18" t="e">
        <f>'25hike'!G104+IPI_plus!G99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'25hike'!C105+IPI_plus!C100</f>
        <v>#REF!</v>
      </c>
      <c r="D105" s="18" t="e">
        <f>'25hike'!D105+IPI_plus!D100</f>
        <v>#REF!</v>
      </c>
      <c r="E105" s="18" t="e">
        <f>'25hike'!E105+IPI_plus!E100</f>
        <v>#REF!</v>
      </c>
      <c r="F105" s="18" t="e">
        <f>'25hike'!F105+IPI_plus!F100</f>
        <v>#REF!</v>
      </c>
      <c r="G105" s="18" t="e">
        <f>'25hike'!G105+IPI_plus!G100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'25hike'!C106+IPI_plus!C101</f>
        <v>#REF!</v>
      </c>
      <c r="D106" s="18" t="e">
        <f>'25hike'!D106+IPI_plus!D101</f>
        <v>#REF!</v>
      </c>
      <c r="E106" s="18" t="e">
        <f>'25hike'!E106+IPI_plus!E101</f>
        <v>#REF!</v>
      </c>
      <c r="F106" s="18" t="e">
        <f>'25hike'!F106+IPI_plus!F101</f>
        <v>#REF!</v>
      </c>
      <c r="G106" s="18" t="e">
        <f>'25hike'!G106+IPI_plus!G101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'25hike'!C107+IPI_plus!C102</f>
        <v>#REF!</v>
      </c>
      <c r="D107" s="18" t="e">
        <f>'25hike'!D107+IPI_plus!D102</f>
        <v>#REF!</v>
      </c>
      <c r="E107" s="18" t="e">
        <f>'25hike'!E107+IPI_plus!E102</f>
        <v>#REF!</v>
      </c>
      <c r="F107" s="18" t="e">
        <f>'25hike'!F107+IPI_plus!F102</f>
        <v>#REF!</v>
      </c>
      <c r="G107" s="18" t="e">
        <f>'25hike'!G107+IPI_plus!G102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'25hike'!C108+IPI_plus!C103</f>
        <v>#REF!</v>
      </c>
      <c r="D108" s="18" t="e">
        <f>'25hike'!D108+IPI_plus!D103</f>
        <v>#REF!</v>
      </c>
      <c r="E108" s="18" t="e">
        <f>'25hike'!E108+IPI_plus!E103</f>
        <v>#REF!</v>
      </c>
      <c r="F108" s="18" t="e">
        <f>'25hike'!F108+IPI_plus!F103</f>
        <v>#REF!</v>
      </c>
      <c r="G108" s="18" t="e">
        <f>'25hike'!G108+IPI_plus!G103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'25hike'!C109+IPI_plus!C104</f>
        <v>#REF!</v>
      </c>
      <c r="D109" s="18" t="e">
        <f>'25hike'!D109+IPI_plus!D104</f>
        <v>#REF!</v>
      </c>
      <c r="E109" s="18" t="e">
        <f>'25hike'!E109+IPI_plus!E104</f>
        <v>#REF!</v>
      </c>
      <c r="F109" s="18" t="e">
        <f>'25hike'!F109+IPI_plus!F104</f>
        <v>#REF!</v>
      </c>
      <c r="G109" s="18" t="e">
        <f>'25hike'!G109+IPI_plus!G104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'25hike'!C110+IPI_plus!C105</f>
        <v>#REF!</v>
      </c>
      <c r="D110" s="18" t="e">
        <f>'25hike'!D110+IPI_plus!D105</f>
        <v>#REF!</v>
      </c>
      <c r="E110" s="18" t="e">
        <f>'25hike'!E110+IPI_plus!E105</f>
        <v>#REF!</v>
      </c>
      <c r="F110" s="18" t="e">
        <f>'25hike'!F110+IPI_plus!F105</f>
        <v>#REF!</v>
      </c>
      <c r="G110" s="18" t="e">
        <f>'25hike'!G110+IPI_plus!G105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'25hike'!C111+IPI_plus!C106</f>
        <v>#REF!</v>
      </c>
      <c r="D111" s="18" t="e">
        <f>'25hike'!D111+IPI_plus!D106</f>
        <v>#REF!</v>
      </c>
      <c r="E111" s="18" t="e">
        <f>'25hike'!E111+IPI_plus!E106</f>
        <v>#REF!</v>
      </c>
      <c r="F111" s="18" t="e">
        <f>'25hike'!F111+IPI_plus!F106</f>
        <v>#REF!</v>
      </c>
      <c r="G111" s="18" t="e">
        <f>'25hike'!G111+IPI_plus!G106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'25hike'!C112+IPI_plus!C107</f>
        <v>#REF!</v>
      </c>
      <c r="D112" s="18" t="e">
        <f>'25hike'!D112+IPI_plus!D107</f>
        <v>#REF!</v>
      </c>
      <c r="E112" s="18" t="e">
        <f>'25hike'!E112+IPI_plus!E107</f>
        <v>#REF!</v>
      </c>
      <c r="F112" s="18" t="e">
        <f>'25hike'!F112+IPI_plus!F107</f>
        <v>#REF!</v>
      </c>
      <c r="G112" s="18" t="e">
        <f>'25hike'!G112+IPI_plus!G107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'25hike'!C113+IPI_plus!C108</f>
        <v>#REF!</v>
      </c>
      <c r="D113" s="18" t="e">
        <f>'25hike'!D113+IPI_plus!D108</f>
        <v>#REF!</v>
      </c>
      <c r="E113" s="18" t="e">
        <f>'25hike'!E113+IPI_plus!E108</f>
        <v>#REF!</v>
      </c>
      <c r="F113" s="18" t="e">
        <f>'25hike'!F113+IPI_plus!F108</f>
        <v>#REF!</v>
      </c>
      <c r="G113" s="18" t="e">
        <f>'25hike'!G113+IPI_plus!G108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'25hike'!C114+IPI_plus!C109</f>
        <v>#REF!</v>
      </c>
      <c r="D114" s="18" t="e">
        <f>'25hike'!D114+IPI_plus!D109</f>
        <v>#REF!</v>
      </c>
      <c r="E114" s="18" t="e">
        <f>'25hike'!E114+IPI_plus!E109</f>
        <v>#REF!</v>
      </c>
      <c r="F114" s="18" t="e">
        <f>'25hike'!F114+IPI_plus!F109</f>
        <v>#REF!</v>
      </c>
      <c r="G114" s="18" t="e">
        <f>'25hike'!G114+IPI_plus!G109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'25hike'!C115+IPI_plus!C110</f>
        <v>#REF!</v>
      </c>
      <c r="D115" s="18" t="e">
        <f>'25hike'!D115+IPI_plus!D110</f>
        <v>#REF!</v>
      </c>
      <c r="E115" s="18" t="e">
        <f>'25hike'!E115+IPI_plus!E110</f>
        <v>#REF!</v>
      </c>
      <c r="F115" s="18" t="e">
        <f>'25hike'!F115+IPI_plus!F110</f>
        <v>#REF!</v>
      </c>
      <c r="G115" s="18" t="e">
        <f>'25hike'!G115+IPI_plus!G110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'25hike'!C116+IPI_plus!C111</f>
        <v>#REF!</v>
      </c>
      <c r="D116" s="18" t="e">
        <f>'25hike'!D116+IPI_plus!D111</f>
        <v>#REF!</v>
      </c>
      <c r="E116" s="18" t="e">
        <f>'25hike'!E116+IPI_plus!E111</f>
        <v>#REF!</v>
      </c>
      <c r="F116" s="18" t="e">
        <f>'25hike'!F116+IPI_plus!F111</f>
        <v>#REF!</v>
      </c>
      <c r="G116" s="18" t="e">
        <f>'25hike'!G116+IPI_plus!G111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'25hike'!C117+IPI_plus!C112</f>
        <v>#REF!</v>
      </c>
      <c r="D117" s="18" t="e">
        <f>'25hike'!D117+IPI_plus!D112</f>
        <v>#REF!</v>
      </c>
      <c r="E117" s="18" t="e">
        <f>'25hike'!E117+IPI_plus!E112</f>
        <v>#REF!</v>
      </c>
      <c r="F117" s="18" t="e">
        <f>'25hike'!F117+IPI_plus!F112</f>
        <v>#REF!</v>
      </c>
      <c r="G117" s="18" t="e">
        <f>'25hike'!G117+IPI_plus!G112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'25hike'!C118+IPI_plus!C113</f>
        <v>#REF!</v>
      </c>
      <c r="D118" s="18" t="e">
        <f>'25hike'!D118+IPI_plus!D113</f>
        <v>#REF!</v>
      </c>
      <c r="E118" s="18" t="e">
        <f>'25hike'!E118+IPI_plus!E113</f>
        <v>#REF!</v>
      </c>
      <c r="F118" s="18" t="e">
        <f>'25hike'!F118+IPI_plus!F113</f>
        <v>#REF!</v>
      </c>
      <c r="G118" s="18" t="e">
        <f>'25hike'!G118+IPI_plus!G113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'25hike'!C119+IPI_plus!C114</f>
        <v>#REF!</v>
      </c>
      <c r="D119" s="18" t="e">
        <f>'25hike'!D119+IPI_plus!D114</f>
        <v>#REF!</v>
      </c>
      <c r="E119" s="18" t="e">
        <f>'25hike'!E119+IPI_plus!E114</f>
        <v>#REF!</v>
      </c>
      <c r="F119" s="18" t="e">
        <f>'25hike'!F119+IPI_plus!F114</f>
        <v>#REF!</v>
      </c>
      <c r="G119" s="18" t="e">
        <f>'25hike'!G119+IPI_plus!G114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'25hike'!C120+IPI_plus!C115</f>
        <v>#REF!</v>
      </c>
      <c r="D120" s="18" t="e">
        <f>'25hike'!D120+IPI_plus!D115</f>
        <v>#REF!</v>
      </c>
      <c r="E120" s="18" t="e">
        <f>'25hike'!E120+IPI_plus!E115</f>
        <v>#REF!</v>
      </c>
      <c r="F120" s="18" t="e">
        <f>'25hike'!F120+IPI_plus!F115</f>
        <v>#REF!</v>
      </c>
      <c r="G120" s="18" t="e">
        <f>'25hike'!G120+IPI_plus!G115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'25hike'!C121+IPI_plus!C116</f>
        <v>#REF!</v>
      </c>
      <c r="D121" s="18" t="e">
        <f>'25hike'!D121+IPI_plus!D116</f>
        <v>#REF!</v>
      </c>
      <c r="E121" s="18" t="e">
        <f>'25hike'!E121+IPI_plus!E116</f>
        <v>#REF!</v>
      </c>
      <c r="F121" s="18" t="e">
        <f>'25hike'!F121+IPI_plus!F116</f>
        <v>#REF!</v>
      </c>
      <c r="G121" s="18" t="e">
        <f>'25hike'!G121+IPI_plus!G116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'25hike'!C122+IPI_plus!C117</f>
        <v>#REF!</v>
      </c>
      <c r="D122" s="18" t="e">
        <f>'25hike'!D122+IPI_plus!D117</f>
        <v>#REF!</v>
      </c>
      <c r="E122" s="18" t="e">
        <f>'25hike'!E122+IPI_plus!E117</f>
        <v>#REF!</v>
      </c>
      <c r="F122" s="18" t="e">
        <f>'25hike'!F122+IPI_plus!F117</f>
        <v>#REF!</v>
      </c>
      <c r="G122" s="18" t="e">
        <f>'25hike'!G122+IPI_plus!G117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'25hike'!C123+IPI_plus!C118</f>
        <v>#REF!</v>
      </c>
      <c r="D123" s="18" t="e">
        <f>'25hike'!D123+IPI_plus!D118</f>
        <v>#REF!</v>
      </c>
      <c r="E123" s="18" t="e">
        <f>'25hike'!E123+IPI_plus!E118</f>
        <v>#REF!</v>
      </c>
      <c r="F123" s="18" t="e">
        <f>'25hike'!F123+IPI_plus!F118</f>
        <v>#REF!</v>
      </c>
      <c r="G123" s="18" t="e">
        <f>'25hike'!G123+IPI_plus!G118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'25hike'!C124+IPI_plus!C119</f>
        <v>#REF!</v>
      </c>
      <c r="D124" s="18" t="e">
        <f>'25hike'!D124+IPI_plus!D119</f>
        <v>#REF!</v>
      </c>
      <c r="E124" s="18" t="e">
        <f>'25hike'!E124+IPI_plus!E119</f>
        <v>#REF!</v>
      </c>
      <c r="F124" s="18" t="e">
        <f>'25hike'!F124+IPI_plus!F119</f>
        <v>#REF!</v>
      </c>
      <c r="G124" s="18" t="e">
        <f>'25hike'!G124+IPI_plus!G119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'25hike'!C125+IPI_plus!C120</f>
        <v>#REF!</v>
      </c>
      <c r="D125" s="18" t="e">
        <f>'25hike'!D125+IPI_plus!D120</f>
        <v>#REF!</v>
      </c>
      <c r="E125" s="18" t="e">
        <f>'25hike'!E125+IPI_plus!E120</f>
        <v>#REF!</v>
      </c>
      <c r="F125" s="18" t="e">
        <f>'25hike'!F125+IPI_plus!F120</f>
        <v>#REF!</v>
      </c>
      <c r="G125" s="18" t="e">
        <f>'25hike'!G125+IPI_plus!G120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'25hike'!C126+IPI_plus!C121</f>
        <v>#REF!</v>
      </c>
      <c r="D126" s="18" t="e">
        <f>'25hike'!D126+IPI_plus!D121</f>
        <v>#REF!</v>
      </c>
      <c r="E126" s="18" t="e">
        <f>'25hike'!E126+IPI_plus!E121</f>
        <v>#REF!</v>
      </c>
      <c r="F126" s="18" t="e">
        <f>'25hike'!F126+IPI_plus!F121</f>
        <v>#REF!</v>
      </c>
      <c r="G126" s="18" t="e">
        <f>'25hike'!G126+IPI_plus!G121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'25hike'!C127+IPI_plus!C122</f>
        <v>#REF!</v>
      </c>
      <c r="D127" s="18" t="e">
        <f>'25hike'!D127+IPI_plus!D122</f>
        <v>#REF!</v>
      </c>
      <c r="E127" s="18" t="e">
        <f>'25hike'!E127+IPI_plus!E122</f>
        <v>#REF!</v>
      </c>
      <c r="F127" s="18" t="e">
        <f>'25hike'!F127+IPI_plus!F122</f>
        <v>#REF!</v>
      </c>
      <c r="G127" s="18" t="e">
        <f>'25hike'!G127+IPI_plus!G122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'25hike'!C128+IPI_plus!C123</f>
        <v>#REF!</v>
      </c>
      <c r="D128" s="18" t="e">
        <f>'25hike'!D128+IPI_plus!D123</f>
        <v>#REF!</v>
      </c>
      <c r="E128" s="18" t="e">
        <f>'25hike'!E128+IPI_plus!E123</f>
        <v>#REF!</v>
      </c>
      <c r="F128" s="18" t="e">
        <f>'25hike'!F128+IPI_plus!F123</f>
        <v>#REF!</v>
      </c>
      <c r="G128" s="18" t="e">
        <f>'25hike'!G128+IPI_plus!G123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'25hike'!C129+IPI_plus!C124</f>
        <v>#REF!</v>
      </c>
      <c r="D129" s="18" t="e">
        <f>'25hike'!D129+IPI_plus!D124</f>
        <v>#REF!</v>
      </c>
      <c r="E129" s="18" t="e">
        <f>'25hike'!E129+IPI_plus!E124</f>
        <v>#REF!</v>
      </c>
      <c r="F129" s="18" t="e">
        <f>'25hike'!F129+IPI_plus!F124</f>
        <v>#REF!</v>
      </c>
      <c r="G129" s="18" t="e">
        <f>'25hike'!G129+IPI_plus!G124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'25hike'!C130+IPI_plus!C125</f>
        <v>#REF!</v>
      </c>
      <c r="D130" s="18" t="e">
        <f>'25hike'!D130+IPI_plus!D125</f>
        <v>#REF!</v>
      </c>
      <c r="E130" s="18" t="e">
        <f>'25hike'!E130+IPI_plus!E125</f>
        <v>#REF!</v>
      </c>
      <c r="F130" s="18" t="e">
        <f>'25hike'!F130+IPI_plus!F125</f>
        <v>#REF!</v>
      </c>
      <c r="G130" s="18" t="e">
        <f>'25hike'!G130+IPI_plus!G125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'25hike'!C131+IPI_plus!C126</f>
        <v>#REF!</v>
      </c>
      <c r="D131" s="18" t="e">
        <f>'25hike'!D131+IPI_plus!D126</f>
        <v>#REF!</v>
      </c>
      <c r="E131" s="18" t="e">
        <f>'25hike'!E131+IPI_plus!E126</f>
        <v>#REF!</v>
      </c>
      <c r="F131" s="18" t="e">
        <f>'25hike'!F131+IPI_plus!F126</f>
        <v>#REF!</v>
      </c>
      <c r="G131" s="18" t="e">
        <f>'25hike'!G131+IPI_plus!G126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'25hike'!C132+IPI_plus!C127</f>
        <v>#REF!</v>
      </c>
      <c r="D132" s="18" t="e">
        <f>'25hike'!D132+IPI_plus!D127</f>
        <v>#REF!</v>
      </c>
      <c r="E132" s="18" t="e">
        <f>'25hike'!E132+IPI_plus!E127</f>
        <v>#REF!</v>
      </c>
      <c r="F132" s="18" t="e">
        <f>'25hike'!F132+IPI_plus!F127</f>
        <v>#REF!</v>
      </c>
      <c r="G132" s="18" t="e">
        <f>'25hike'!G132+IPI_plus!G127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'25hike'!C133+IPI_plus!C128</f>
        <v>#REF!</v>
      </c>
      <c r="D133" s="18" t="e">
        <f>'25hike'!D133+IPI_plus!D128</f>
        <v>#REF!</v>
      </c>
      <c r="E133" s="18" t="e">
        <f>'25hike'!E133+IPI_plus!E128</f>
        <v>#REF!</v>
      </c>
      <c r="F133" s="18" t="e">
        <f>'25hike'!F133+IPI_plus!F128</f>
        <v>#REF!</v>
      </c>
      <c r="G133" s="18" t="e">
        <f>'25hike'!G133+IPI_plus!G128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'25hike'!C134+IPI_plus!C129</f>
        <v>#REF!</v>
      </c>
      <c r="D134" s="18" t="e">
        <f>'25hike'!D134+IPI_plus!D129</f>
        <v>#REF!</v>
      </c>
      <c r="E134" s="18" t="e">
        <f>'25hike'!E134+IPI_plus!E129</f>
        <v>#REF!</v>
      </c>
      <c r="F134" s="18" t="e">
        <f>'25hike'!F134+IPI_plus!F129</f>
        <v>#REF!</v>
      </c>
      <c r="G134" s="18" t="e">
        <f>'25hike'!G134+IPI_plus!G129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'25hike'!C135+IPI_plus!C130</f>
        <v>#REF!</v>
      </c>
      <c r="D135" s="18" t="e">
        <f>'25hike'!D135+IPI_plus!D130</f>
        <v>#REF!</v>
      </c>
      <c r="E135" s="18" t="e">
        <f>'25hike'!E135+IPI_plus!E130</f>
        <v>#REF!</v>
      </c>
      <c r="F135" s="18" t="e">
        <f>'25hike'!F135+IPI_plus!F130</f>
        <v>#REF!</v>
      </c>
      <c r="G135" s="18" t="e">
        <f>'25hike'!G135+IPI_plus!G130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'25hike'!C136+IPI_plus!C131</f>
        <v>#REF!</v>
      </c>
      <c r="D136" s="18" t="e">
        <f>'25hike'!D136+IPI_plus!D131</f>
        <v>#REF!</v>
      </c>
      <c r="E136" s="18" t="e">
        <f>'25hike'!E136+IPI_plus!E131</f>
        <v>#REF!</v>
      </c>
      <c r="F136" s="18" t="e">
        <f>'25hike'!F136+IPI_plus!F131</f>
        <v>#REF!</v>
      </c>
      <c r="G136" s="18" t="e">
        <f>'25hike'!G136+IPI_plus!G131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'25hike'!C137+IPI_plus!C132</f>
        <v>#REF!</v>
      </c>
      <c r="D137" s="18" t="e">
        <f>'25hike'!D137+IPI_plus!D132</f>
        <v>#REF!</v>
      </c>
      <c r="E137" s="18" t="e">
        <f>'25hike'!E137+IPI_plus!E132</f>
        <v>#REF!</v>
      </c>
      <c r="F137" s="18" t="e">
        <f>'25hike'!F137+IPI_plus!F132</f>
        <v>#REF!</v>
      </c>
      <c r="G137" s="18" t="e">
        <f>'25hike'!G137+IPI_plus!G132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'25hike'!C138+IPI_plus!C133</f>
        <v>#REF!</v>
      </c>
      <c r="D138" s="18" t="e">
        <f>'25hike'!D138+IPI_plus!D133</f>
        <v>#REF!</v>
      </c>
      <c r="E138" s="18" t="e">
        <f>'25hike'!E138+IPI_plus!E133</f>
        <v>#REF!</v>
      </c>
      <c r="F138" s="18" t="e">
        <f>'25hike'!F138+IPI_plus!F133</f>
        <v>#REF!</v>
      </c>
      <c r="G138" s="18" t="e">
        <f>'25hike'!G138+IPI_plus!G133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'25hike'!C139+IPI_plus!C134</f>
        <v>#REF!</v>
      </c>
      <c r="D139" s="18" t="e">
        <f>'25hike'!D139+IPI_plus!D134</f>
        <v>#REF!</v>
      </c>
      <c r="E139" s="18" t="e">
        <f>'25hike'!E139+IPI_plus!E134</f>
        <v>#REF!</v>
      </c>
      <c r="F139" s="18" t="e">
        <f>'25hike'!F139+IPI_plus!F134</f>
        <v>#REF!</v>
      </c>
      <c r="G139" s="18" t="e">
        <f>'25hike'!G139+IPI_plus!G134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'25hike'!C140+IPI_plus!C135</f>
        <v>#REF!</v>
      </c>
      <c r="D140" s="18" t="e">
        <f>'25hike'!D140+IPI_plus!D135</f>
        <v>#REF!</v>
      </c>
      <c r="E140" s="18" t="e">
        <f>'25hike'!E140+IPI_plus!E135</f>
        <v>#REF!</v>
      </c>
      <c r="F140" s="18" t="e">
        <f>'25hike'!F140+IPI_plus!F135</f>
        <v>#REF!</v>
      </c>
      <c r="G140" s="18" t="e">
        <f>'25hike'!G140+IPI_plus!G135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'25hike'!C141+IPI_plus!C136</f>
        <v>#REF!</v>
      </c>
      <c r="D141" s="18" t="e">
        <f>'25hike'!D141+IPI_plus!D136</f>
        <v>#REF!</v>
      </c>
      <c r="E141" s="18" t="e">
        <f>'25hike'!E141+IPI_plus!E136</f>
        <v>#REF!</v>
      </c>
      <c r="F141" s="18" t="e">
        <f>'25hike'!F141+IPI_plus!F136</f>
        <v>#REF!</v>
      </c>
      <c r="G141" s="18" t="e">
        <f>'25hike'!G141+IPI_plus!G136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'25hike'!C142+IPI_plus!C137</f>
        <v>#REF!</v>
      </c>
      <c r="D142" s="18" t="e">
        <f>'25hike'!D142+IPI_plus!D137</f>
        <v>#REF!</v>
      </c>
      <c r="E142" s="18" t="e">
        <f>'25hike'!E142+IPI_plus!E137</f>
        <v>#REF!</v>
      </c>
      <c r="F142" s="18" t="e">
        <f>'25hike'!F142+IPI_plus!F137</f>
        <v>#REF!</v>
      </c>
      <c r="G142" s="18" t="e">
        <f>'25hike'!G142+IPI_plus!G137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'25hike'!C143+IPI_plus!C138</f>
        <v>#REF!</v>
      </c>
      <c r="D143" s="18" t="e">
        <f>'25hike'!D143+IPI_plus!D138</f>
        <v>#REF!</v>
      </c>
      <c r="E143" s="18" t="e">
        <f>'25hike'!E143+IPI_plus!E138</f>
        <v>#REF!</v>
      </c>
      <c r="F143" s="18" t="e">
        <f>'25hike'!F143+IPI_plus!F138</f>
        <v>#REF!</v>
      </c>
      <c r="G143" s="18" t="e">
        <f>'25hike'!G143+IPI_plus!G138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'25hike'!C144+IPI_plus!C139</f>
        <v>#REF!</v>
      </c>
      <c r="D144" s="18" t="e">
        <f>'25hike'!D144+IPI_plus!D139</f>
        <v>#REF!</v>
      </c>
      <c r="E144" s="18" t="e">
        <f>'25hike'!E144+IPI_plus!E139</f>
        <v>#REF!</v>
      </c>
      <c r="F144" s="18" t="e">
        <f>'25hike'!F144+IPI_plus!F139</f>
        <v>#REF!</v>
      </c>
      <c r="G144" s="18" t="e">
        <f>'25hike'!G144+IPI_plus!G139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'25hike'!C145+IPI_plus!C140</f>
        <v>#REF!</v>
      </c>
      <c r="D145" s="18" t="e">
        <f>'25hike'!D145+IPI_plus!D140</f>
        <v>#REF!</v>
      </c>
      <c r="E145" s="18" t="e">
        <f>'25hike'!E145+IPI_plus!E140</f>
        <v>#REF!</v>
      </c>
      <c r="F145" s="18" t="e">
        <f>'25hike'!F145+IPI_plus!F140</f>
        <v>#REF!</v>
      </c>
      <c r="G145" s="18" t="e">
        <f>'25hike'!G145+IPI_plus!G140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'25hike'!C146+IPI_plus!C141</f>
        <v>#REF!</v>
      </c>
      <c r="D146" s="18" t="e">
        <f>'25hike'!D146+IPI_plus!D141</f>
        <v>#REF!</v>
      </c>
      <c r="E146" s="18" t="e">
        <f>'25hike'!E146+IPI_plus!E141</f>
        <v>#REF!</v>
      </c>
      <c r="F146" s="18" t="e">
        <f>'25hike'!F146+IPI_plus!F141</f>
        <v>#REF!</v>
      </c>
      <c r="G146" s="18" t="e">
        <f>'25hike'!G146+IPI_plus!G141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'25hike'!C147+IPI_plus!C142</f>
        <v>#REF!</v>
      </c>
      <c r="D147" s="18" t="e">
        <f>'25hike'!D147+IPI_plus!D142</f>
        <v>#REF!</v>
      </c>
      <c r="E147" s="18" t="e">
        <f>'25hike'!E147+IPI_plus!E142</f>
        <v>#REF!</v>
      </c>
      <c r="F147" s="18" t="e">
        <f>'25hike'!F147+IPI_plus!F142</f>
        <v>#REF!</v>
      </c>
      <c r="G147" s="18" t="e">
        <f>'25hike'!G147+IPI_plus!G142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'25hike'!C148+IPI_plus!C143</f>
        <v>#REF!</v>
      </c>
      <c r="D148" s="18" t="e">
        <f>'25hike'!D148+IPI_plus!D143</f>
        <v>#REF!</v>
      </c>
      <c r="E148" s="18" t="e">
        <f>'25hike'!E148+IPI_plus!E143</f>
        <v>#REF!</v>
      </c>
      <c r="F148" s="18" t="e">
        <f>'25hike'!F148+IPI_plus!F143</f>
        <v>#REF!</v>
      </c>
      <c r="G148" s="18" t="e">
        <f>'25hike'!G148+IPI_plus!G143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'25hike'!C149+IPI_plus!C144</f>
        <v>#REF!</v>
      </c>
      <c r="D149" s="18" t="e">
        <f>'25hike'!D149+IPI_plus!D144</f>
        <v>#REF!</v>
      </c>
      <c r="E149" s="18" t="e">
        <f>'25hike'!E149+IPI_plus!E144</f>
        <v>#REF!</v>
      </c>
      <c r="F149" s="18" t="e">
        <f>'25hike'!F149+IPI_plus!F144</f>
        <v>#REF!</v>
      </c>
      <c r="G149" s="18" t="e">
        <f>'25hike'!G149+IPI_plus!G144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'25hike'!C150+IPI_plus!C145</f>
        <v>#REF!</v>
      </c>
      <c r="D150" s="18" t="e">
        <f>'25hike'!D150+IPI_plus!D145</f>
        <v>#REF!</v>
      </c>
      <c r="E150" s="18" t="e">
        <f>'25hike'!E150+IPI_plus!E145</f>
        <v>#REF!</v>
      </c>
      <c r="F150" s="18" t="e">
        <f>'25hike'!F150+IPI_plus!F145</f>
        <v>#REF!</v>
      </c>
      <c r="G150" s="18" t="e">
        <f>'25hike'!G150+IPI_plus!G145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'25hike'!C151+IPI_plus!C146</f>
        <v>#REF!</v>
      </c>
      <c r="D151" s="18" t="e">
        <f>'25hike'!D151+IPI_plus!D146</f>
        <v>#REF!</v>
      </c>
      <c r="E151" s="18" t="e">
        <f>'25hike'!E151+IPI_plus!E146</f>
        <v>#REF!</v>
      </c>
      <c r="F151" s="18" t="e">
        <f>'25hike'!F151+IPI_plus!F146</f>
        <v>#REF!</v>
      </c>
      <c r="G151" s="18" t="e">
        <f>'25hike'!G151+IPI_plus!G146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'25hike'!C152+IPI_plus!C147</f>
        <v>#REF!</v>
      </c>
      <c r="D152" s="18" t="e">
        <f>'25hike'!D152+IPI_plus!D147</f>
        <v>#REF!</v>
      </c>
      <c r="E152" s="18" t="e">
        <f>'25hike'!E152+IPI_plus!E147</f>
        <v>#REF!</v>
      </c>
      <c r="F152" s="18" t="e">
        <f>'25hike'!F152+IPI_plus!F147</f>
        <v>#REF!</v>
      </c>
      <c r="G152" s="18" t="e">
        <f>'25hike'!G152+IPI_plus!G147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'25hike'!C153+IPI_plus!C148</f>
        <v>#REF!</v>
      </c>
      <c r="D153" s="18" t="e">
        <f>'25hike'!D153+IPI_plus!D148</f>
        <v>#REF!</v>
      </c>
      <c r="E153" s="18" t="e">
        <f>'25hike'!E153+IPI_plus!E148</f>
        <v>#REF!</v>
      </c>
      <c r="F153" s="18" t="e">
        <f>'25hike'!F153+IPI_plus!F148</f>
        <v>#REF!</v>
      </c>
      <c r="G153" s="18" t="e">
        <f>'25hike'!G153+IPI_plus!G148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'25hike'!C154+IPI_plus!C149</f>
        <v>#REF!</v>
      </c>
      <c r="D154" s="18" t="e">
        <f>'25hike'!D154+IPI_plus!D149</f>
        <v>#REF!</v>
      </c>
      <c r="E154" s="18" t="e">
        <f>'25hike'!E154+IPI_plus!E149</f>
        <v>#REF!</v>
      </c>
      <c r="F154" s="18" t="e">
        <f>'25hike'!F154+IPI_plus!F149</f>
        <v>#REF!</v>
      </c>
      <c r="G154" s="18" t="e">
        <f>'25hike'!G154+IPI_plus!G149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'25hike'!C155+IPI_plus!C150</f>
        <v>#REF!</v>
      </c>
      <c r="D155" s="18" t="e">
        <f>'25hike'!D155+IPI_plus!D150</f>
        <v>#REF!</v>
      </c>
      <c r="E155" s="18" t="e">
        <f>'25hike'!E155+IPI_plus!E150</f>
        <v>#REF!</v>
      </c>
      <c r="F155" s="18" t="e">
        <f>'25hike'!F155+IPI_plus!F150</f>
        <v>#REF!</v>
      </c>
      <c r="G155" s="18" t="e">
        <f>'25hike'!G155+IPI_plus!G150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'25hike'!C156+IPI_plus!C151</f>
        <v>#REF!</v>
      </c>
      <c r="D156" s="18" t="e">
        <f>'25hike'!D156+IPI_plus!D151</f>
        <v>#REF!</v>
      </c>
      <c r="E156" s="18" t="e">
        <f>'25hike'!E156+IPI_plus!E151</f>
        <v>#REF!</v>
      </c>
      <c r="F156" s="18" t="e">
        <f>'25hike'!F156+IPI_plus!F151</f>
        <v>#REF!</v>
      </c>
      <c r="G156" s="18" t="e">
        <f>'25hike'!G156+IPI_plus!G151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'25hike'!C157+IPI_plus!C152</f>
        <v>#REF!</v>
      </c>
      <c r="D157" s="18" t="e">
        <f>'25hike'!D157+IPI_plus!D152</f>
        <v>#REF!</v>
      </c>
      <c r="E157" s="18" t="e">
        <f>'25hike'!E157+IPI_plus!E152</f>
        <v>#REF!</v>
      </c>
      <c r="F157" s="18" t="e">
        <f>'25hike'!F157+IPI_plus!F152</f>
        <v>#REF!</v>
      </c>
      <c r="G157" s="18" t="e">
        <f>'25hike'!G157+IPI_plus!G152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'25hike'!C158+IPI_plus!C153</f>
        <v>#REF!</v>
      </c>
      <c r="D158" s="18" t="e">
        <f>'25hike'!D158+IPI_plus!D153</f>
        <v>#REF!</v>
      </c>
      <c r="E158" s="18" t="e">
        <f>'25hike'!E158+IPI_plus!E153</f>
        <v>#REF!</v>
      </c>
      <c r="F158" s="18" t="e">
        <f>'25hike'!F158+IPI_plus!F153</f>
        <v>#REF!</v>
      </c>
      <c r="G158" s="18" t="e">
        <f>'25hike'!G158+IPI_plus!G153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'25hike'!C159+IPI_plus!C154</f>
        <v>#REF!</v>
      </c>
      <c r="D159" s="18" t="e">
        <f>'25hike'!D159+IPI_plus!D154</f>
        <v>#REF!</v>
      </c>
      <c r="E159" s="18" t="e">
        <f>'25hike'!E159+IPI_plus!E154</f>
        <v>#REF!</v>
      </c>
      <c r="F159" s="18" t="e">
        <f>'25hike'!F159+IPI_plus!F154</f>
        <v>#REF!</v>
      </c>
      <c r="G159" s="18" t="e">
        <f>'25hike'!G159+IPI_plus!G154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'25hike'!C160+IPI_plus!C155</f>
        <v>#REF!</v>
      </c>
      <c r="D160" s="18" t="e">
        <f>'25hike'!D160+IPI_plus!D155</f>
        <v>#REF!</v>
      </c>
      <c r="E160" s="18" t="e">
        <f>'25hike'!E160+IPI_plus!E155</f>
        <v>#REF!</v>
      </c>
      <c r="F160" s="18" t="e">
        <f>'25hike'!F160+IPI_plus!F155</f>
        <v>#REF!</v>
      </c>
      <c r="G160" s="18" t="e">
        <f>'25hike'!G160+IPI_plus!G155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'25hike'!C161+IPI_plus!C156</f>
        <v>#REF!</v>
      </c>
      <c r="D161" s="18" t="e">
        <f>'25hike'!D161+IPI_plus!D156</f>
        <v>#REF!</v>
      </c>
      <c r="E161" s="18" t="e">
        <f>'25hike'!E161+IPI_plus!E156</f>
        <v>#REF!</v>
      </c>
      <c r="F161" s="18" t="e">
        <f>'25hike'!F161+IPI_plus!F156</f>
        <v>#REF!</v>
      </c>
      <c r="G161" s="18" t="e">
        <f>'25hike'!G161+IPI_plus!G156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'25hike'!C162+IPI_plus!C157</f>
        <v>#REF!</v>
      </c>
      <c r="D162" s="18" t="e">
        <f>'25hike'!D162+IPI_plus!D157</f>
        <v>#REF!</v>
      </c>
      <c r="E162" s="18" t="e">
        <f>'25hike'!E162+IPI_plus!E157</f>
        <v>#REF!</v>
      </c>
      <c r="F162" s="18" t="e">
        <f>'25hike'!F162+IPI_plus!F157</f>
        <v>#REF!</v>
      </c>
      <c r="G162" s="18" t="e">
        <f>'25hike'!G162+IPI_plus!G157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'25hike'!C163+IPI_plus!C158</f>
        <v>#REF!</v>
      </c>
      <c r="D163" s="18" t="e">
        <f>'25hike'!D163+IPI_plus!D158</f>
        <v>#REF!</v>
      </c>
      <c r="E163" s="18" t="e">
        <f>'25hike'!E163+IPI_plus!E158</f>
        <v>#REF!</v>
      </c>
      <c r="F163" s="18" t="e">
        <f>'25hike'!F163+IPI_plus!F158</f>
        <v>#REF!</v>
      </c>
      <c r="G163" s="18" t="e">
        <f>'25hike'!G163+IPI_plus!G158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'25hike'!C164+IPI_plus!C159</f>
        <v>#REF!</v>
      </c>
      <c r="D164" s="18" t="e">
        <f>'25hike'!D164+IPI_plus!D159</f>
        <v>#REF!</v>
      </c>
      <c r="E164" s="18" t="e">
        <f>'25hike'!E164+IPI_plus!E159</f>
        <v>#REF!</v>
      </c>
      <c r="F164" s="18" t="e">
        <f>'25hike'!F164+IPI_plus!F159</f>
        <v>#REF!</v>
      </c>
      <c r="G164" s="18" t="e">
        <f>'25hike'!G164+IPI_plus!G159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'25hike'!C165+IPI_plus!C160</f>
        <v>#REF!</v>
      </c>
      <c r="D165" s="18" t="e">
        <f>'25hike'!D165+IPI_plus!D160</f>
        <v>#REF!</v>
      </c>
      <c r="E165" s="18" t="e">
        <f>'25hike'!E165+IPI_plus!E160</f>
        <v>#REF!</v>
      </c>
      <c r="F165" s="18" t="e">
        <f>'25hike'!F165+IPI_plus!F160</f>
        <v>#REF!</v>
      </c>
      <c r="G165" s="18" t="e">
        <f>'25hike'!G165+IPI_plus!G160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'25hike'!C166+IPI_plus!C161</f>
        <v>#REF!</v>
      </c>
      <c r="D166" s="18" t="e">
        <f>'25hike'!D166+IPI_plus!D161</f>
        <v>#REF!</v>
      </c>
      <c r="E166" s="18" t="e">
        <f>'25hike'!E166+IPI_plus!E161</f>
        <v>#REF!</v>
      </c>
      <c r="F166" s="18" t="e">
        <f>'25hike'!F166+IPI_plus!F161</f>
        <v>#REF!</v>
      </c>
      <c r="G166" s="18" t="e">
        <f>'25hike'!G166+IPI_plus!G161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'25hike'!C167+IPI_plus!C162</f>
        <v>#REF!</v>
      </c>
      <c r="D167" s="18" t="e">
        <f>'25hike'!D167+IPI_plus!D162</f>
        <v>#REF!</v>
      </c>
      <c r="E167" s="18" t="e">
        <f>'25hike'!E167+IPI_plus!E162</f>
        <v>#REF!</v>
      </c>
      <c r="F167" s="18" t="e">
        <f>'25hike'!F167+IPI_plus!F162</f>
        <v>#REF!</v>
      </c>
      <c r="G167" s="18" t="e">
        <f>'25hike'!G167+IPI_plus!G162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'25hike'!C168+IPI_plus!C163</f>
        <v>#REF!</v>
      </c>
      <c r="D168" s="18" t="e">
        <f>'25hike'!D168+IPI_plus!D163</f>
        <v>#REF!</v>
      </c>
      <c r="E168" s="18" t="e">
        <f>'25hike'!E168+IPI_plus!E163</f>
        <v>#REF!</v>
      </c>
      <c r="F168" s="18" t="e">
        <f>'25hike'!F168+IPI_plus!F163</f>
        <v>#REF!</v>
      </c>
      <c r="G168" s="18" t="e">
        <f>'25hike'!G168+IPI_plus!G163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'25hike'!C169+IPI_plus!C164</f>
        <v>#REF!</v>
      </c>
      <c r="D169" s="18" t="e">
        <f>'25hike'!D169+IPI_plus!D164</f>
        <v>#REF!</v>
      </c>
      <c r="E169" s="18" t="e">
        <f>'25hike'!E169+IPI_plus!E164</f>
        <v>#REF!</v>
      </c>
      <c r="F169" s="18" t="e">
        <f>'25hike'!F169+IPI_plus!F164</f>
        <v>#REF!</v>
      </c>
      <c r="G169" s="18" t="e">
        <f>'25hike'!G169+IPI_plus!G164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'25hike'!C170+IPI_plus!C165</f>
        <v>#REF!</v>
      </c>
      <c r="D170" s="18" t="e">
        <f>'25hike'!D170+IPI_plus!D165</f>
        <v>#REF!</v>
      </c>
      <c r="E170" s="18" t="e">
        <f>'25hike'!E170+IPI_plus!E165</f>
        <v>#REF!</v>
      </c>
      <c r="F170" s="18" t="e">
        <f>'25hike'!F170+IPI_plus!F165</f>
        <v>#REF!</v>
      </c>
      <c r="G170" s="18" t="e">
        <f>'25hike'!G170+IPI_plus!G165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'25hike'!C171+IPI_plus!C166</f>
        <v>#REF!</v>
      </c>
      <c r="D171" s="18" t="e">
        <f>'25hike'!D171+IPI_plus!D166</f>
        <v>#REF!</v>
      </c>
      <c r="E171" s="18" t="e">
        <f>'25hike'!E171+IPI_plus!E166</f>
        <v>#REF!</v>
      </c>
      <c r="F171" s="18" t="e">
        <f>'25hike'!F171+IPI_plus!F166</f>
        <v>#REF!</v>
      </c>
      <c r="G171" s="18" t="e">
        <f>'25hike'!G171+IPI_plus!G166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'25hike'!C172+IPI_plus!C167</f>
        <v>#REF!</v>
      </c>
      <c r="D172" s="18" t="e">
        <f>'25hike'!D172+IPI_plus!D167</f>
        <v>#REF!</v>
      </c>
      <c r="E172" s="18" t="e">
        <f>'25hike'!E172+IPI_plus!E167</f>
        <v>#REF!</v>
      </c>
      <c r="F172" s="18" t="e">
        <f>'25hike'!F172+IPI_plus!F167</f>
        <v>#REF!</v>
      </c>
      <c r="G172" s="18" t="e">
        <f>'25hike'!G172+IPI_plus!G167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'25hike'!C173+IPI_plus!C168</f>
        <v>#REF!</v>
      </c>
      <c r="D173" s="18" t="e">
        <f>'25hike'!D173+IPI_plus!D168</f>
        <v>#REF!</v>
      </c>
      <c r="E173" s="18" t="e">
        <f>'25hike'!E173+IPI_plus!E168</f>
        <v>#REF!</v>
      </c>
      <c r="F173" s="18" t="e">
        <f>'25hike'!F173+IPI_plus!F168</f>
        <v>#REF!</v>
      </c>
      <c r="G173" s="18" t="e">
        <f>'25hike'!G173+IPI_plus!G168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'25hike'!C174+IPI_plus!C169</f>
        <v>#REF!</v>
      </c>
      <c r="D174" s="18" t="e">
        <f>'25hike'!D174+IPI_plus!D169</f>
        <v>#REF!</v>
      </c>
      <c r="E174" s="18" t="e">
        <f>'25hike'!E174+IPI_plus!E169</f>
        <v>#REF!</v>
      </c>
      <c r="F174" s="18" t="e">
        <f>'25hike'!F174+IPI_plus!F169</f>
        <v>#REF!</v>
      </c>
      <c r="G174" s="18" t="e">
        <f>'25hike'!G174+IPI_plus!G169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'25hike'!C175+IPI_plus!C170</f>
        <v>#REF!</v>
      </c>
      <c r="D175" s="18" t="e">
        <f>'25hike'!D175+IPI_plus!D170</f>
        <v>#REF!</v>
      </c>
      <c r="E175" s="18" t="e">
        <f>'25hike'!E175+IPI_plus!E170</f>
        <v>#REF!</v>
      </c>
      <c r="F175" s="18" t="e">
        <f>'25hike'!F175+IPI_plus!F170</f>
        <v>#REF!</v>
      </c>
      <c r="G175" s="18" t="e">
        <f>'25hike'!G175+IPI_plus!G170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'25hike'!C176+IPI_plus!C171</f>
        <v>#REF!</v>
      </c>
      <c r="D176" s="18" t="e">
        <f>'25hike'!D176+IPI_plus!D171</f>
        <v>#REF!</v>
      </c>
      <c r="E176" s="18" t="e">
        <f>'25hike'!E176+IPI_plus!E171</f>
        <v>#REF!</v>
      </c>
      <c r="F176" s="18" t="e">
        <f>'25hike'!F176+IPI_plus!F171</f>
        <v>#REF!</v>
      </c>
      <c r="G176" s="18" t="e">
        <f>'25hike'!G176+IPI_plus!G171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'25hike'!C177+IPI_plus!C172</f>
        <v>#REF!</v>
      </c>
      <c r="D177" s="18" t="e">
        <f>'25hike'!D177+IPI_plus!D172</f>
        <v>#REF!</v>
      </c>
      <c r="E177" s="18" t="e">
        <f>'25hike'!E177+IPI_plus!E172</f>
        <v>#REF!</v>
      </c>
      <c r="F177" s="18" t="e">
        <f>'25hike'!F177+IPI_plus!F172</f>
        <v>#REF!</v>
      </c>
      <c r="G177" s="18" t="e">
        <f>'25hike'!G177+IPI_plus!G172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'25hike'!C178+IPI_plus!C173</f>
        <v>#REF!</v>
      </c>
      <c r="D178" s="18" t="e">
        <f>'25hike'!D178+IPI_plus!D173</f>
        <v>#REF!</v>
      </c>
      <c r="E178" s="18" t="e">
        <f>'25hike'!E178+IPI_plus!E173</f>
        <v>#REF!</v>
      </c>
      <c r="F178" s="18" t="e">
        <f>'25hike'!F178+IPI_plus!F173</f>
        <v>#REF!</v>
      </c>
      <c r="G178" s="18" t="e">
        <f>'25hike'!G178+IPI_plus!G173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'25hike'!C179+IPI_plus!C174</f>
        <v>#REF!</v>
      </c>
      <c r="D179" s="18" t="e">
        <f>'25hike'!D179+IPI_plus!D174</f>
        <v>#REF!</v>
      </c>
      <c r="E179" s="18" t="e">
        <f>'25hike'!E179+IPI_plus!E174</f>
        <v>#REF!</v>
      </c>
      <c r="F179" s="18" t="e">
        <f>'25hike'!F179+IPI_plus!F174</f>
        <v>#REF!</v>
      </c>
      <c r="G179" s="18" t="e">
        <f>'25hike'!G179+IPI_plus!G174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'25hike'!C180+IPI_plus!C175</f>
        <v>#REF!</v>
      </c>
      <c r="D180" s="18" t="e">
        <f>'25hike'!D180+IPI_plus!D175</f>
        <v>#REF!</v>
      </c>
      <c r="E180" s="18" t="e">
        <f>'25hike'!E180+IPI_plus!E175</f>
        <v>#REF!</v>
      </c>
      <c r="F180" s="18" t="e">
        <f>'25hike'!F180+IPI_plus!F175</f>
        <v>#REF!</v>
      </c>
      <c r="G180" s="18" t="e">
        <f>'25hike'!G180+IPI_plus!G175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'25hike'!C181+IPI_plus!C176</f>
        <v>#REF!</v>
      </c>
      <c r="D181" s="18" t="e">
        <f>'25hike'!D181+IPI_plus!D176</f>
        <v>#REF!</v>
      </c>
      <c r="E181" s="18" t="e">
        <f>'25hike'!E181+IPI_plus!E176</f>
        <v>#REF!</v>
      </c>
      <c r="F181" s="18" t="e">
        <f>'25hike'!F181+IPI_plus!F176</f>
        <v>#REF!</v>
      </c>
      <c r="G181" s="18" t="e">
        <f>'25hike'!G181+IPI_plus!G176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'25hike'!C182+IPI_plus!C177</f>
        <v>#REF!</v>
      </c>
      <c r="D182" s="18" t="e">
        <f>'25hike'!D182+IPI_plus!D177</f>
        <v>#REF!</v>
      </c>
      <c r="E182" s="18" t="e">
        <f>'25hike'!E182+IPI_plus!E177</f>
        <v>#REF!</v>
      </c>
      <c r="F182" s="18" t="e">
        <f>'25hike'!F182+IPI_plus!F177</f>
        <v>#REF!</v>
      </c>
      <c r="G182" s="18" t="e">
        <f>'25hike'!G182+IPI_plus!G177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'25hike'!C183+IPI_plus!C178</f>
        <v>#REF!</v>
      </c>
      <c r="D183" s="18" t="e">
        <f>'25hike'!D183+IPI_plus!D178</f>
        <v>#REF!</v>
      </c>
      <c r="E183" s="18" t="e">
        <f>'25hike'!E183+IPI_plus!E178</f>
        <v>#REF!</v>
      </c>
      <c r="F183" s="18" t="e">
        <f>'25hike'!F183+IPI_plus!F178</f>
        <v>#REF!</v>
      </c>
      <c r="G183" s="18" t="e">
        <f>'25hike'!G183+IPI_plus!G178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'25hike'!C184+IPI_plus!C179</f>
        <v>#REF!</v>
      </c>
      <c r="D184" s="18" t="e">
        <f>'25hike'!D184+IPI_plus!D179</f>
        <v>#REF!</v>
      </c>
      <c r="E184" s="18" t="e">
        <f>'25hike'!E184+IPI_plus!E179</f>
        <v>#REF!</v>
      </c>
      <c r="F184" s="18" t="e">
        <f>'25hike'!F184+IPI_plus!F179</f>
        <v>#REF!</v>
      </c>
      <c r="G184" s="18" t="e">
        <f>'25hike'!G184+IPI_plus!G179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'25hike'!C185+IPI_plus!C180</f>
        <v>#REF!</v>
      </c>
      <c r="D185" s="18" t="e">
        <f>'25hike'!D185+IPI_plus!D180</f>
        <v>#REF!</v>
      </c>
      <c r="E185" s="18" t="e">
        <f>'25hike'!E185+IPI_plus!E180</f>
        <v>#REF!</v>
      </c>
      <c r="F185" s="18" t="e">
        <f>'25hike'!F185+IPI_plus!F180</f>
        <v>#REF!</v>
      </c>
      <c r="G185" s="18" t="e">
        <f>'25hike'!G185+IPI_plus!G180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'25hike'!C186+IPI_plus!C181</f>
        <v>#REF!</v>
      </c>
      <c r="D186" s="18" t="e">
        <f>'25hike'!D186+IPI_plus!D181</f>
        <v>#REF!</v>
      </c>
      <c r="E186" s="18" t="e">
        <f>'25hike'!E186+IPI_plus!E181</f>
        <v>#REF!</v>
      </c>
      <c r="F186" s="18" t="e">
        <f>'25hike'!F186+IPI_plus!F181</f>
        <v>#REF!</v>
      </c>
      <c r="G186" s="18" t="e">
        <f>'25hike'!G186+IPI_plus!G181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'25hike'!C187+IPI_plus!C182</f>
        <v>#REF!</v>
      </c>
      <c r="D187" s="18" t="e">
        <f>'25hike'!D187+IPI_plus!D182</f>
        <v>#REF!</v>
      </c>
      <c r="E187" s="18" t="e">
        <f>'25hike'!E187+IPI_plus!E182</f>
        <v>#REF!</v>
      </c>
      <c r="F187" s="18" t="e">
        <f>'25hike'!F187+IPI_plus!F182</f>
        <v>#REF!</v>
      </c>
      <c r="G187" s="18" t="e">
        <f>'25hike'!G187+IPI_plus!G182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'25hike'!C188+IPI_plus!C183</f>
        <v>#REF!</v>
      </c>
      <c r="D188" s="18" t="e">
        <f>'25hike'!D188+IPI_plus!D183</f>
        <v>#REF!</v>
      </c>
      <c r="E188" s="18" t="e">
        <f>'25hike'!E188+IPI_plus!E183</f>
        <v>#REF!</v>
      </c>
      <c r="F188" s="18" t="e">
        <f>'25hike'!F188+IPI_plus!F183</f>
        <v>#REF!</v>
      </c>
      <c r="G188" s="18" t="e">
        <f>'25hike'!G188+IPI_plus!G183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'25hike'!C189+IPI_plus!C184</f>
        <v>#REF!</v>
      </c>
      <c r="D189" s="18" t="e">
        <f>'25hike'!D189+IPI_plus!D184</f>
        <v>#REF!</v>
      </c>
      <c r="E189" s="18" t="e">
        <f>'25hike'!E189+IPI_plus!E184</f>
        <v>#REF!</v>
      </c>
      <c r="F189" s="18" t="e">
        <f>'25hike'!F189+IPI_plus!F184</f>
        <v>#REF!</v>
      </c>
      <c r="G189" s="18" t="e">
        <f>'25hike'!G189+IPI_plus!G184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'25hike'!C190+IPI_plus!C185</f>
        <v>#REF!</v>
      </c>
      <c r="D190" s="18" t="e">
        <f>'25hike'!D190+IPI_plus!D185</f>
        <v>#REF!</v>
      </c>
      <c r="E190" s="18" t="e">
        <f>'25hike'!E190+IPI_plus!E185</f>
        <v>#REF!</v>
      </c>
      <c r="F190" s="18" t="e">
        <f>'25hike'!F190+IPI_plus!F185</f>
        <v>#REF!</v>
      </c>
      <c r="G190" s="18" t="e">
        <f>'25hike'!G190+IPI_plus!G185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'25hike'!C191+IPI_plus!C186</f>
        <v>#REF!</v>
      </c>
      <c r="D191" s="18" t="e">
        <f>'25hike'!D191+IPI_plus!D186</f>
        <v>#REF!</v>
      </c>
      <c r="E191" s="18" t="e">
        <f>'25hike'!E191+IPI_plus!E186</f>
        <v>#REF!</v>
      </c>
      <c r="F191" s="18" t="e">
        <f>'25hike'!F191+IPI_plus!F186</f>
        <v>#REF!</v>
      </c>
      <c r="G191" s="18" t="e">
        <f>'25hike'!G191+IPI_plus!G186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'25hike'!C192+IPI_plus!C187</f>
        <v>#REF!</v>
      </c>
      <c r="D192" s="18" t="e">
        <f>'25hike'!D192+IPI_plus!D187</f>
        <v>#REF!</v>
      </c>
      <c r="E192" s="18" t="e">
        <f>'25hike'!E192+IPI_plus!E187</f>
        <v>#REF!</v>
      </c>
      <c r="F192" s="18" t="e">
        <f>'25hike'!F192+IPI_plus!F187</f>
        <v>#REF!</v>
      </c>
      <c r="G192" s="18" t="e">
        <f>'25hike'!G192+IPI_plus!G187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'25hike'!C193+IPI_plus!C188</f>
        <v>#REF!</v>
      </c>
      <c r="D193" s="18" t="e">
        <f>'25hike'!D193+IPI_plus!D188</f>
        <v>#REF!</v>
      </c>
      <c r="E193" s="18" t="e">
        <f>'25hike'!E193+IPI_plus!E188</f>
        <v>#REF!</v>
      </c>
      <c r="F193" s="18" t="e">
        <f>'25hike'!F193+IPI_plus!F188</f>
        <v>#REF!</v>
      </c>
      <c r="G193" s="18" t="e">
        <f>'25hike'!G193+IPI_plus!G188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'25hike'!C194+IPI_plus!C189</f>
        <v>#REF!</v>
      </c>
      <c r="D194" s="18" t="e">
        <f>'25hike'!D194+IPI_plus!D189</f>
        <v>#REF!</v>
      </c>
      <c r="E194" s="18" t="e">
        <f>'25hike'!E194+IPI_plus!E189</f>
        <v>#REF!</v>
      </c>
      <c r="F194" s="18" t="e">
        <f>'25hike'!F194+IPI_plus!F189</f>
        <v>#REF!</v>
      </c>
      <c r="G194" s="18" t="e">
        <f>'25hike'!G194+IPI_plus!G189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'25hike'!C195+IPI_plus!C190</f>
        <v>#REF!</v>
      </c>
      <c r="D195" s="18" t="e">
        <f>'25hike'!D195+IPI_plus!D190</f>
        <v>#REF!</v>
      </c>
      <c r="E195" s="18" t="e">
        <f>'25hike'!E195+IPI_plus!E190</f>
        <v>#REF!</v>
      </c>
      <c r="F195" s="18" t="e">
        <f>'25hike'!F195+IPI_plus!F190</f>
        <v>#REF!</v>
      </c>
      <c r="G195" s="18" t="e">
        <f>'25hike'!G195+IPI_plus!G190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1" si="152">A195+0.25</f>
        <v>47.5</v>
      </c>
      <c r="B196" s="4">
        <f t="shared" ref="B196:B201" si="153">B195</f>
        <v>0</v>
      </c>
      <c r="C196" s="18" t="e">
        <f>'25hike'!C196+IPI_plus!C191</f>
        <v>#REF!</v>
      </c>
      <c r="D196" s="18" t="e">
        <f>'25hike'!D196+IPI_plus!D191</f>
        <v>#REF!</v>
      </c>
      <c r="E196" s="18" t="e">
        <f>'25hike'!E196+IPI_plus!E191</f>
        <v>#REF!</v>
      </c>
      <c r="F196" s="18" t="e">
        <f>'25hike'!F196+IPI_plus!F191</f>
        <v>#REF!</v>
      </c>
      <c r="G196" s="18" t="e">
        <f>'25hike'!G196+IPI_plus!G191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'25hike'!C197+IPI_plus!C192</f>
        <v>#REF!</v>
      </c>
      <c r="D197" s="18" t="e">
        <f>'25hike'!D197+IPI_plus!D192</f>
        <v>#REF!</v>
      </c>
      <c r="E197" s="18" t="e">
        <f>'25hike'!E197+IPI_plus!E192</f>
        <v>#REF!</v>
      </c>
      <c r="F197" s="18" t="e">
        <f>'25hike'!F197+IPI_plus!F192</f>
        <v>#REF!</v>
      </c>
      <c r="G197" s="18" t="e">
        <f>'25hike'!G197+IPI_plus!G192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'25hike'!C198+IPI_plus!C193</f>
        <v>#REF!</v>
      </c>
      <c r="D198" s="18" t="e">
        <f>'25hike'!D198+IPI_plus!D193</f>
        <v>#REF!</v>
      </c>
      <c r="E198" s="18" t="e">
        <f>'25hike'!E198+IPI_plus!E193</f>
        <v>#REF!</v>
      </c>
      <c r="F198" s="18" t="e">
        <f>'25hike'!F198+IPI_plus!F193</f>
        <v>#REF!</v>
      </c>
      <c r="G198" s="18" t="e">
        <f>'25hike'!G198+IPI_plus!G193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'25hike'!C199+IPI_plus!C194</f>
        <v>#REF!</v>
      </c>
      <c r="D199" s="18" t="e">
        <f>'25hike'!D199+IPI_plus!D194</f>
        <v>#REF!</v>
      </c>
      <c r="E199" s="18" t="e">
        <f>'25hike'!E199+IPI_plus!E194</f>
        <v>#REF!</v>
      </c>
      <c r="F199" s="18" t="e">
        <f>'25hike'!F199+IPI_plus!F194</f>
        <v>#REF!</v>
      </c>
      <c r="G199" s="18" t="e">
        <f>'25hike'!G199+IPI_plus!G194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'25hike'!C200+IPI_plus!C195</f>
        <v>#REF!</v>
      </c>
      <c r="D200" s="18" t="e">
        <f>'25hike'!D200+IPI_plus!D195</f>
        <v>#REF!</v>
      </c>
      <c r="E200" s="18" t="e">
        <f>'25hike'!E200+IPI_plus!E195</f>
        <v>#REF!</v>
      </c>
      <c r="F200" s="18" t="e">
        <f>'25hike'!F200+IPI_plus!F195</f>
        <v>#REF!</v>
      </c>
      <c r="G200" s="18" t="e">
        <f>'25hike'!G200+IPI_plus!G195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49C01-89B1-400E-A6E8-44B2BE16F579}">
  <sheetPr codeName="Sheet7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10" sqref="G10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f>'25hike'!C7</f>
        <v>0.36708716631807436</v>
      </c>
      <c r="D7" s="14">
        <f>'25hike'!D7</f>
        <v>2.1000997260942427</v>
      </c>
      <c r="E7" s="14">
        <f>'25hike'!E7</f>
        <v>1.8049776316410207</v>
      </c>
      <c r="F7" s="14">
        <f>'25hike'!F7</f>
        <v>1.4769788563040886</v>
      </c>
      <c r="G7" s="14">
        <f>'25hike'!G7</f>
        <v>0.50441327106219147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f>'25hike'!C8</f>
        <v>0.35650182343746345</v>
      </c>
      <c r="D8" s="14">
        <f>'25hike'!D8</f>
        <v>2.1381291896590771</v>
      </c>
      <c r="E8" s="14">
        <f>'25hike'!E8</f>
        <v>1.8444747356646456</v>
      </c>
      <c r="F8" s="14">
        <f>'25hike'!F8</f>
        <v>1.5364823863060377</v>
      </c>
      <c r="G8" s="14">
        <f>'25hike'!G8</f>
        <v>0.69892739665131642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f>'25hike'!C9</f>
        <v>0.31620558781400043</v>
      </c>
      <c r="D9" s="14">
        <f>'25hike'!D9</f>
        <v>2.1349086255526699</v>
      </c>
      <c r="E9" s="14">
        <f>'25hike'!E9</f>
        <v>1.8658800774563511</v>
      </c>
      <c r="F9" s="14">
        <f>'25hike'!F9</f>
        <v>1.5903407478382345</v>
      </c>
      <c r="G9" s="14">
        <f>'25hike'!G9</f>
        <v>0.78030358720716331</v>
      </c>
      <c r="H9" s="16">
        <f t="shared" si="2"/>
        <v>2</v>
      </c>
      <c r="I9" s="16">
        <f t="shared" si="2"/>
        <v>0.75</v>
      </c>
      <c r="J9" s="16">
        <v>100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'25hike'!C10+IPI_plus!C2</f>
        <v>0.22888127304775652</v>
      </c>
      <c r="D10" s="18">
        <f>'25hike'!D10+IPI_plus!D2</f>
        <v>2.7669244804456943</v>
      </c>
      <c r="E10" s="18">
        <f>'25hike'!E10+IPI_plus!E2</f>
        <v>2.047651624985539</v>
      </c>
      <c r="F10" s="18">
        <f>'25hike'!F10+IPI_plus!F2</f>
        <v>1.6962332837729057</v>
      </c>
      <c r="G10" s="18">
        <f>'25hike'!G10+IPI_plus!G2</f>
        <v>1.1931669345804958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'25hike'!C11+IPI_plus!C3</f>
        <v>0.12261260837788995</v>
      </c>
      <c r="D11" s="18">
        <f>'25hike'!D11+IPI_plus!D3</f>
        <v>2.4922031619802252</v>
      </c>
      <c r="E11" s="18">
        <f>'25hike'!E11+IPI_plus!E3</f>
        <v>2.0680134690110479</v>
      </c>
      <c r="F11" s="18">
        <f>'25hike'!F11+IPI_plus!F3</f>
        <v>1.7678705728115647</v>
      </c>
      <c r="G11" s="18">
        <f>'25hike'!G11+IPI_plus!G3</f>
        <v>1.1375943738853662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'25hike'!C12+IPI_plus!C4</f>
        <v>4.5317230548217985E-2</v>
      </c>
      <c r="D12" s="18">
        <f>'25hike'!D12+IPI_plus!D4</f>
        <v>2.2032597081119789</v>
      </c>
      <c r="E12" s="18">
        <f>'25hike'!E12+IPI_plus!E4</f>
        <v>1.9902804526817994</v>
      </c>
      <c r="F12" s="18">
        <f>'25hike'!F12+IPI_plus!F4</f>
        <v>1.807055594988602</v>
      </c>
      <c r="G12" s="18">
        <f>'25hike'!G12+IPI_plus!G4</f>
        <v>0.88842984606779785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'25hike'!C13+IPI_plus!C5</f>
        <v>1.4149264600842704E-2</v>
      </c>
      <c r="D13" s="18">
        <f>'25hike'!D13+IPI_plus!D5</f>
        <v>2.0410038056925623</v>
      </c>
      <c r="E13" s="18">
        <f>'25hike'!E13+IPI_plus!E5</f>
        <v>1.9390204040450829</v>
      </c>
      <c r="F13" s="18">
        <f>'25hike'!F13+IPI_plus!F5</f>
        <v>1.8281109339519586</v>
      </c>
      <c r="G13" s="18">
        <f>'25hike'!G13+IPI_plus!G5</f>
        <v>0.67506427331562646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'25hike'!C14+IPI_plus!C6</f>
        <v>1.9100664587640051E-2</v>
      </c>
      <c r="D14" s="18">
        <f>'25hike'!D14+IPI_plus!D6</f>
        <v>1.9812073166884199</v>
      </c>
      <c r="E14" s="18">
        <f>'25hike'!E14+IPI_plus!E6</f>
        <v>1.9224470405817062</v>
      </c>
      <c r="F14" s="18">
        <f>'25hike'!F14+IPI_plus!F6</f>
        <v>1.8418896083982401</v>
      </c>
      <c r="G14" s="18">
        <f>'25hike'!G14+IPI_plus!G6</f>
        <v>0.57356050524271085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'25hike'!C15+IPI_plus!C7</f>
        <v>4.0493225571300723E-2</v>
      </c>
      <c r="D15" s="18">
        <f>'25hike'!D15+IPI_plus!D7</f>
        <v>1.9779360860975941</v>
      </c>
      <c r="E15" s="18">
        <f>'25hike'!E15+IPI_plus!E7</f>
        <v>1.9268787351516625</v>
      </c>
      <c r="F15" s="18">
        <f>'25hike'!F15+IPI_plus!F7</f>
        <v>1.854133791391182</v>
      </c>
      <c r="G15" s="18">
        <f>'25hike'!G15+IPI_plus!G7</f>
        <v>0.56891151583238364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'25hike'!C16+IPI_plus!C8</f>
        <v>6.1767423650523012E-2</v>
      </c>
      <c r="D16" s="18">
        <f>'25hike'!D16+IPI_plus!D8</f>
        <v>1.9957706900546517</v>
      </c>
      <c r="E16" s="18">
        <f>'25hike'!E16+IPI_plus!E8</f>
        <v>1.939415809390225</v>
      </c>
      <c r="F16" s="18">
        <f>'25hike'!F16+IPI_plus!F8</f>
        <v>1.8668811122708941</v>
      </c>
      <c r="G16" s="18">
        <f>'25hike'!G16+IPI_plus!G8</f>
        <v>0.61602904101726641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'25hike'!C17+IPI_plus!C9</f>
        <v>7.4263312532783385E-2</v>
      </c>
      <c r="D17" s="18">
        <f>'25hike'!D17+IPI_plus!D9</f>
        <v>2.0143058773289528</v>
      </c>
      <c r="E17" s="18">
        <f>'25hike'!E17+IPI_plus!E9</f>
        <v>1.9521879710526879</v>
      </c>
      <c r="F17" s="18">
        <f>'25hike'!F17+IPI_plus!F9</f>
        <v>1.8801493411261196</v>
      </c>
      <c r="G17" s="18">
        <f>'25hike'!G17+IPI_plus!G9</f>
        <v>0.67426045896973774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'25hike'!C18+IPI_plus!C10</f>
        <v>7.6470579004032757E-2</v>
      </c>
      <c r="D18" s="18">
        <f>'25hike'!D18+IPI_plus!D10</f>
        <v>2.0252806851742076</v>
      </c>
      <c r="E18" s="18">
        <f>'25hike'!E18+IPI_plus!E10</f>
        <v>1.9618487568997671</v>
      </c>
      <c r="F18" s="18">
        <f>'25hike'!F18+IPI_plus!F10</f>
        <v>1.8932111620904473</v>
      </c>
      <c r="G18" s="18">
        <f>'25hike'!G18+IPI_plus!G10</f>
        <v>0.71984845158770649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'25hike'!C19+IPI_plus!C11</f>
        <v>7.1042246739490056E-2</v>
      </c>
      <c r="D19" s="18">
        <f>'25hike'!D19+IPI_plus!D11</f>
        <v>2.0279907225024041</v>
      </c>
      <c r="E19" s="18">
        <f>'25hike'!E19+IPI_plus!E11</f>
        <v>1.9679688200195504</v>
      </c>
      <c r="F19" s="18">
        <f>'25hike'!F19+IPI_plus!F11</f>
        <v>1.9053413225275235</v>
      </c>
      <c r="G19" s="18">
        <f>'25hike'!G19+IPI_plus!G11</f>
        <v>0.74532583275143682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'25hike'!C20+IPI_plus!C12</f>
        <v>6.1858716099209773E-2</v>
      </c>
      <c r="D20" s="18">
        <f>'25hike'!D20+IPI_plus!D12</f>
        <v>2.0251372832586076</v>
      </c>
      <c r="E20" s="18">
        <f>'25hike'!E20+IPI_plus!E12</f>
        <v>1.971487975830458</v>
      </c>
      <c r="F20" s="18">
        <f>'25hike'!F20+IPI_plus!F12</f>
        <v>1.9161229589933211</v>
      </c>
      <c r="G20" s="18">
        <f>'25hike'!G20+IPI_plus!G12</f>
        <v>0.75356612136811252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'25hike'!C21+IPI_plus!C13</f>
        <v>5.2156170493165857E-2</v>
      </c>
      <c r="D21" s="18">
        <f>'25hike'!D21+IPI_plus!D13</f>
        <v>2.0199853640802297</v>
      </c>
      <c r="E21" s="18">
        <f>'25hike'!E21+IPI_plus!E13</f>
        <v>1.9736291395026966</v>
      </c>
      <c r="F21" s="18">
        <f>'25hike'!F21+IPI_plus!F13</f>
        <v>1.925470575451143</v>
      </c>
      <c r="G21" s="18">
        <f>'25hike'!G21+IPI_plus!G13</f>
        <v>0.75147564703832515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'25hike'!C22+IPI_plus!C14</f>
        <v>4.3813330057643263E-2</v>
      </c>
      <c r="D22" s="18">
        <f>'25hike'!D22+IPI_plus!D14</f>
        <v>2.0149321591603853</v>
      </c>
      <c r="E22" s="18">
        <f>'25hike'!E22+IPI_plus!E14</f>
        <v>1.9753333921597584</v>
      </c>
      <c r="F22" s="18">
        <f>'25hike'!F22+IPI_plus!F14</f>
        <v>1.9335221179849749</v>
      </c>
      <c r="G22" s="18">
        <f>'25hike'!G22+IPI_plus!G14</f>
        <v>0.74564766836570817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'25hike'!C23+IPI_plus!C15</f>
        <v>3.7441268744857842E-2</v>
      </c>
      <c r="D23" s="18">
        <f>'25hike'!D23+IPI_plus!D15</f>
        <v>2.0111502835285799</v>
      </c>
      <c r="E23" s="18">
        <f>'25hike'!E23+IPI_plus!E15</f>
        <v>1.9771005404231226</v>
      </c>
      <c r="F23" s="18">
        <f>'25hike'!F23+IPI_plus!F15</f>
        <v>1.9405086528838993</v>
      </c>
      <c r="G23" s="18">
        <f>'25hike'!G23+IPI_plus!G15</f>
        <v>0.74038741284116005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'25hike'!C24+IPI_plus!C16</f>
        <v>3.2834754172940128E-2</v>
      </c>
      <c r="D24" s="18">
        <f>'25hike'!D24+IPI_plus!D16</f>
        <v>2.0088328413027083</v>
      </c>
      <c r="E24" s="18">
        <f>'25hike'!E24+IPI_plus!E16</f>
        <v>1.9790631205678149</v>
      </c>
      <c r="F24" s="18">
        <f>'25hike'!F24+IPI_plus!F16</f>
        <v>1.9466578298415922</v>
      </c>
      <c r="G24" s="18">
        <f>'25hike'!G24+IPI_plus!G16</f>
        <v>0.73751420476720964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'25hike'!C25+IPI_plus!C17</f>
        <v>2.9452298551730823E-2</v>
      </c>
      <c r="D25" s="18">
        <f>'25hike'!D25+IPI_plus!D17</f>
        <v>2.0076352389276293</v>
      </c>
      <c r="E25" s="18">
        <f>'25hike'!E25+IPI_plus!E17</f>
        <v>1.9811428455029285</v>
      </c>
      <c r="F25" s="18">
        <f>'25hike'!F25+IPI_plus!F17</f>
        <v>1.9521457966593356</v>
      </c>
      <c r="G25" s="18">
        <f>'25hike'!G25+IPI_plus!G17</f>
        <v>0.73707538018487406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'25hike'!C26+IPI_plus!C18</f>
        <v>2.6754970645205267E-2</v>
      </c>
      <c r="D26" s="18">
        <f>'25hike'!D26+IPI_plus!D18</f>
        <v>2.0070630253810133</v>
      </c>
      <c r="E26" s="18">
        <f>'25hike'!E26+IPI_plus!E18</f>
        <v>1.9831937554327197</v>
      </c>
      <c r="F26" s="18">
        <f>'25hike'!F26+IPI_plus!F18</f>
        <v>1.9570883472442866</v>
      </c>
      <c r="G26" s="18">
        <f>'25hike'!G26+IPI_plus!G18</f>
        <v>0.73826227932109079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'25hike'!C27+IPI_plus!C19</f>
        <v>2.4368128109046414E-2</v>
      </c>
      <c r="D27" s="18">
        <f>'25hike'!D27+IPI_plus!D19</f>
        <v>2.0067065227893242</v>
      </c>
      <c r="E27" s="18">
        <f>'25hike'!E27+IPI_plus!E19</f>
        <v>1.9850917244376063</v>
      </c>
      <c r="F27" s="18">
        <f>'25hike'!F27+IPI_plus!F19</f>
        <v>1.9615539830433397</v>
      </c>
      <c r="G27" s="18">
        <f>'25hike'!G27+IPI_plus!G19</f>
        <v>0.74012456217622657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'25hike'!C28+IPI_plus!C20</f>
        <v>2.2106223398969716E-2</v>
      </c>
      <c r="D28" s="18">
        <f>'25hike'!D28+IPI_plus!D20</f>
        <v>2.0063252631453925</v>
      </c>
      <c r="E28" s="18">
        <f>'25hike'!E28+IPI_plus!E20</f>
        <v>1.9867693093022887</v>
      </c>
      <c r="F28" s="18">
        <f>'25hike'!F28+IPI_plus!F20</f>
        <v>1.9655833982525248</v>
      </c>
      <c r="G28" s="18">
        <f>'25hike'!G28+IPI_plus!G20</f>
        <v>0.74195584908901457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'25hike'!C29+IPI_plus!C21</f>
        <v>1.9924291699982451E-2</v>
      </c>
      <c r="D29" s="18">
        <f>'25hike'!D29+IPI_plus!D21</f>
        <v>2.0058335635884808</v>
      </c>
      <c r="E29" s="18">
        <f>'25hike'!E29+IPI_plus!E21</f>
        <v>1.988212684870625</v>
      </c>
      <c r="F29" s="18">
        <f>'25hike'!F29+IPI_plus!F21</f>
        <v>1.9692059131327606</v>
      </c>
      <c r="G29" s="18">
        <f>'25hike'!G29+IPI_plus!G21</f>
        <v>0.74339754096143396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'25hike'!C30+IPI_plus!C22</f>
        <v>1.7850103257016189E-2</v>
      </c>
      <c r="D30" s="18">
        <f>'25hike'!D30+IPI_plus!D22</f>
        <v>2.0052424784065948</v>
      </c>
      <c r="E30" s="18">
        <f>'25hike'!E30+IPI_plus!E22</f>
        <v>1.9894422137182997</v>
      </c>
      <c r="F30" s="18">
        <f>'25hike'!F30+IPI_plus!F22</f>
        <v>1.9724492040074058</v>
      </c>
      <c r="G30" s="18">
        <f>'25hike'!G30+IPI_plus!G22</f>
        <v>0.74437383134435597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'25hike'!C31+IPI_plus!C23</f>
        <v>1.5929218370758082E-2</v>
      </c>
      <c r="D31" s="18">
        <f>'25hike'!D31+IPI_plus!D23</f>
        <v>2.0046012385041441</v>
      </c>
      <c r="E31" s="18">
        <f>'25hike'!E31+IPI_plus!E23</f>
        <v>1.9904898774662461</v>
      </c>
      <c r="F31" s="18">
        <f>'25hike'!F31+IPI_plus!F23</f>
        <v>1.9753428871121121</v>
      </c>
      <c r="G31" s="18">
        <f>'25hike'!G31+IPI_plus!G23</f>
        <v>0.744968224797251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'25hike'!C32+IPI_plus!C24</f>
        <v>1.4193673069476873E-2</v>
      </c>
      <c r="D32" s="18">
        <f>'25hike'!D32+IPI_plus!D24</f>
        <v>2.0039538433806641</v>
      </c>
      <c r="E32" s="18">
        <f>'25hike'!E32+IPI_plus!E24</f>
        <v>1.9913850837159284</v>
      </c>
      <c r="F32" s="18">
        <f>'25hike'!F32+IPI_plus!F24</f>
        <v>1.9779178731762821</v>
      </c>
      <c r="G32" s="18">
        <f>'25hike'!G32+IPI_plus!G24</f>
        <v>0.74530987680695338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'25hike'!C33+IPI_plus!C25</f>
        <v>1.2652554008913913E-2</v>
      </c>
      <c r="D33" s="18">
        <f>'25hike'!D33+IPI_plus!D25</f>
        <v>2.0033223442429922</v>
      </c>
      <c r="E33" s="18">
        <f>'25hike'!E33+IPI_plus!E25</f>
        <v>1.9921434818466708</v>
      </c>
      <c r="F33" s="18">
        <f>'25hike'!F33+IPI_plus!F25</f>
        <v>1.980204275572286</v>
      </c>
      <c r="G33" s="18">
        <f>'25hike'!G33+IPI_plus!G25</f>
        <v>0.74550469765155913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'25hike'!C34+IPI_plus!C26</f>
        <v>1.129499629058851E-2</v>
      </c>
      <c r="D34" s="18">
        <f>'25hike'!D34+IPI_plus!D26</f>
        <v>2.0026962960807997</v>
      </c>
      <c r="E34" s="18">
        <f>'25hike'!E34+IPI_plus!E26</f>
        <v>1.9927698877276083</v>
      </c>
      <c r="F34" s="18">
        <f>'25hike'!F34+IPI_plus!F26</f>
        <v>1.982228557418052</v>
      </c>
      <c r="G34" s="18">
        <f>'25hike'!G34+IPI_plus!G26</f>
        <v>0.74560220967586188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'25hike'!C35+IPI_plus!C27</f>
        <v>1.0099909344291055E-2</v>
      </c>
      <c r="D35" s="18">
        <f>'25hike'!D35+IPI_plus!D27</f>
        <v>2.0020479775043789</v>
      </c>
      <c r="E35" s="18">
        <f>'25hike'!E35+IPI_plus!E27</f>
        <v>1.9932480745455976</v>
      </c>
      <c r="F35" s="18">
        <f>'25hike'!F35+IPI_plus!F27</f>
        <v>1.9840123052258214</v>
      </c>
      <c r="G35" s="18">
        <f>'25hike'!G35+IPI_plus!G27</f>
        <v>0.74560186681194296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'25hike'!C36+IPI_plus!C28</f>
        <v>9.0422456634177435E-3</v>
      </c>
      <c r="D36" s="18">
        <f>'25hike'!D36+IPI_plus!D28</f>
        <v>2.0013146470414216</v>
      </c>
      <c r="E36" s="18">
        <f>'25hike'!E36+IPI_plus!E28</f>
        <v>1.993559676064246</v>
      </c>
      <c r="F36" s="18">
        <f>'25hike'!F36+IPI_plus!F28</f>
        <v>1.9855695159892255</v>
      </c>
      <c r="G36" s="18">
        <f>'25hike'!G36+IPI_plus!G28</f>
        <v>0.74544974573495681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'25hike'!C37+IPI_plus!C29</f>
        <v>8.1019420473067948E-3</v>
      </c>
      <c r="D37" s="18">
        <f>'25hike'!D37+IPI_plus!D29</f>
        <v>2.0004397241853438</v>
      </c>
      <c r="E37" s="18">
        <f>'25hike'!E37+IPI_plus!E29</f>
        <v>1.9936465455692476</v>
      </c>
      <c r="F37" s="18">
        <f>'25hike'!F37+IPI_plus!F29</f>
        <v>1.986907834726876</v>
      </c>
      <c r="G37" s="18">
        <f>'25hike'!G37+IPI_plus!G29</f>
        <v>0.74507389798883339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'25hike'!C38+IPI_plus!C30</f>
        <v>7.2592687600735051E-3</v>
      </c>
      <c r="D38" s="18">
        <f>'25hike'!D38+IPI_plus!D30</f>
        <v>1.9992916286475513</v>
      </c>
      <c r="E38" s="18">
        <f>'25hike'!E38+IPI_plus!E30</f>
        <v>1.993471153703974</v>
      </c>
      <c r="F38" s="18">
        <f>'25hike'!F38+IPI_plus!F30</f>
        <v>1.9880223761797371</v>
      </c>
      <c r="G38" s="18">
        <f>'25hike'!G38+IPI_plus!G30</f>
        <v>0.74433803507588958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'25hike'!C39+IPI_plus!C31</f>
        <v>6.5073638234803806E-3</v>
      </c>
      <c r="D39" s="18">
        <f>'25hike'!D39+IPI_plus!D31</f>
        <v>1.9977926740025729</v>
      </c>
      <c r="E39" s="18">
        <f>'25hike'!E39+IPI_plus!E31</f>
        <v>1.9928842371657378</v>
      </c>
      <c r="F39" s="18">
        <f>'25hike'!F39+IPI_plus!F31</f>
        <v>1.9889017029837923</v>
      </c>
      <c r="G39" s="18">
        <f>'25hike'!G39+IPI_plus!G31</f>
        <v>0.74312135800386847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'25hike'!C40+IPI_plus!C32</f>
        <v>5.8276001758007434E-3</v>
      </c>
      <c r="D40" s="18">
        <f>'25hike'!D40+IPI_plus!D32</f>
        <v>1.9956369574902506</v>
      </c>
      <c r="E40" s="18">
        <f>'25hike'!E40+IPI_plus!E32</f>
        <v>1.9918378918560147</v>
      </c>
      <c r="F40" s="18">
        <f>'25hike'!F40+IPI_plus!F32</f>
        <v>1.9895078758893736</v>
      </c>
      <c r="G40" s="18">
        <f>'25hike'!G40+IPI_plus!G32</f>
        <v>0.74113171379603227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'25hike'!C41+IPI_plus!C33</f>
        <v>5.2320278151969128E-3</v>
      </c>
      <c r="D41" s="18">
        <f>'25hike'!D41+IPI_plus!D33</f>
        <v>1.9927493457674785</v>
      </c>
      <c r="E41" s="18">
        <f>'25hike'!E41+IPI_plus!E33</f>
        <v>1.9899388006536132</v>
      </c>
      <c r="F41" s="18">
        <f>'25hike'!F41+IPI_plus!F33</f>
        <v>1.9897996081784031</v>
      </c>
      <c r="G41" s="18">
        <f>'25hike'!G41+IPI_plus!G33</f>
        <v>0.73818033453553955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'25hike'!C42+IPI_plus!C34</f>
        <v>4.6811447261890984E-3</v>
      </c>
      <c r="D42" s="18">
        <f>'25hike'!D42+IPI_plus!D34</f>
        <v>1.9883351568596208</v>
      </c>
      <c r="E42" s="18">
        <f>'25hike'!E42+IPI_plus!E34</f>
        <v>1.9872057295202701</v>
      </c>
      <c r="F42" s="18">
        <f>'25hike'!F42+IPI_plus!F34</f>
        <v>1.9896678075597125</v>
      </c>
      <c r="G42" s="18">
        <f>'25hike'!G42+IPI_plus!G34</f>
        <v>0.73355840916112791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'25hike'!C43+IPI_plus!C35</f>
        <v>4.2348356044160174E-3</v>
      </c>
      <c r="D43" s="18">
        <f>'25hike'!D43+IPI_plus!D35</f>
        <v>1.9825094778146717</v>
      </c>
      <c r="E43" s="18">
        <f>'25hike'!E43+IPI_plus!E35</f>
        <v>1.9825527806159933</v>
      </c>
      <c r="F43" s="18">
        <f>'25hike'!F43+IPI_plus!F35</f>
        <v>1.9890235578826589</v>
      </c>
      <c r="G43" s="18">
        <f>'25hike'!G43+IPI_plus!G35</f>
        <v>0.72703441096121257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'25hike'!C44+IPI_plus!C36</f>
        <v>3.770888170795665E-3</v>
      </c>
      <c r="D44" s="18">
        <f>'25hike'!D44+IPI_plus!D36</f>
        <v>1.9730648559661821</v>
      </c>
      <c r="E44" s="18">
        <f>'25hike'!E44+IPI_plus!E36</f>
        <v>1.9764551757242259</v>
      </c>
      <c r="F44" s="18">
        <f>'25hike'!F44+IPI_plus!F36</f>
        <v>1.9875872747101759</v>
      </c>
      <c r="G44" s="18">
        <f>'25hike'!G44+IPI_plus!G36</f>
        <v>0.71676501847932528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'25hike'!C45+IPI_plus!C37</f>
        <v>3.5092548520097269E-3</v>
      </c>
      <c r="D45" s="18">
        <f>'25hike'!D45+IPI_plus!D37</f>
        <v>1.9611933774547241</v>
      </c>
      <c r="E45" s="18">
        <f>'25hike'!E45+IPI_plus!E37</f>
        <v>1.9657611890840405</v>
      </c>
      <c r="F45" s="18">
        <f>'25hike'!F45+IPI_plus!F37</f>
        <v>1.9852118239571854</v>
      </c>
      <c r="G45" s="18">
        <f>'25hike'!G45+IPI_plus!G37</f>
        <v>0.70284496364416171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'25hike'!C46+IPI_plus!C38</f>
        <v>3.0379937883729946E-3</v>
      </c>
      <c r="D46" s="18">
        <f>'25hike'!D46+IPI_plus!D38</f>
        <v>1.940413870593642</v>
      </c>
      <c r="E46" s="18">
        <f>'25hike'!E46+IPI_plus!E38</f>
        <v>1.9530117237508435</v>
      </c>
      <c r="F46" s="18">
        <f>'25hike'!F46+IPI_plus!F38</f>
        <v>1.9811800081544664</v>
      </c>
      <c r="G46" s="18">
        <f>'25hike'!G46+IPI_plus!G38</f>
        <v>0.68021190851436431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'25hike'!C47+IPI_plus!C39</f>
        <v>3.1276803261787558E-3</v>
      </c>
      <c r="D47" s="18">
        <f>'25hike'!D47+IPI_plus!D39</f>
        <v>1.91655075977718</v>
      </c>
      <c r="E47" s="18">
        <f>'25hike'!E47+IPI_plus!E39</f>
        <v>1.9286125319727374</v>
      </c>
      <c r="F47" s="18">
        <f>'25hike'!F47+IPI_plus!F39</f>
        <v>1.9753633758005107</v>
      </c>
      <c r="G47" s="18">
        <f>'25hike'!G47+IPI_plus!G39</f>
        <v>0.65113181146397914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'25hike'!C48+IPI_plus!C40</f>
        <v>2.3583037266203368E-3</v>
      </c>
      <c r="D48" s="18">
        <f>'25hike'!D48+IPI_plus!D40</f>
        <v>1.8696492625419687</v>
      </c>
      <c r="E48" s="18">
        <f>'25hike'!E48+IPI_plus!E40</f>
        <v>1.9032912447978125</v>
      </c>
      <c r="F48" s="18">
        <f>'25hike'!F48+IPI_plus!F40</f>
        <v>1.965849105607242</v>
      </c>
      <c r="G48" s="18">
        <f>'25hike'!G48+IPI_plus!G40</f>
        <v>0.60092135218995923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'25hike'!C49+IPI_plus!C41</f>
        <v>3.3991684795377517E-3</v>
      </c>
      <c r="D49" s="18">
        <f>'25hike'!D49+IPI_plus!D41</f>
        <v>1.8235020586355684</v>
      </c>
      <c r="E49" s="18">
        <f>'25hike'!E49+IPI_plus!E41</f>
        <v>1.8466635897451238</v>
      </c>
      <c r="F49" s="18">
        <f>'25hike'!F49+IPI_plus!F41</f>
        <v>1.9530378713797913</v>
      </c>
      <c r="G49" s="18">
        <f>'25hike'!G49+IPI_plus!G41</f>
        <v>0.54158664961256142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'25hike'!C50+IPI_plus!C42</f>
        <v>1.3299657112458064E-3</v>
      </c>
      <c r="D50" s="18">
        <f>'25hike'!D50+IPI_plus!D42</f>
        <v>1.7143352054816066</v>
      </c>
      <c r="E50" s="18">
        <f>'25hike'!E50+IPI_plus!E42</f>
        <v>1.8000105114478508</v>
      </c>
      <c r="F50" s="18">
        <f>'25hike'!F50+IPI_plus!F42</f>
        <v>1.9315546314489545</v>
      </c>
      <c r="G50" s="18">
        <f>'25hike'!G50+IPI_plus!G42</f>
        <v>0.42838637343643848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'25hike'!C51+IPI_plus!C43</f>
        <v>5.3787470913947725E-3</v>
      </c>
      <c r="D51" s="18">
        <f>'25hike'!D51+IPI_plus!D43</f>
        <v>1.6322767957007829</v>
      </c>
      <c r="E51" s="18">
        <f>'25hike'!E51+IPI_plus!E43</f>
        <v>1.6642098355163519</v>
      </c>
      <c r="F51" s="18">
        <f>'25hike'!F51+IPI_plus!F43</f>
        <v>1.9046196262316191</v>
      </c>
      <c r="G51" s="18">
        <f>'25hike'!G51+IPI_plus!G43</f>
        <v>0.31179474953633829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'25hike'!C52+IPI_plus!C44</f>
        <v>-1.5121478515787391E-3</v>
      </c>
      <c r="D52" s="18">
        <f>'25hike'!D52+IPI_plus!D44</f>
        <v>1.3679006529675606</v>
      </c>
      <c r="E52" s="18">
        <f>'25hike'!E52+IPI_plus!E44</f>
        <v>1.5910446139569621</v>
      </c>
      <c r="F52" s="18">
        <f>'25hike'!F52+IPI_plus!F44</f>
        <v>1.8563149186378538</v>
      </c>
      <c r="G52" s="18">
        <f>'25hike'!G52+IPI_plus!G44</f>
        <v>4.9958632811031252E-2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'25hike'!C53+IPI_plus!C45</f>
        <v>-5.9014980140648674E-4</v>
      </c>
      <c r="D53" s="18">
        <f>'25hike'!D53+IPI_plus!D45</f>
        <v>1.249821096351591</v>
      </c>
      <c r="E53" s="18">
        <f>'25hike'!E53+IPI_plus!E45</f>
        <v>1.2503502160829016</v>
      </c>
      <c r="F53" s="18">
        <f>'25hike'!F53+IPI_plus!F45</f>
        <v>1.2509182612946441</v>
      </c>
      <c r="G53" s="18">
        <f>'25hike'!G53+IPI_plus!G45</f>
        <v>1.8852589363407967E-4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'25hike'!C54+IPI_plus!C46</f>
        <v>#REF!</v>
      </c>
      <c r="D54" s="18" t="e">
        <f>'25hike'!D54+IPI_plus!D46</f>
        <v>#REF!</v>
      </c>
      <c r="E54" s="18" t="e">
        <f>'25hike'!E54+IPI_plus!E46</f>
        <v>#REF!</v>
      </c>
      <c r="F54" s="18" t="e">
        <f>'25hike'!F54+IPI_plus!F46</f>
        <v>#REF!</v>
      </c>
      <c r="G54" s="18" t="e">
        <f>'25hike'!G54+IPI_plus!G46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'25hike'!C55+IPI_plus!C47</f>
        <v>#REF!</v>
      </c>
      <c r="D55" s="18" t="e">
        <f>'25hike'!D55+IPI_plus!D47</f>
        <v>#REF!</v>
      </c>
      <c r="E55" s="18" t="e">
        <f>'25hike'!E55+IPI_plus!E47</f>
        <v>#REF!</v>
      </c>
      <c r="F55" s="18" t="e">
        <f>'25hike'!F55+IPI_plus!F47</f>
        <v>#REF!</v>
      </c>
      <c r="G55" s="18" t="e">
        <f>'25hike'!G55+IPI_plus!G47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'25hike'!C56+IPI_plus!C48</f>
        <v>#REF!</v>
      </c>
      <c r="D56" s="18" t="e">
        <f>'25hike'!D56+IPI_plus!D48</f>
        <v>#REF!</v>
      </c>
      <c r="E56" s="18" t="e">
        <f>'25hike'!E56+IPI_plus!E48</f>
        <v>#REF!</v>
      </c>
      <c r="F56" s="18" t="e">
        <f>'25hike'!F56+IPI_plus!F48</f>
        <v>#REF!</v>
      </c>
      <c r="G56" s="18" t="e">
        <f>'25hike'!G56+IPI_plus!G48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'25hike'!C57+IPI_plus!C49</f>
        <v>#REF!</v>
      </c>
      <c r="D57" s="18" t="e">
        <f>'25hike'!D57+IPI_plus!D49</f>
        <v>#REF!</v>
      </c>
      <c r="E57" s="18" t="e">
        <f>'25hike'!E57+IPI_plus!E49</f>
        <v>#REF!</v>
      </c>
      <c r="F57" s="18" t="e">
        <f>'25hike'!F57+IPI_plus!F49</f>
        <v>#REF!</v>
      </c>
      <c r="G57" s="18" t="e">
        <f>'25hike'!G57+IPI_plus!G49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'25hike'!C58+IPI_plus!C50</f>
        <v>#REF!</v>
      </c>
      <c r="D58" s="18" t="e">
        <f>'25hike'!D58+IPI_plus!D50</f>
        <v>#REF!</v>
      </c>
      <c r="E58" s="18" t="e">
        <f>'25hike'!E58+IPI_plus!E50</f>
        <v>#REF!</v>
      </c>
      <c r="F58" s="18" t="e">
        <f>'25hike'!F58+IPI_plus!F50</f>
        <v>#REF!</v>
      </c>
      <c r="G58" s="18" t="e">
        <f>'25hike'!G58+IPI_plus!G50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'25hike'!C59+IPI_plus!C51</f>
        <v>#REF!</v>
      </c>
      <c r="D59" s="18" t="e">
        <f>'25hike'!D59+IPI_plus!D51</f>
        <v>#REF!</v>
      </c>
      <c r="E59" s="18" t="e">
        <f>'25hike'!E59+IPI_plus!E51</f>
        <v>#REF!</v>
      </c>
      <c r="F59" s="18" t="e">
        <f>'25hike'!F59+IPI_plus!F51</f>
        <v>#REF!</v>
      </c>
      <c r="G59" s="18" t="e">
        <f>'25hike'!G59+IPI_plus!G51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'25hike'!C60+IPI_plus!C52</f>
        <v>#REF!</v>
      </c>
      <c r="D60" s="18" t="e">
        <f>'25hike'!D60+IPI_plus!D52</f>
        <v>#REF!</v>
      </c>
      <c r="E60" s="18" t="e">
        <f>'25hike'!E60+IPI_plus!E52</f>
        <v>#REF!</v>
      </c>
      <c r="F60" s="18" t="e">
        <f>'25hike'!F60+IPI_plus!F52</f>
        <v>#REF!</v>
      </c>
      <c r="G60" s="18" t="e">
        <f>'25hike'!G60+IPI_plus!G52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'25hike'!C61+IPI_plus!C53</f>
        <v>#REF!</v>
      </c>
      <c r="D61" s="18" t="e">
        <f>'25hike'!D61+IPI_plus!D53</f>
        <v>#REF!</v>
      </c>
      <c r="E61" s="18" t="e">
        <f>'25hike'!E61+IPI_plus!E53</f>
        <v>#REF!</v>
      </c>
      <c r="F61" s="18" t="e">
        <f>'25hike'!F61+IPI_plus!F53</f>
        <v>#REF!</v>
      </c>
      <c r="G61" s="18" t="e">
        <f>'25hike'!G61+IPI_plus!G53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'25hike'!C62+IPI_plus!C54</f>
        <v>#REF!</v>
      </c>
      <c r="D62" s="18" t="e">
        <f>'25hike'!D62+IPI_plus!D54</f>
        <v>#REF!</v>
      </c>
      <c r="E62" s="18" t="e">
        <f>'25hike'!E62+IPI_plus!E54</f>
        <v>#REF!</v>
      </c>
      <c r="F62" s="18" t="e">
        <f>'25hike'!F62+IPI_plus!F54</f>
        <v>#REF!</v>
      </c>
      <c r="G62" s="18" t="e">
        <f>'25hike'!G62+IPI_plus!G54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'25hike'!C63+IPI_plus!C55</f>
        <v>#REF!</v>
      </c>
      <c r="D63" s="18" t="e">
        <f>'25hike'!D63+IPI_plus!D55</f>
        <v>#REF!</v>
      </c>
      <c r="E63" s="18" t="e">
        <f>'25hike'!E63+IPI_plus!E55</f>
        <v>#REF!</v>
      </c>
      <c r="F63" s="18" t="e">
        <f>'25hike'!F63+IPI_plus!F55</f>
        <v>#REF!</v>
      </c>
      <c r="G63" s="18" t="e">
        <f>'25hike'!G63+IPI_plus!G55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'25hike'!C64+IPI_plus!C56</f>
        <v>#REF!</v>
      </c>
      <c r="D64" s="18" t="e">
        <f>'25hike'!D64+IPI_plus!D56</f>
        <v>#REF!</v>
      </c>
      <c r="E64" s="18" t="e">
        <f>'25hike'!E64+IPI_plus!E56</f>
        <v>#REF!</v>
      </c>
      <c r="F64" s="18" t="e">
        <f>'25hike'!F64+IPI_plus!F56</f>
        <v>#REF!</v>
      </c>
      <c r="G64" s="18" t="e">
        <f>'25hike'!G64+IPI_plus!G56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'25hike'!C65+IPI_plus!C57</f>
        <v>#REF!</v>
      </c>
      <c r="D65" s="18" t="e">
        <f>'25hike'!D65+IPI_plus!D57</f>
        <v>#REF!</v>
      </c>
      <c r="E65" s="18" t="e">
        <f>'25hike'!E65+IPI_plus!E57</f>
        <v>#REF!</v>
      </c>
      <c r="F65" s="18" t="e">
        <f>'25hike'!F65+IPI_plus!F57</f>
        <v>#REF!</v>
      </c>
      <c r="G65" s="18" t="e">
        <f>'25hike'!G65+IPI_plus!G57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'25hike'!C66+IPI_plus!C58</f>
        <v>#REF!</v>
      </c>
      <c r="D66" s="18" t="e">
        <f>'25hike'!D66+IPI_plus!D58</f>
        <v>#REF!</v>
      </c>
      <c r="E66" s="18" t="e">
        <f>'25hike'!E66+IPI_plus!E58</f>
        <v>#REF!</v>
      </c>
      <c r="F66" s="18" t="e">
        <f>'25hike'!F66+IPI_plus!F58</f>
        <v>#REF!</v>
      </c>
      <c r="G66" s="18" t="e">
        <f>'25hike'!G66+IPI_plus!G58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'25hike'!C67+IPI_plus!C59</f>
        <v>#REF!</v>
      </c>
      <c r="D67" s="18" t="e">
        <f>'25hike'!D67+IPI_plus!D59</f>
        <v>#REF!</v>
      </c>
      <c r="E67" s="18" t="e">
        <f>'25hike'!E67+IPI_plus!E59</f>
        <v>#REF!</v>
      </c>
      <c r="F67" s="18" t="e">
        <f>'25hike'!F67+IPI_plus!F59</f>
        <v>#REF!</v>
      </c>
      <c r="G67" s="18" t="e">
        <f>'25hike'!G67+IPI_plus!G59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'25hike'!C68+IPI_plus!C60</f>
        <v>#REF!</v>
      </c>
      <c r="D68" s="18" t="e">
        <f>'25hike'!D68+IPI_plus!D60</f>
        <v>#REF!</v>
      </c>
      <c r="E68" s="18" t="e">
        <f>'25hike'!E68+IPI_plus!E60</f>
        <v>#REF!</v>
      </c>
      <c r="F68" s="18" t="e">
        <f>'25hike'!F68+IPI_plus!F60</f>
        <v>#REF!</v>
      </c>
      <c r="G68" s="18" t="e">
        <f>'25hike'!G68+IPI_plus!G60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'25hike'!C69+IPI_plus!C61</f>
        <v>#REF!</v>
      </c>
      <c r="D69" s="18" t="e">
        <f>'25hike'!D69+IPI_plus!D61</f>
        <v>#REF!</v>
      </c>
      <c r="E69" s="18" t="e">
        <f>'25hike'!E69+IPI_plus!E61</f>
        <v>#REF!</v>
      </c>
      <c r="F69" s="18" t="e">
        <f>'25hike'!F69+IPI_plus!F61</f>
        <v>#REF!</v>
      </c>
      <c r="G69" s="18" t="e">
        <f>'25hike'!G69+IPI_plus!G61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'25hike'!C70+IPI_plus!C62</f>
        <v>#REF!</v>
      </c>
      <c r="D70" s="18" t="e">
        <f>'25hike'!D70+IPI_plus!D62</f>
        <v>#REF!</v>
      </c>
      <c r="E70" s="18" t="e">
        <f>'25hike'!E70+IPI_plus!E62</f>
        <v>#REF!</v>
      </c>
      <c r="F70" s="18" t="e">
        <f>'25hike'!F70+IPI_plus!F62</f>
        <v>#REF!</v>
      </c>
      <c r="G70" s="18" t="e">
        <f>'25hike'!G70+IPI_plus!G62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'25hike'!C71+IPI_plus!C63</f>
        <v>#REF!</v>
      </c>
      <c r="D71" s="18" t="e">
        <f>'25hike'!D71+IPI_plus!D63</f>
        <v>#REF!</v>
      </c>
      <c r="E71" s="18" t="e">
        <f>'25hike'!E71+IPI_plus!E63</f>
        <v>#REF!</v>
      </c>
      <c r="F71" s="18" t="e">
        <f>'25hike'!F71+IPI_plus!F63</f>
        <v>#REF!</v>
      </c>
      <c r="G71" s="18" t="e">
        <f>'25hike'!G71+IPI_plus!G63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'25hike'!C72+IPI_plus!C64</f>
        <v>#REF!</v>
      </c>
      <c r="D72" s="18" t="e">
        <f>'25hike'!D72+IPI_plus!D64</f>
        <v>#REF!</v>
      </c>
      <c r="E72" s="18" t="e">
        <f>'25hike'!E72+IPI_plus!E64</f>
        <v>#REF!</v>
      </c>
      <c r="F72" s="18" t="e">
        <f>'25hike'!F72+IPI_plus!F64</f>
        <v>#REF!</v>
      </c>
      <c r="G72" s="18" t="e">
        <f>'25hike'!G72+IPI_plus!G64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'25hike'!C73+IPI_plus!C65</f>
        <v>#REF!</v>
      </c>
      <c r="D73" s="18" t="e">
        <f>'25hike'!D73+IPI_plus!D65</f>
        <v>#REF!</v>
      </c>
      <c r="E73" s="18" t="e">
        <f>'25hike'!E73+IPI_plus!E65</f>
        <v>#REF!</v>
      </c>
      <c r="F73" s="18" t="e">
        <f>'25hike'!F73+IPI_plus!F65</f>
        <v>#REF!</v>
      </c>
      <c r="G73" s="18" t="e">
        <f>'25hike'!G73+IPI_plus!G65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'25hike'!C74+IPI_plus!C66</f>
        <v>#REF!</v>
      </c>
      <c r="D74" s="18" t="e">
        <f>'25hike'!D74+IPI_plus!D66</f>
        <v>#REF!</v>
      </c>
      <c r="E74" s="18" t="e">
        <f>'25hike'!E74+IPI_plus!E66</f>
        <v>#REF!</v>
      </c>
      <c r="F74" s="18" t="e">
        <f>'25hike'!F74+IPI_plus!F66</f>
        <v>#REF!</v>
      </c>
      <c r="G74" s="18" t="e">
        <f>'25hike'!G74+IPI_plus!G66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'25hike'!C75+IPI_plus!C67</f>
        <v>#REF!</v>
      </c>
      <c r="D75" s="18" t="e">
        <f>'25hike'!D75+IPI_plus!D67</f>
        <v>#REF!</v>
      </c>
      <c r="E75" s="18" t="e">
        <f>'25hike'!E75+IPI_plus!E67</f>
        <v>#REF!</v>
      </c>
      <c r="F75" s="18" t="e">
        <f>'25hike'!F75+IPI_plus!F67</f>
        <v>#REF!</v>
      </c>
      <c r="G75" s="18" t="e">
        <f>'25hike'!G75+IPI_plus!G67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'25hike'!C76+IPI_plus!C68</f>
        <v>#REF!</v>
      </c>
      <c r="D76" s="18" t="e">
        <f>'25hike'!D76+IPI_plus!D68</f>
        <v>#REF!</v>
      </c>
      <c r="E76" s="18" t="e">
        <f>'25hike'!E76+IPI_plus!E68</f>
        <v>#REF!</v>
      </c>
      <c r="F76" s="18" t="e">
        <f>'25hike'!F76+IPI_plus!F68</f>
        <v>#REF!</v>
      </c>
      <c r="G76" s="18" t="e">
        <f>'25hike'!G76+IPI_plus!G68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'25hike'!C77+IPI_plus!C69</f>
        <v>#REF!</v>
      </c>
      <c r="D77" s="18" t="e">
        <f>'25hike'!D77+IPI_plus!D69</f>
        <v>#REF!</v>
      </c>
      <c r="E77" s="18" t="e">
        <f>'25hike'!E77+IPI_plus!E69</f>
        <v>#REF!</v>
      </c>
      <c r="F77" s="18" t="e">
        <f>'25hike'!F77+IPI_plus!F69</f>
        <v>#REF!</v>
      </c>
      <c r="G77" s="18" t="e">
        <f>'25hike'!G77+IPI_plus!G69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'25hike'!C78+IPI_plus!C70</f>
        <v>#REF!</v>
      </c>
      <c r="D78" s="18" t="e">
        <f>'25hike'!D78+IPI_plus!D70</f>
        <v>#REF!</v>
      </c>
      <c r="E78" s="18" t="e">
        <f>'25hike'!E78+IPI_plus!E70</f>
        <v>#REF!</v>
      </c>
      <c r="F78" s="18" t="e">
        <f>'25hike'!F78+IPI_plus!F70</f>
        <v>#REF!</v>
      </c>
      <c r="G78" s="18" t="e">
        <f>'25hike'!G78+IPI_plus!G70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'25hike'!C79+IPI_plus!C71</f>
        <v>#REF!</v>
      </c>
      <c r="D79" s="18" t="e">
        <f>'25hike'!D79+IPI_plus!D71</f>
        <v>#REF!</v>
      </c>
      <c r="E79" s="18" t="e">
        <f>'25hike'!E79+IPI_plus!E71</f>
        <v>#REF!</v>
      </c>
      <c r="F79" s="18" t="e">
        <f>'25hike'!F79+IPI_plus!F71</f>
        <v>#REF!</v>
      </c>
      <c r="G79" s="18" t="e">
        <f>'25hike'!G79+IPI_plus!G71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'25hike'!C80+IPI_plus!C72</f>
        <v>#REF!</v>
      </c>
      <c r="D80" s="18" t="e">
        <f>'25hike'!D80+IPI_plus!D72</f>
        <v>#REF!</v>
      </c>
      <c r="E80" s="18" t="e">
        <f>'25hike'!E80+IPI_plus!E72</f>
        <v>#REF!</v>
      </c>
      <c r="F80" s="18" t="e">
        <f>'25hike'!F80+IPI_plus!F72</f>
        <v>#REF!</v>
      </c>
      <c r="G80" s="18" t="e">
        <f>'25hike'!G80+IPI_plus!G72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'25hike'!C81+IPI_plus!C73</f>
        <v>#REF!</v>
      </c>
      <c r="D81" s="18" t="e">
        <f>'25hike'!D81+IPI_plus!D73</f>
        <v>#REF!</v>
      </c>
      <c r="E81" s="18" t="e">
        <f>'25hike'!E81+IPI_plus!E73</f>
        <v>#REF!</v>
      </c>
      <c r="F81" s="18" t="e">
        <f>'25hike'!F81+IPI_plus!F73</f>
        <v>#REF!</v>
      </c>
      <c r="G81" s="18" t="e">
        <f>'25hike'!G81+IPI_plus!G73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'25hike'!C82+IPI_plus!C74</f>
        <v>#REF!</v>
      </c>
      <c r="D82" s="18" t="e">
        <f>'25hike'!D82+IPI_plus!D74</f>
        <v>#REF!</v>
      </c>
      <c r="E82" s="18" t="e">
        <f>'25hike'!E82+IPI_plus!E74</f>
        <v>#REF!</v>
      </c>
      <c r="F82" s="18" t="e">
        <f>'25hike'!F82+IPI_plus!F74</f>
        <v>#REF!</v>
      </c>
      <c r="G82" s="18" t="e">
        <f>'25hike'!G82+IPI_plus!G74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'25hike'!C83+IPI_plus!C75</f>
        <v>#REF!</v>
      </c>
      <c r="D83" s="18" t="e">
        <f>'25hike'!D83+IPI_plus!D75</f>
        <v>#REF!</v>
      </c>
      <c r="E83" s="18" t="e">
        <f>'25hike'!E83+IPI_plus!E75</f>
        <v>#REF!</v>
      </c>
      <c r="F83" s="18" t="e">
        <f>'25hike'!F83+IPI_plus!F75</f>
        <v>#REF!</v>
      </c>
      <c r="G83" s="18" t="e">
        <f>'25hike'!G83+IPI_plus!G75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'25hike'!C84+IPI_plus!C76</f>
        <v>#REF!</v>
      </c>
      <c r="D84" s="18" t="e">
        <f>'25hike'!D84+IPI_plus!D76</f>
        <v>#REF!</v>
      </c>
      <c r="E84" s="18" t="e">
        <f>'25hike'!E84+IPI_plus!E76</f>
        <v>#REF!</v>
      </c>
      <c r="F84" s="18" t="e">
        <f>'25hike'!F84+IPI_plus!F76</f>
        <v>#REF!</v>
      </c>
      <c r="G84" s="18" t="e">
        <f>'25hike'!G84+IPI_plus!G76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'25hike'!C85+IPI_plus!C77</f>
        <v>#REF!</v>
      </c>
      <c r="D85" s="18" t="e">
        <f>'25hike'!D85+IPI_plus!D77</f>
        <v>#REF!</v>
      </c>
      <c r="E85" s="18" t="e">
        <f>'25hike'!E85+IPI_plus!E77</f>
        <v>#REF!</v>
      </c>
      <c r="F85" s="18" t="e">
        <f>'25hike'!F85+IPI_plus!F77</f>
        <v>#REF!</v>
      </c>
      <c r="G85" s="18" t="e">
        <f>'25hike'!G85+IPI_plus!G77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'25hike'!C86+IPI_plus!C78</f>
        <v>#REF!</v>
      </c>
      <c r="D86" s="18" t="e">
        <f>'25hike'!D86+IPI_plus!D78</f>
        <v>#REF!</v>
      </c>
      <c r="E86" s="18" t="e">
        <f>'25hike'!E86+IPI_plus!E78</f>
        <v>#REF!</v>
      </c>
      <c r="F86" s="18" t="e">
        <f>'25hike'!F86+IPI_plus!F78</f>
        <v>#REF!</v>
      </c>
      <c r="G86" s="18" t="e">
        <f>'25hike'!G86+IPI_plus!G78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'25hike'!C87+IPI_plus!C79</f>
        <v>#REF!</v>
      </c>
      <c r="D87" s="18" t="e">
        <f>'25hike'!D87+IPI_plus!D79</f>
        <v>#REF!</v>
      </c>
      <c r="E87" s="18" t="e">
        <f>'25hike'!E87+IPI_plus!E79</f>
        <v>#REF!</v>
      </c>
      <c r="F87" s="18" t="e">
        <f>'25hike'!F87+IPI_plus!F79</f>
        <v>#REF!</v>
      </c>
      <c r="G87" s="18" t="e">
        <f>'25hike'!G87+IPI_plus!G79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'25hike'!C88+IPI_plus!C80</f>
        <v>#REF!</v>
      </c>
      <c r="D88" s="18" t="e">
        <f>'25hike'!D88+IPI_plus!D80</f>
        <v>#REF!</v>
      </c>
      <c r="E88" s="18" t="e">
        <f>'25hike'!E88+IPI_plus!E80</f>
        <v>#REF!</v>
      </c>
      <c r="F88" s="18" t="e">
        <f>'25hike'!F88+IPI_plus!F80</f>
        <v>#REF!</v>
      </c>
      <c r="G88" s="18" t="e">
        <f>'25hike'!G88+IPI_plus!G80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'25hike'!C89+IPI_plus!C81</f>
        <v>#REF!</v>
      </c>
      <c r="D89" s="18" t="e">
        <f>'25hike'!D89+IPI_plus!D81</f>
        <v>#REF!</v>
      </c>
      <c r="E89" s="18" t="e">
        <f>'25hike'!E89+IPI_plus!E81</f>
        <v>#REF!</v>
      </c>
      <c r="F89" s="18" t="e">
        <f>'25hike'!F89+IPI_plus!F81</f>
        <v>#REF!</v>
      </c>
      <c r="G89" s="18" t="e">
        <f>'25hike'!G89+IPI_plus!G81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'25hike'!C90+IPI_plus!C82</f>
        <v>#REF!</v>
      </c>
      <c r="D90" s="18" t="e">
        <f>'25hike'!D90+IPI_plus!D82</f>
        <v>#REF!</v>
      </c>
      <c r="E90" s="18" t="e">
        <f>'25hike'!E90+IPI_plus!E82</f>
        <v>#REF!</v>
      </c>
      <c r="F90" s="18" t="e">
        <f>'25hike'!F90+IPI_plus!F82</f>
        <v>#REF!</v>
      </c>
      <c r="G90" s="18" t="e">
        <f>'25hike'!G90+IPI_plus!G82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'25hike'!C91+IPI_plus!C83</f>
        <v>#REF!</v>
      </c>
      <c r="D91" s="18" t="e">
        <f>'25hike'!D91+IPI_plus!D83</f>
        <v>#REF!</v>
      </c>
      <c r="E91" s="18" t="e">
        <f>'25hike'!E91+IPI_plus!E83</f>
        <v>#REF!</v>
      </c>
      <c r="F91" s="18" t="e">
        <f>'25hike'!F91+IPI_plus!F83</f>
        <v>#REF!</v>
      </c>
      <c r="G91" s="18" t="e">
        <f>'25hike'!G91+IPI_plus!G83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'25hike'!C92+IPI_plus!C84</f>
        <v>#REF!</v>
      </c>
      <c r="D92" s="18" t="e">
        <f>'25hike'!D92+IPI_plus!D84</f>
        <v>#REF!</v>
      </c>
      <c r="E92" s="18" t="e">
        <f>'25hike'!E92+IPI_plus!E84</f>
        <v>#REF!</v>
      </c>
      <c r="F92" s="18" t="e">
        <f>'25hike'!F92+IPI_plus!F84</f>
        <v>#REF!</v>
      </c>
      <c r="G92" s="18" t="e">
        <f>'25hike'!G92+IPI_plus!G84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'25hike'!C93+IPI_plus!C85</f>
        <v>#REF!</v>
      </c>
      <c r="D93" s="18" t="e">
        <f>'25hike'!D93+IPI_plus!D85</f>
        <v>#REF!</v>
      </c>
      <c r="E93" s="18" t="e">
        <f>'25hike'!E93+IPI_plus!E85</f>
        <v>#REF!</v>
      </c>
      <c r="F93" s="18" t="e">
        <f>'25hike'!F93+IPI_plus!F85</f>
        <v>#REF!</v>
      </c>
      <c r="G93" s="18" t="e">
        <f>'25hike'!G93+IPI_plus!G85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'25hike'!C94+IPI_plus!C86</f>
        <v>#REF!</v>
      </c>
      <c r="D94" s="18" t="e">
        <f>'25hike'!D94+IPI_plus!D86</f>
        <v>#REF!</v>
      </c>
      <c r="E94" s="18" t="e">
        <f>'25hike'!E94+IPI_plus!E86</f>
        <v>#REF!</v>
      </c>
      <c r="F94" s="18" t="e">
        <f>'25hike'!F94+IPI_plus!F86</f>
        <v>#REF!</v>
      </c>
      <c r="G94" s="18" t="e">
        <f>'25hike'!G94+IPI_plus!G86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'25hike'!C95+IPI_plus!C87</f>
        <v>#REF!</v>
      </c>
      <c r="D95" s="18" t="e">
        <f>'25hike'!D95+IPI_plus!D87</f>
        <v>#REF!</v>
      </c>
      <c r="E95" s="18" t="e">
        <f>'25hike'!E95+IPI_plus!E87</f>
        <v>#REF!</v>
      </c>
      <c r="F95" s="18" t="e">
        <f>'25hike'!F95+IPI_plus!F87</f>
        <v>#REF!</v>
      </c>
      <c r="G95" s="18" t="e">
        <f>'25hike'!G95+IPI_plus!G87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'25hike'!C96+IPI_plus!C88</f>
        <v>#REF!</v>
      </c>
      <c r="D96" s="18" t="e">
        <f>'25hike'!D96+IPI_plus!D88</f>
        <v>#REF!</v>
      </c>
      <c r="E96" s="18" t="e">
        <f>'25hike'!E96+IPI_plus!E88</f>
        <v>#REF!</v>
      </c>
      <c r="F96" s="18" t="e">
        <f>'25hike'!F96+IPI_plus!F88</f>
        <v>#REF!</v>
      </c>
      <c r="G96" s="18" t="e">
        <f>'25hike'!G96+IPI_plus!G88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'25hike'!C97+IPI_plus!C89</f>
        <v>#REF!</v>
      </c>
      <c r="D97" s="18" t="e">
        <f>'25hike'!D97+IPI_plus!D89</f>
        <v>#REF!</v>
      </c>
      <c r="E97" s="18" t="e">
        <f>'25hike'!E97+IPI_plus!E89</f>
        <v>#REF!</v>
      </c>
      <c r="F97" s="18" t="e">
        <f>'25hike'!F97+IPI_plus!F89</f>
        <v>#REF!</v>
      </c>
      <c r="G97" s="18" t="e">
        <f>'25hike'!G97+IPI_plus!G89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'25hike'!C98+IPI_plus!C90</f>
        <v>#REF!</v>
      </c>
      <c r="D98" s="18" t="e">
        <f>'25hike'!D98+IPI_plus!D90</f>
        <v>#REF!</v>
      </c>
      <c r="E98" s="18" t="e">
        <f>'25hike'!E98+IPI_plus!E90</f>
        <v>#REF!</v>
      </c>
      <c r="F98" s="18" t="e">
        <f>'25hike'!F98+IPI_plus!F90</f>
        <v>#REF!</v>
      </c>
      <c r="G98" s="18" t="e">
        <f>'25hike'!G98+IPI_plus!G90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'25hike'!C99+IPI_plus!C91</f>
        <v>#REF!</v>
      </c>
      <c r="D99" s="18" t="e">
        <f>'25hike'!D99+IPI_plus!D91</f>
        <v>#REF!</v>
      </c>
      <c r="E99" s="18" t="e">
        <f>'25hike'!E99+IPI_plus!E91</f>
        <v>#REF!</v>
      </c>
      <c r="F99" s="18" t="e">
        <f>'25hike'!F99+IPI_plus!F91</f>
        <v>#REF!</v>
      </c>
      <c r="G99" s="18" t="e">
        <f>'25hike'!G99+IPI_plus!G91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'25hike'!C100+IPI_plus!C92</f>
        <v>#REF!</v>
      </c>
      <c r="D100" s="18" t="e">
        <f>'25hike'!D100+IPI_plus!D92</f>
        <v>#REF!</v>
      </c>
      <c r="E100" s="18" t="e">
        <f>'25hike'!E100+IPI_plus!E92</f>
        <v>#REF!</v>
      </c>
      <c r="F100" s="18" t="e">
        <f>'25hike'!F100+IPI_plus!F92</f>
        <v>#REF!</v>
      </c>
      <c r="G100" s="18" t="e">
        <f>'25hike'!G100+IPI_plus!G92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'25hike'!C101+IPI_plus!C93</f>
        <v>#REF!</v>
      </c>
      <c r="D101" s="18" t="e">
        <f>'25hike'!D101+IPI_plus!D93</f>
        <v>#REF!</v>
      </c>
      <c r="E101" s="18" t="e">
        <f>'25hike'!E101+IPI_plus!E93</f>
        <v>#REF!</v>
      </c>
      <c r="F101" s="18" t="e">
        <f>'25hike'!F101+IPI_plus!F93</f>
        <v>#REF!</v>
      </c>
      <c r="G101" s="18" t="e">
        <f>'25hike'!G101+IPI_plus!G93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'25hike'!C102+IPI_plus!C94</f>
        <v>#REF!</v>
      </c>
      <c r="D102" s="18" t="e">
        <f>'25hike'!D102+IPI_plus!D94</f>
        <v>#REF!</v>
      </c>
      <c r="E102" s="18" t="e">
        <f>'25hike'!E102+IPI_plus!E94</f>
        <v>#REF!</v>
      </c>
      <c r="F102" s="18" t="e">
        <f>'25hike'!F102+IPI_plus!F94</f>
        <v>#REF!</v>
      </c>
      <c r="G102" s="18" t="e">
        <f>'25hike'!G102+IPI_plus!G94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'25hike'!C103+IPI_plus!C95</f>
        <v>#REF!</v>
      </c>
      <c r="D103" s="18" t="e">
        <f>'25hike'!D103+IPI_plus!D95</f>
        <v>#REF!</v>
      </c>
      <c r="E103" s="18" t="e">
        <f>'25hike'!E103+IPI_plus!E95</f>
        <v>#REF!</v>
      </c>
      <c r="F103" s="18" t="e">
        <f>'25hike'!F103+IPI_plus!F95</f>
        <v>#REF!</v>
      </c>
      <c r="G103" s="18" t="e">
        <f>'25hike'!G103+IPI_plus!G95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'25hike'!C104+IPI_plus!C96</f>
        <v>#REF!</v>
      </c>
      <c r="D104" s="18" t="e">
        <f>'25hike'!D104+IPI_plus!D96</f>
        <v>#REF!</v>
      </c>
      <c r="E104" s="18" t="e">
        <f>'25hike'!E104+IPI_plus!E96</f>
        <v>#REF!</v>
      </c>
      <c r="F104" s="18" t="e">
        <f>'25hike'!F104+IPI_plus!F96</f>
        <v>#REF!</v>
      </c>
      <c r="G104" s="18" t="e">
        <f>'25hike'!G104+IPI_plus!G96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'25hike'!C105+IPI_plus!C97</f>
        <v>#REF!</v>
      </c>
      <c r="D105" s="18" t="e">
        <f>'25hike'!D105+IPI_plus!D97</f>
        <v>#REF!</v>
      </c>
      <c r="E105" s="18" t="e">
        <f>'25hike'!E105+IPI_plus!E97</f>
        <v>#REF!</v>
      </c>
      <c r="F105" s="18" t="e">
        <f>'25hike'!F105+IPI_plus!F97</f>
        <v>#REF!</v>
      </c>
      <c r="G105" s="18" t="e">
        <f>'25hike'!G105+IPI_plus!G97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'25hike'!C106+IPI_plus!C98</f>
        <v>#REF!</v>
      </c>
      <c r="D106" s="18" t="e">
        <f>'25hike'!D106+IPI_plus!D98</f>
        <v>#REF!</v>
      </c>
      <c r="E106" s="18" t="e">
        <f>'25hike'!E106+IPI_plus!E98</f>
        <v>#REF!</v>
      </c>
      <c r="F106" s="18" t="e">
        <f>'25hike'!F106+IPI_plus!F98</f>
        <v>#REF!</v>
      </c>
      <c r="G106" s="18" t="e">
        <f>'25hike'!G106+IPI_plus!G98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'25hike'!C107+IPI_plus!C99</f>
        <v>#REF!</v>
      </c>
      <c r="D107" s="18" t="e">
        <f>'25hike'!D107+IPI_plus!D99</f>
        <v>#REF!</v>
      </c>
      <c r="E107" s="18" t="e">
        <f>'25hike'!E107+IPI_plus!E99</f>
        <v>#REF!</v>
      </c>
      <c r="F107" s="18" t="e">
        <f>'25hike'!F107+IPI_plus!F99</f>
        <v>#REF!</v>
      </c>
      <c r="G107" s="18" t="e">
        <f>'25hike'!G107+IPI_plus!G99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'25hike'!C108+IPI_plus!C100</f>
        <v>#REF!</v>
      </c>
      <c r="D108" s="18" t="e">
        <f>'25hike'!D108+IPI_plus!D100</f>
        <v>#REF!</v>
      </c>
      <c r="E108" s="18" t="e">
        <f>'25hike'!E108+IPI_plus!E100</f>
        <v>#REF!</v>
      </c>
      <c r="F108" s="18" t="e">
        <f>'25hike'!F108+IPI_plus!F100</f>
        <v>#REF!</v>
      </c>
      <c r="G108" s="18" t="e">
        <f>'25hike'!G108+IPI_plus!G100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'25hike'!C109+IPI_plus!C101</f>
        <v>#REF!</v>
      </c>
      <c r="D109" s="18" t="e">
        <f>'25hike'!D109+IPI_plus!D101</f>
        <v>#REF!</v>
      </c>
      <c r="E109" s="18" t="e">
        <f>'25hike'!E109+IPI_plus!E101</f>
        <v>#REF!</v>
      </c>
      <c r="F109" s="18" t="e">
        <f>'25hike'!F109+IPI_plus!F101</f>
        <v>#REF!</v>
      </c>
      <c r="G109" s="18" t="e">
        <f>'25hike'!G109+IPI_plus!G101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'25hike'!C110+IPI_plus!C102</f>
        <v>#REF!</v>
      </c>
      <c r="D110" s="18" t="e">
        <f>'25hike'!D110+IPI_plus!D102</f>
        <v>#REF!</v>
      </c>
      <c r="E110" s="18" t="e">
        <f>'25hike'!E110+IPI_plus!E102</f>
        <v>#REF!</v>
      </c>
      <c r="F110" s="18" t="e">
        <f>'25hike'!F110+IPI_plus!F102</f>
        <v>#REF!</v>
      </c>
      <c r="G110" s="18" t="e">
        <f>'25hike'!G110+IPI_plus!G102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'25hike'!C111+IPI_plus!C103</f>
        <v>#REF!</v>
      </c>
      <c r="D111" s="18" t="e">
        <f>'25hike'!D111+IPI_plus!D103</f>
        <v>#REF!</v>
      </c>
      <c r="E111" s="18" t="e">
        <f>'25hike'!E111+IPI_plus!E103</f>
        <v>#REF!</v>
      </c>
      <c r="F111" s="18" t="e">
        <f>'25hike'!F111+IPI_plus!F103</f>
        <v>#REF!</v>
      </c>
      <c r="G111" s="18" t="e">
        <f>'25hike'!G111+IPI_plus!G103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'25hike'!C112+IPI_plus!C104</f>
        <v>#REF!</v>
      </c>
      <c r="D112" s="18" t="e">
        <f>'25hike'!D112+IPI_plus!D104</f>
        <v>#REF!</v>
      </c>
      <c r="E112" s="18" t="e">
        <f>'25hike'!E112+IPI_plus!E104</f>
        <v>#REF!</v>
      </c>
      <c r="F112" s="18" t="e">
        <f>'25hike'!F112+IPI_plus!F104</f>
        <v>#REF!</v>
      </c>
      <c r="G112" s="18" t="e">
        <f>'25hike'!G112+IPI_plus!G104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'25hike'!C113+IPI_plus!C105</f>
        <v>#REF!</v>
      </c>
      <c r="D113" s="18" t="e">
        <f>'25hike'!D113+IPI_plus!D105</f>
        <v>#REF!</v>
      </c>
      <c r="E113" s="18" t="e">
        <f>'25hike'!E113+IPI_plus!E105</f>
        <v>#REF!</v>
      </c>
      <c r="F113" s="18" t="e">
        <f>'25hike'!F113+IPI_plus!F105</f>
        <v>#REF!</v>
      </c>
      <c r="G113" s="18" t="e">
        <f>'25hike'!G113+IPI_plus!G105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'25hike'!C114+IPI_plus!C106</f>
        <v>#REF!</v>
      </c>
      <c r="D114" s="18" t="e">
        <f>'25hike'!D114+IPI_plus!D106</f>
        <v>#REF!</v>
      </c>
      <c r="E114" s="18" t="e">
        <f>'25hike'!E114+IPI_plus!E106</f>
        <v>#REF!</v>
      </c>
      <c r="F114" s="18" t="e">
        <f>'25hike'!F114+IPI_plus!F106</f>
        <v>#REF!</v>
      </c>
      <c r="G114" s="18" t="e">
        <f>'25hike'!G114+IPI_plus!G106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'25hike'!C115+IPI_plus!C107</f>
        <v>#REF!</v>
      </c>
      <c r="D115" s="18" t="e">
        <f>'25hike'!D115+IPI_plus!D107</f>
        <v>#REF!</v>
      </c>
      <c r="E115" s="18" t="e">
        <f>'25hike'!E115+IPI_plus!E107</f>
        <v>#REF!</v>
      </c>
      <c r="F115" s="18" t="e">
        <f>'25hike'!F115+IPI_plus!F107</f>
        <v>#REF!</v>
      </c>
      <c r="G115" s="18" t="e">
        <f>'25hike'!G115+IPI_plus!G107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'25hike'!C116+IPI_plus!C108</f>
        <v>#REF!</v>
      </c>
      <c r="D116" s="18" t="e">
        <f>'25hike'!D116+IPI_plus!D108</f>
        <v>#REF!</v>
      </c>
      <c r="E116" s="18" t="e">
        <f>'25hike'!E116+IPI_plus!E108</f>
        <v>#REF!</v>
      </c>
      <c r="F116" s="18" t="e">
        <f>'25hike'!F116+IPI_plus!F108</f>
        <v>#REF!</v>
      </c>
      <c r="G116" s="18" t="e">
        <f>'25hike'!G116+IPI_plus!G108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'25hike'!C117+IPI_plus!C109</f>
        <v>#REF!</v>
      </c>
      <c r="D117" s="18" t="e">
        <f>'25hike'!D117+IPI_plus!D109</f>
        <v>#REF!</v>
      </c>
      <c r="E117" s="18" t="e">
        <f>'25hike'!E117+IPI_plus!E109</f>
        <v>#REF!</v>
      </c>
      <c r="F117" s="18" t="e">
        <f>'25hike'!F117+IPI_plus!F109</f>
        <v>#REF!</v>
      </c>
      <c r="G117" s="18" t="e">
        <f>'25hike'!G117+IPI_plus!G109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'25hike'!C118+IPI_plus!C110</f>
        <v>#REF!</v>
      </c>
      <c r="D118" s="18" t="e">
        <f>'25hike'!D118+IPI_plus!D110</f>
        <v>#REF!</v>
      </c>
      <c r="E118" s="18" t="e">
        <f>'25hike'!E118+IPI_plus!E110</f>
        <v>#REF!</v>
      </c>
      <c r="F118" s="18" t="e">
        <f>'25hike'!F118+IPI_plus!F110</f>
        <v>#REF!</v>
      </c>
      <c r="G118" s="18" t="e">
        <f>'25hike'!G118+IPI_plus!G110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'25hike'!C119+IPI_plus!C111</f>
        <v>#REF!</v>
      </c>
      <c r="D119" s="18" t="e">
        <f>'25hike'!D119+IPI_plus!D111</f>
        <v>#REF!</v>
      </c>
      <c r="E119" s="18" t="e">
        <f>'25hike'!E119+IPI_plus!E111</f>
        <v>#REF!</v>
      </c>
      <c r="F119" s="18" t="e">
        <f>'25hike'!F119+IPI_plus!F111</f>
        <v>#REF!</v>
      </c>
      <c r="G119" s="18" t="e">
        <f>'25hike'!G119+IPI_plus!G111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'25hike'!C120+IPI_plus!C112</f>
        <v>#REF!</v>
      </c>
      <c r="D120" s="18" t="e">
        <f>'25hike'!D120+IPI_plus!D112</f>
        <v>#REF!</v>
      </c>
      <c r="E120" s="18" t="e">
        <f>'25hike'!E120+IPI_plus!E112</f>
        <v>#REF!</v>
      </c>
      <c r="F120" s="18" t="e">
        <f>'25hike'!F120+IPI_plus!F112</f>
        <v>#REF!</v>
      </c>
      <c r="G120" s="18" t="e">
        <f>'25hike'!G120+IPI_plus!G112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'25hike'!C121+IPI_plus!C113</f>
        <v>#REF!</v>
      </c>
      <c r="D121" s="18" t="e">
        <f>'25hike'!D121+IPI_plus!D113</f>
        <v>#REF!</v>
      </c>
      <c r="E121" s="18" t="e">
        <f>'25hike'!E121+IPI_plus!E113</f>
        <v>#REF!</v>
      </c>
      <c r="F121" s="18" t="e">
        <f>'25hike'!F121+IPI_plus!F113</f>
        <v>#REF!</v>
      </c>
      <c r="G121" s="18" t="e">
        <f>'25hike'!G121+IPI_plus!G113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'25hike'!C122+IPI_plus!C114</f>
        <v>#REF!</v>
      </c>
      <c r="D122" s="18" t="e">
        <f>'25hike'!D122+IPI_plus!D114</f>
        <v>#REF!</v>
      </c>
      <c r="E122" s="18" t="e">
        <f>'25hike'!E122+IPI_plus!E114</f>
        <v>#REF!</v>
      </c>
      <c r="F122" s="18" t="e">
        <f>'25hike'!F122+IPI_plus!F114</f>
        <v>#REF!</v>
      </c>
      <c r="G122" s="18" t="e">
        <f>'25hike'!G122+IPI_plus!G114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'25hike'!C123+IPI_plus!C115</f>
        <v>#REF!</v>
      </c>
      <c r="D123" s="18" t="e">
        <f>'25hike'!D123+IPI_plus!D115</f>
        <v>#REF!</v>
      </c>
      <c r="E123" s="18" t="e">
        <f>'25hike'!E123+IPI_plus!E115</f>
        <v>#REF!</v>
      </c>
      <c r="F123" s="18" t="e">
        <f>'25hike'!F123+IPI_plus!F115</f>
        <v>#REF!</v>
      </c>
      <c r="G123" s="18" t="e">
        <f>'25hike'!G123+IPI_plus!G115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'25hike'!C124+IPI_plus!C116</f>
        <v>#REF!</v>
      </c>
      <c r="D124" s="18" t="e">
        <f>'25hike'!D124+IPI_plus!D116</f>
        <v>#REF!</v>
      </c>
      <c r="E124" s="18" t="e">
        <f>'25hike'!E124+IPI_plus!E116</f>
        <v>#REF!</v>
      </c>
      <c r="F124" s="18" t="e">
        <f>'25hike'!F124+IPI_plus!F116</f>
        <v>#REF!</v>
      </c>
      <c r="G124" s="18" t="e">
        <f>'25hike'!G124+IPI_plus!G116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'25hike'!C125+IPI_plus!C117</f>
        <v>#REF!</v>
      </c>
      <c r="D125" s="18" t="e">
        <f>'25hike'!D125+IPI_plus!D117</f>
        <v>#REF!</v>
      </c>
      <c r="E125" s="18" t="e">
        <f>'25hike'!E125+IPI_plus!E117</f>
        <v>#REF!</v>
      </c>
      <c r="F125" s="18" t="e">
        <f>'25hike'!F125+IPI_plus!F117</f>
        <v>#REF!</v>
      </c>
      <c r="G125" s="18" t="e">
        <f>'25hike'!G125+IPI_plus!G117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'25hike'!C126+IPI_plus!C118</f>
        <v>#REF!</v>
      </c>
      <c r="D126" s="18" t="e">
        <f>'25hike'!D126+IPI_plus!D118</f>
        <v>#REF!</v>
      </c>
      <c r="E126" s="18" t="e">
        <f>'25hike'!E126+IPI_plus!E118</f>
        <v>#REF!</v>
      </c>
      <c r="F126" s="18" t="e">
        <f>'25hike'!F126+IPI_plus!F118</f>
        <v>#REF!</v>
      </c>
      <c r="G126" s="18" t="e">
        <f>'25hike'!G126+IPI_plus!G118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'25hike'!C127+IPI_plus!C119</f>
        <v>#REF!</v>
      </c>
      <c r="D127" s="18" t="e">
        <f>'25hike'!D127+IPI_plus!D119</f>
        <v>#REF!</v>
      </c>
      <c r="E127" s="18" t="e">
        <f>'25hike'!E127+IPI_plus!E119</f>
        <v>#REF!</v>
      </c>
      <c r="F127" s="18" t="e">
        <f>'25hike'!F127+IPI_plus!F119</f>
        <v>#REF!</v>
      </c>
      <c r="G127" s="18" t="e">
        <f>'25hike'!G127+IPI_plus!G119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'25hike'!C128+IPI_plus!C120</f>
        <v>#REF!</v>
      </c>
      <c r="D128" s="18" t="e">
        <f>'25hike'!D128+IPI_plus!D120</f>
        <v>#REF!</v>
      </c>
      <c r="E128" s="18" t="e">
        <f>'25hike'!E128+IPI_plus!E120</f>
        <v>#REF!</v>
      </c>
      <c r="F128" s="18" t="e">
        <f>'25hike'!F128+IPI_plus!F120</f>
        <v>#REF!</v>
      </c>
      <c r="G128" s="18" t="e">
        <f>'25hike'!G128+IPI_plus!G120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'25hike'!C129+IPI_plus!C121</f>
        <v>#REF!</v>
      </c>
      <c r="D129" s="18" t="e">
        <f>'25hike'!D129+IPI_plus!D121</f>
        <v>#REF!</v>
      </c>
      <c r="E129" s="18" t="e">
        <f>'25hike'!E129+IPI_plus!E121</f>
        <v>#REF!</v>
      </c>
      <c r="F129" s="18" t="e">
        <f>'25hike'!F129+IPI_plus!F121</f>
        <v>#REF!</v>
      </c>
      <c r="G129" s="18" t="e">
        <f>'25hike'!G129+IPI_plus!G121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'25hike'!C130+IPI_plus!C122</f>
        <v>#REF!</v>
      </c>
      <c r="D130" s="18" t="e">
        <f>'25hike'!D130+IPI_plus!D122</f>
        <v>#REF!</v>
      </c>
      <c r="E130" s="18" t="e">
        <f>'25hike'!E130+IPI_plus!E122</f>
        <v>#REF!</v>
      </c>
      <c r="F130" s="18" t="e">
        <f>'25hike'!F130+IPI_plus!F122</f>
        <v>#REF!</v>
      </c>
      <c r="G130" s="18" t="e">
        <f>'25hike'!G130+IPI_plus!G122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'25hike'!C131+IPI_plus!C123</f>
        <v>#REF!</v>
      </c>
      <c r="D131" s="18" t="e">
        <f>'25hike'!D131+IPI_plus!D123</f>
        <v>#REF!</v>
      </c>
      <c r="E131" s="18" t="e">
        <f>'25hike'!E131+IPI_plus!E123</f>
        <v>#REF!</v>
      </c>
      <c r="F131" s="18" t="e">
        <f>'25hike'!F131+IPI_plus!F123</f>
        <v>#REF!</v>
      </c>
      <c r="G131" s="18" t="e">
        <f>'25hike'!G131+IPI_plus!G123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'25hike'!C132+IPI_plus!C124</f>
        <v>#REF!</v>
      </c>
      <c r="D132" s="18" t="e">
        <f>'25hike'!D132+IPI_plus!D124</f>
        <v>#REF!</v>
      </c>
      <c r="E132" s="18" t="e">
        <f>'25hike'!E132+IPI_plus!E124</f>
        <v>#REF!</v>
      </c>
      <c r="F132" s="18" t="e">
        <f>'25hike'!F132+IPI_plus!F124</f>
        <v>#REF!</v>
      </c>
      <c r="G132" s="18" t="e">
        <f>'25hike'!G132+IPI_plus!G124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'25hike'!C133+IPI_plus!C125</f>
        <v>#REF!</v>
      </c>
      <c r="D133" s="18" t="e">
        <f>'25hike'!D133+IPI_plus!D125</f>
        <v>#REF!</v>
      </c>
      <c r="E133" s="18" t="e">
        <f>'25hike'!E133+IPI_plus!E125</f>
        <v>#REF!</v>
      </c>
      <c r="F133" s="18" t="e">
        <f>'25hike'!F133+IPI_plus!F125</f>
        <v>#REF!</v>
      </c>
      <c r="G133" s="18" t="e">
        <f>'25hike'!G133+IPI_plus!G125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'25hike'!C134+IPI_plus!C126</f>
        <v>#REF!</v>
      </c>
      <c r="D134" s="18" t="e">
        <f>'25hike'!D134+IPI_plus!D126</f>
        <v>#REF!</v>
      </c>
      <c r="E134" s="18" t="e">
        <f>'25hike'!E134+IPI_plus!E126</f>
        <v>#REF!</v>
      </c>
      <c r="F134" s="18" t="e">
        <f>'25hike'!F134+IPI_plus!F126</f>
        <v>#REF!</v>
      </c>
      <c r="G134" s="18" t="e">
        <f>'25hike'!G134+IPI_plus!G126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'25hike'!C135+IPI_plus!C127</f>
        <v>#REF!</v>
      </c>
      <c r="D135" s="18" t="e">
        <f>'25hike'!D135+IPI_plus!D127</f>
        <v>#REF!</v>
      </c>
      <c r="E135" s="18" t="e">
        <f>'25hike'!E135+IPI_plus!E127</f>
        <v>#REF!</v>
      </c>
      <c r="F135" s="18" t="e">
        <f>'25hike'!F135+IPI_plus!F127</f>
        <v>#REF!</v>
      </c>
      <c r="G135" s="18" t="e">
        <f>'25hike'!G135+IPI_plus!G127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'25hike'!C136+IPI_plus!C128</f>
        <v>#REF!</v>
      </c>
      <c r="D136" s="18" t="e">
        <f>'25hike'!D136+IPI_plus!D128</f>
        <v>#REF!</v>
      </c>
      <c r="E136" s="18" t="e">
        <f>'25hike'!E136+IPI_plus!E128</f>
        <v>#REF!</v>
      </c>
      <c r="F136" s="18" t="e">
        <f>'25hike'!F136+IPI_plus!F128</f>
        <v>#REF!</v>
      </c>
      <c r="G136" s="18" t="e">
        <f>'25hike'!G136+IPI_plus!G128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'25hike'!C137+IPI_plus!C129</f>
        <v>#REF!</v>
      </c>
      <c r="D137" s="18" t="e">
        <f>'25hike'!D137+IPI_plus!D129</f>
        <v>#REF!</v>
      </c>
      <c r="E137" s="18" t="e">
        <f>'25hike'!E137+IPI_plus!E129</f>
        <v>#REF!</v>
      </c>
      <c r="F137" s="18" t="e">
        <f>'25hike'!F137+IPI_plus!F129</f>
        <v>#REF!</v>
      </c>
      <c r="G137" s="18" t="e">
        <f>'25hike'!G137+IPI_plus!G129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'25hike'!C138+IPI_plus!C130</f>
        <v>#REF!</v>
      </c>
      <c r="D138" s="18" t="e">
        <f>'25hike'!D138+IPI_plus!D130</f>
        <v>#REF!</v>
      </c>
      <c r="E138" s="18" t="e">
        <f>'25hike'!E138+IPI_plus!E130</f>
        <v>#REF!</v>
      </c>
      <c r="F138" s="18" t="e">
        <f>'25hike'!F138+IPI_plus!F130</f>
        <v>#REF!</v>
      </c>
      <c r="G138" s="18" t="e">
        <f>'25hike'!G138+IPI_plus!G130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'25hike'!C139+IPI_plus!C131</f>
        <v>#REF!</v>
      </c>
      <c r="D139" s="18" t="e">
        <f>'25hike'!D139+IPI_plus!D131</f>
        <v>#REF!</v>
      </c>
      <c r="E139" s="18" t="e">
        <f>'25hike'!E139+IPI_plus!E131</f>
        <v>#REF!</v>
      </c>
      <c r="F139" s="18" t="e">
        <f>'25hike'!F139+IPI_plus!F131</f>
        <v>#REF!</v>
      </c>
      <c r="G139" s="18" t="e">
        <f>'25hike'!G139+IPI_plus!G131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'25hike'!C140+IPI_plus!C132</f>
        <v>#REF!</v>
      </c>
      <c r="D140" s="18" t="e">
        <f>'25hike'!D140+IPI_plus!D132</f>
        <v>#REF!</v>
      </c>
      <c r="E140" s="18" t="e">
        <f>'25hike'!E140+IPI_plus!E132</f>
        <v>#REF!</v>
      </c>
      <c r="F140" s="18" t="e">
        <f>'25hike'!F140+IPI_plus!F132</f>
        <v>#REF!</v>
      </c>
      <c r="G140" s="18" t="e">
        <f>'25hike'!G140+IPI_plus!G132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'25hike'!C141+IPI_plus!C133</f>
        <v>#REF!</v>
      </c>
      <c r="D141" s="18" t="e">
        <f>'25hike'!D141+IPI_plus!D133</f>
        <v>#REF!</v>
      </c>
      <c r="E141" s="18" t="e">
        <f>'25hike'!E141+IPI_plus!E133</f>
        <v>#REF!</v>
      </c>
      <c r="F141" s="18" t="e">
        <f>'25hike'!F141+IPI_plus!F133</f>
        <v>#REF!</v>
      </c>
      <c r="G141" s="18" t="e">
        <f>'25hike'!G141+IPI_plus!G133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'25hike'!C142+IPI_plus!C134</f>
        <v>#REF!</v>
      </c>
      <c r="D142" s="18" t="e">
        <f>'25hike'!D142+IPI_plus!D134</f>
        <v>#REF!</v>
      </c>
      <c r="E142" s="18" t="e">
        <f>'25hike'!E142+IPI_plus!E134</f>
        <v>#REF!</v>
      </c>
      <c r="F142" s="18" t="e">
        <f>'25hike'!F142+IPI_plus!F134</f>
        <v>#REF!</v>
      </c>
      <c r="G142" s="18" t="e">
        <f>'25hike'!G142+IPI_plus!G134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'25hike'!C143+IPI_plus!C135</f>
        <v>#REF!</v>
      </c>
      <c r="D143" s="18" t="e">
        <f>'25hike'!D143+IPI_plus!D135</f>
        <v>#REF!</v>
      </c>
      <c r="E143" s="18" t="e">
        <f>'25hike'!E143+IPI_plus!E135</f>
        <v>#REF!</v>
      </c>
      <c r="F143" s="18" t="e">
        <f>'25hike'!F143+IPI_plus!F135</f>
        <v>#REF!</v>
      </c>
      <c r="G143" s="18" t="e">
        <f>'25hike'!G143+IPI_plus!G135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'25hike'!C144+IPI_plus!C136</f>
        <v>#REF!</v>
      </c>
      <c r="D144" s="18" t="e">
        <f>'25hike'!D144+IPI_plus!D136</f>
        <v>#REF!</v>
      </c>
      <c r="E144" s="18" t="e">
        <f>'25hike'!E144+IPI_plus!E136</f>
        <v>#REF!</v>
      </c>
      <c r="F144" s="18" t="e">
        <f>'25hike'!F144+IPI_plus!F136</f>
        <v>#REF!</v>
      </c>
      <c r="G144" s="18" t="e">
        <f>'25hike'!G144+IPI_plus!G136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'25hike'!C145+IPI_plus!C137</f>
        <v>#REF!</v>
      </c>
      <c r="D145" s="18" t="e">
        <f>'25hike'!D145+IPI_plus!D137</f>
        <v>#REF!</v>
      </c>
      <c r="E145" s="18" t="e">
        <f>'25hike'!E145+IPI_plus!E137</f>
        <v>#REF!</v>
      </c>
      <c r="F145" s="18" t="e">
        <f>'25hike'!F145+IPI_plus!F137</f>
        <v>#REF!</v>
      </c>
      <c r="G145" s="18" t="e">
        <f>'25hike'!G145+IPI_plus!G137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'25hike'!C146+IPI_plus!C138</f>
        <v>#REF!</v>
      </c>
      <c r="D146" s="18" t="e">
        <f>'25hike'!D146+IPI_plus!D138</f>
        <v>#REF!</v>
      </c>
      <c r="E146" s="18" t="e">
        <f>'25hike'!E146+IPI_plus!E138</f>
        <v>#REF!</v>
      </c>
      <c r="F146" s="18" t="e">
        <f>'25hike'!F146+IPI_plus!F138</f>
        <v>#REF!</v>
      </c>
      <c r="G146" s="18" t="e">
        <f>'25hike'!G146+IPI_plus!G138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'25hike'!C147+IPI_plus!C139</f>
        <v>#REF!</v>
      </c>
      <c r="D147" s="18" t="e">
        <f>'25hike'!D147+IPI_plus!D139</f>
        <v>#REF!</v>
      </c>
      <c r="E147" s="18" t="e">
        <f>'25hike'!E147+IPI_plus!E139</f>
        <v>#REF!</v>
      </c>
      <c r="F147" s="18" t="e">
        <f>'25hike'!F147+IPI_plus!F139</f>
        <v>#REF!</v>
      </c>
      <c r="G147" s="18" t="e">
        <f>'25hike'!G147+IPI_plus!G139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'25hike'!C148+IPI_plus!C140</f>
        <v>#REF!</v>
      </c>
      <c r="D148" s="18" t="e">
        <f>'25hike'!D148+IPI_plus!D140</f>
        <v>#REF!</v>
      </c>
      <c r="E148" s="18" t="e">
        <f>'25hike'!E148+IPI_plus!E140</f>
        <v>#REF!</v>
      </c>
      <c r="F148" s="18" t="e">
        <f>'25hike'!F148+IPI_plus!F140</f>
        <v>#REF!</v>
      </c>
      <c r="G148" s="18" t="e">
        <f>'25hike'!G148+IPI_plus!G140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'25hike'!C149+IPI_plus!C141</f>
        <v>#REF!</v>
      </c>
      <c r="D149" s="18" t="e">
        <f>'25hike'!D149+IPI_plus!D141</f>
        <v>#REF!</v>
      </c>
      <c r="E149" s="18" t="e">
        <f>'25hike'!E149+IPI_plus!E141</f>
        <v>#REF!</v>
      </c>
      <c r="F149" s="18" t="e">
        <f>'25hike'!F149+IPI_plus!F141</f>
        <v>#REF!</v>
      </c>
      <c r="G149" s="18" t="e">
        <f>'25hike'!G149+IPI_plus!G141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'25hike'!C150+IPI_plus!C142</f>
        <v>#REF!</v>
      </c>
      <c r="D150" s="18" t="e">
        <f>'25hike'!D150+IPI_plus!D142</f>
        <v>#REF!</v>
      </c>
      <c r="E150" s="18" t="e">
        <f>'25hike'!E150+IPI_plus!E142</f>
        <v>#REF!</v>
      </c>
      <c r="F150" s="18" t="e">
        <f>'25hike'!F150+IPI_plus!F142</f>
        <v>#REF!</v>
      </c>
      <c r="G150" s="18" t="e">
        <f>'25hike'!G150+IPI_plus!G142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'25hike'!C151+IPI_plus!C143</f>
        <v>#REF!</v>
      </c>
      <c r="D151" s="18" t="e">
        <f>'25hike'!D151+IPI_plus!D143</f>
        <v>#REF!</v>
      </c>
      <c r="E151" s="18" t="e">
        <f>'25hike'!E151+IPI_plus!E143</f>
        <v>#REF!</v>
      </c>
      <c r="F151" s="18" t="e">
        <f>'25hike'!F151+IPI_plus!F143</f>
        <v>#REF!</v>
      </c>
      <c r="G151" s="18" t="e">
        <f>'25hike'!G151+IPI_plus!G143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'25hike'!C152+IPI_plus!C144</f>
        <v>#REF!</v>
      </c>
      <c r="D152" s="18" t="e">
        <f>'25hike'!D152+IPI_plus!D144</f>
        <v>#REF!</v>
      </c>
      <c r="E152" s="18" t="e">
        <f>'25hike'!E152+IPI_plus!E144</f>
        <v>#REF!</v>
      </c>
      <c r="F152" s="18" t="e">
        <f>'25hike'!F152+IPI_plus!F144</f>
        <v>#REF!</v>
      </c>
      <c r="G152" s="18" t="e">
        <f>'25hike'!G152+IPI_plus!G144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'25hike'!C153+IPI_plus!C145</f>
        <v>#REF!</v>
      </c>
      <c r="D153" s="18" t="e">
        <f>'25hike'!D153+IPI_plus!D145</f>
        <v>#REF!</v>
      </c>
      <c r="E153" s="18" t="e">
        <f>'25hike'!E153+IPI_plus!E145</f>
        <v>#REF!</v>
      </c>
      <c r="F153" s="18" t="e">
        <f>'25hike'!F153+IPI_plus!F145</f>
        <v>#REF!</v>
      </c>
      <c r="G153" s="18" t="e">
        <f>'25hike'!G153+IPI_plus!G145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'25hike'!C154+IPI_plus!C146</f>
        <v>#REF!</v>
      </c>
      <c r="D154" s="18" t="e">
        <f>'25hike'!D154+IPI_plus!D146</f>
        <v>#REF!</v>
      </c>
      <c r="E154" s="18" t="e">
        <f>'25hike'!E154+IPI_plus!E146</f>
        <v>#REF!</v>
      </c>
      <c r="F154" s="18" t="e">
        <f>'25hike'!F154+IPI_plus!F146</f>
        <v>#REF!</v>
      </c>
      <c r="G154" s="18" t="e">
        <f>'25hike'!G154+IPI_plus!G146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'25hike'!C155+IPI_plus!C147</f>
        <v>#REF!</v>
      </c>
      <c r="D155" s="18" t="e">
        <f>'25hike'!D155+IPI_plus!D147</f>
        <v>#REF!</v>
      </c>
      <c r="E155" s="18" t="e">
        <f>'25hike'!E155+IPI_plus!E147</f>
        <v>#REF!</v>
      </c>
      <c r="F155" s="18" t="e">
        <f>'25hike'!F155+IPI_plus!F147</f>
        <v>#REF!</v>
      </c>
      <c r="G155" s="18" t="e">
        <f>'25hike'!G155+IPI_plus!G147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'25hike'!C156+IPI_plus!C148</f>
        <v>#REF!</v>
      </c>
      <c r="D156" s="18" t="e">
        <f>'25hike'!D156+IPI_plus!D148</f>
        <v>#REF!</v>
      </c>
      <c r="E156" s="18" t="e">
        <f>'25hike'!E156+IPI_plus!E148</f>
        <v>#REF!</v>
      </c>
      <c r="F156" s="18" t="e">
        <f>'25hike'!F156+IPI_plus!F148</f>
        <v>#REF!</v>
      </c>
      <c r="G156" s="18" t="e">
        <f>'25hike'!G156+IPI_plus!G148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'25hike'!C157+IPI_plus!C149</f>
        <v>#REF!</v>
      </c>
      <c r="D157" s="18" t="e">
        <f>'25hike'!D157+IPI_plus!D149</f>
        <v>#REF!</v>
      </c>
      <c r="E157" s="18" t="e">
        <f>'25hike'!E157+IPI_plus!E149</f>
        <v>#REF!</v>
      </c>
      <c r="F157" s="18" t="e">
        <f>'25hike'!F157+IPI_plus!F149</f>
        <v>#REF!</v>
      </c>
      <c r="G157" s="18" t="e">
        <f>'25hike'!G157+IPI_plus!G149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'25hike'!C158+IPI_plus!C150</f>
        <v>#REF!</v>
      </c>
      <c r="D158" s="18" t="e">
        <f>'25hike'!D158+IPI_plus!D150</f>
        <v>#REF!</v>
      </c>
      <c r="E158" s="18" t="e">
        <f>'25hike'!E158+IPI_plus!E150</f>
        <v>#REF!</v>
      </c>
      <c r="F158" s="18" t="e">
        <f>'25hike'!F158+IPI_plus!F150</f>
        <v>#REF!</v>
      </c>
      <c r="G158" s="18" t="e">
        <f>'25hike'!G158+IPI_plus!G150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'25hike'!C159+IPI_plus!C151</f>
        <v>#REF!</v>
      </c>
      <c r="D159" s="18" t="e">
        <f>'25hike'!D159+IPI_plus!D151</f>
        <v>#REF!</v>
      </c>
      <c r="E159" s="18" t="e">
        <f>'25hike'!E159+IPI_plus!E151</f>
        <v>#REF!</v>
      </c>
      <c r="F159" s="18" t="e">
        <f>'25hike'!F159+IPI_plus!F151</f>
        <v>#REF!</v>
      </c>
      <c r="G159" s="18" t="e">
        <f>'25hike'!G159+IPI_plus!G151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'25hike'!C160+IPI_plus!C152</f>
        <v>#REF!</v>
      </c>
      <c r="D160" s="18" t="e">
        <f>'25hike'!D160+IPI_plus!D152</f>
        <v>#REF!</v>
      </c>
      <c r="E160" s="18" t="e">
        <f>'25hike'!E160+IPI_plus!E152</f>
        <v>#REF!</v>
      </c>
      <c r="F160" s="18" t="e">
        <f>'25hike'!F160+IPI_plus!F152</f>
        <v>#REF!</v>
      </c>
      <c r="G160" s="18" t="e">
        <f>'25hike'!G160+IPI_plus!G152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'25hike'!C161+IPI_plus!C153</f>
        <v>#REF!</v>
      </c>
      <c r="D161" s="18" t="e">
        <f>'25hike'!D161+IPI_plus!D153</f>
        <v>#REF!</v>
      </c>
      <c r="E161" s="18" t="e">
        <f>'25hike'!E161+IPI_plus!E153</f>
        <v>#REF!</v>
      </c>
      <c r="F161" s="18" t="e">
        <f>'25hike'!F161+IPI_plus!F153</f>
        <v>#REF!</v>
      </c>
      <c r="G161" s="18" t="e">
        <f>'25hike'!G161+IPI_plus!G153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'25hike'!C162+IPI_plus!C154</f>
        <v>#REF!</v>
      </c>
      <c r="D162" s="18" t="e">
        <f>'25hike'!D162+IPI_plus!D154</f>
        <v>#REF!</v>
      </c>
      <c r="E162" s="18" t="e">
        <f>'25hike'!E162+IPI_plus!E154</f>
        <v>#REF!</v>
      </c>
      <c r="F162" s="18" t="e">
        <f>'25hike'!F162+IPI_plus!F154</f>
        <v>#REF!</v>
      </c>
      <c r="G162" s="18" t="e">
        <f>'25hike'!G162+IPI_plus!G154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'25hike'!C163+IPI_plus!C155</f>
        <v>#REF!</v>
      </c>
      <c r="D163" s="18" t="e">
        <f>'25hike'!D163+IPI_plus!D155</f>
        <v>#REF!</v>
      </c>
      <c r="E163" s="18" t="e">
        <f>'25hike'!E163+IPI_plus!E155</f>
        <v>#REF!</v>
      </c>
      <c r="F163" s="18" t="e">
        <f>'25hike'!F163+IPI_plus!F155</f>
        <v>#REF!</v>
      </c>
      <c r="G163" s="18" t="e">
        <f>'25hike'!G163+IPI_plus!G155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'25hike'!C164+IPI_plus!C156</f>
        <v>#REF!</v>
      </c>
      <c r="D164" s="18" t="e">
        <f>'25hike'!D164+IPI_plus!D156</f>
        <v>#REF!</v>
      </c>
      <c r="E164" s="18" t="e">
        <f>'25hike'!E164+IPI_plus!E156</f>
        <v>#REF!</v>
      </c>
      <c r="F164" s="18" t="e">
        <f>'25hike'!F164+IPI_plus!F156</f>
        <v>#REF!</v>
      </c>
      <c r="G164" s="18" t="e">
        <f>'25hike'!G164+IPI_plus!G156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'25hike'!C165+IPI_plus!C157</f>
        <v>#REF!</v>
      </c>
      <c r="D165" s="18" t="e">
        <f>'25hike'!D165+IPI_plus!D157</f>
        <v>#REF!</v>
      </c>
      <c r="E165" s="18" t="e">
        <f>'25hike'!E165+IPI_plus!E157</f>
        <v>#REF!</v>
      </c>
      <c r="F165" s="18" t="e">
        <f>'25hike'!F165+IPI_plus!F157</f>
        <v>#REF!</v>
      </c>
      <c r="G165" s="18" t="e">
        <f>'25hike'!G165+IPI_plus!G157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'25hike'!C166+IPI_plus!C158</f>
        <v>#REF!</v>
      </c>
      <c r="D166" s="18" t="e">
        <f>'25hike'!D166+IPI_plus!D158</f>
        <v>#REF!</v>
      </c>
      <c r="E166" s="18" t="e">
        <f>'25hike'!E166+IPI_plus!E158</f>
        <v>#REF!</v>
      </c>
      <c r="F166" s="18" t="e">
        <f>'25hike'!F166+IPI_plus!F158</f>
        <v>#REF!</v>
      </c>
      <c r="G166" s="18" t="e">
        <f>'25hike'!G166+IPI_plus!G158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'25hike'!C167+IPI_plus!C159</f>
        <v>#REF!</v>
      </c>
      <c r="D167" s="18" t="e">
        <f>'25hike'!D167+IPI_plus!D159</f>
        <v>#REF!</v>
      </c>
      <c r="E167" s="18" t="e">
        <f>'25hike'!E167+IPI_plus!E159</f>
        <v>#REF!</v>
      </c>
      <c r="F167" s="18" t="e">
        <f>'25hike'!F167+IPI_plus!F159</f>
        <v>#REF!</v>
      </c>
      <c r="G167" s="18" t="e">
        <f>'25hike'!G167+IPI_plus!G159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'25hike'!C168+IPI_plus!C160</f>
        <v>#REF!</v>
      </c>
      <c r="D168" s="18" t="e">
        <f>'25hike'!D168+IPI_plus!D160</f>
        <v>#REF!</v>
      </c>
      <c r="E168" s="18" t="e">
        <f>'25hike'!E168+IPI_plus!E160</f>
        <v>#REF!</v>
      </c>
      <c r="F168" s="18" t="e">
        <f>'25hike'!F168+IPI_plus!F160</f>
        <v>#REF!</v>
      </c>
      <c r="G168" s="18" t="e">
        <f>'25hike'!G168+IPI_plus!G160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'25hike'!C169+IPI_plus!C161</f>
        <v>#REF!</v>
      </c>
      <c r="D169" s="18" t="e">
        <f>'25hike'!D169+IPI_plus!D161</f>
        <v>#REF!</v>
      </c>
      <c r="E169" s="18" t="e">
        <f>'25hike'!E169+IPI_plus!E161</f>
        <v>#REF!</v>
      </c>
      <c r="F169" s="18" t="e">
        <f>'25hike'!F169+IPI_plus!F161</f>
        <v>#REF!</v>
      </c>
      <c r="G169" s="18" t="e">
        <f>'25hike'!G169+IPI_plus!G161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'25hike'!C170+IPI_plus!C162</f>
        <v>#REF!</v>
      </c>
      <c r="D170" s="18" t="e">
        <f>'25hike'!D170+IPI_plus!D162</f>
        <v>#REF!</v>
      </c>
      <c r="E170" s="18" t="e">
        <f>'25hike'!E170+IPI_plus!E162</f>
        <v>#REF!</v>
      </c>
      <c r="F170" s="18" t="e">
        <f>'25hike'!F170+IPI_plus!F162</f>
        <v>#REF!</v>
      </c>
      <c r="G170" s="18" t="e">
        <f>'25hike'!G170+IPI_plus!G162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'25hike'!C171+IPI_plus!C163</f>
        <v>#REF!</v>
      </c>
      <c r="D171" s="18" t="e">
        <f>'25hike'!D171+IPI_plus!D163</f>
        <v>#REF!</v>
      </c>
      <c r="E171" s="18" t="e">
        <f>'25hike'!E171+IPI_plus!E163</f>
        <v>#REF!</v>
      </c>
      <c r="F171" s="18" t="e">
        <f>'25hike'!F171+IPI_plus!F163</f>
        <v>#REF!</v>
      </c>
      <c r="G171" s="18" t="e">
        <f>'25hike'!G171+IPI_plus!G163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'25hike'!C172+IPI_plus!C164</f>
        <v>#REF!</v>
      </c>
      <c r="D172" s="18" t="e">
        <f>'25hike'!D172+IPI_plus!D164</f>
        <v>#REF!</v>
      </c>
      <c r="E172" s="18" t="e">
        <f>'25hike'!E172+IPI_plus!E164</f>
        <v>#REF!</v>
      </c>
      <c r="F172" s="18" t="e">
        <f>'25hike'!F172+IPI_plus!F164</f>
        <v>#REF!</v>
      </c>
      <c r="G172" s="18" t="e">
        <f>'25hike'!G172+IPI_plus!G164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'25hike'!C173+IPI_plus!C165</f>
        <v>#REF!</v>
      </c>
      <c r="D173" s="18" t="e">
        <f>'25hike'!D173+IPI_plus!D165</f>
        <v>#REF!</v>
      </c>
      <c r="E173" s="18" t="e">
        <f>'25hike'!E173+IPI_plus!E165</f>
        <v>#REF!</v>
      </c>
      <c r="F173" s="18" t="e">
        <f>'25hike'!F173+IPI_plus!F165</f>
        <v>#REF!</v>
      </c>
      <c r="G173" s="18" t="e">
        <f>'25hike'!G173+IPI_plus!G165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'25hike'!C174+IPI_plus!C166</f>
        <v>#REF!</v>
      </c>
      <c r="D174" s="18" t="e">
        <f>'25hike'!D174+IPI_plus!D166</f>
        <v>#REF!</v>
      </c>
      <c r="E174" s="18" t="e">
        <f>'25hike'!E174+IPI_plus!E166</f>
        <v>#REF!</v>
      </c>
      <c r="F174" s="18" t="e">
        <f>'25hike'!F174+IPI_plus!F166</f>
        <v>#REF!</v>
      </c>
      <c r="G174" s="18" t="e">
        <f>'25hike'!G174+IPI_plus!G166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'25hike'!C175+IPI_plus!C167</f>
        <v>#REF!</v>
      </c>
      <c r="D175" s="18" t="e">
        <f>'25hike'!D175+IPI_plus!D167</f>
        <v>#REF!</v>
      </c>
      <c r="E175" s="18" t="e">
        <f>'25hike'!E175+IPI_plus!E167</f>
        <v>#REF!</v>
      </c>
      <c r="F175" s="18" t="e">
        <f>'25hike'!F175+IPI_plus!F167</f>
        <v>#REF!</v>
      </c>
      <c r="G175" s="18" t="e">
        <f>'25hike'!G175+IPI_plus!G167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'25hike'!C176+IPI_plus!C168</f>
        <v>#REF!</v>
      </c>
      <c r="D176" s="18" t="e">
        <f>'25hike'!D176+IPI_plus!D168</f>
        <v>#REF!</v>
      </c>
      <c r="E176" s="18" t="e">
        <f>'25hike'!E176+IPI_plus!E168</f>
        <v>#REF!</v>
      </c>
      <c r="F176" s="18" t="e">
        <f>'25hike'!F176+IPI_plus!F168</f>
        <v>#REF!</v>
      </c>
      <c r="G176" s="18" t="e">
        <f>'25hike'!G176+IPI_plus!G168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'25hike'!C177+IPI_plus!C169</f>
        <v>#REF!</v>
      </c>
      <c r="D177" s="18" t="e">
        <f>'25hike'!D177+IPI_plus!D169</f>
        <v>#REF!</v>
      </c>
      <c r="E177" s="18" t="e">
        <f>'25hike'!E177+IPI_plus!E169</f>
        <v>#REF!</v>
      </c>
      <c r="F177" s="18" t="e">
        <f>'25hike'!F177+IPI_plus!F169</f>
        <v>#REF!</v>
      </c>
      <c r="G177" s="18" t="e">
        <f>'25hike'!G177+IPI_plus!G169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'25hike'!C178+IPI_plus!C170</f>
        <v>#REF!</v>
      </c>
      <c r="D178" s="18" t="e">
        <f>'25hike'!D178+IPI_plus!D170</f>
        <v>#REF!</v>
      </c>
      <c r="E178" s="18" t="e">
        <f>'25hike'!E178+IPI_plus!E170</f>
        <v>#REF!</v>
      </c>
      <c r="F178" s="18" t="e">
        <f>'25hike'!F178+IPI_plus!F170</f>
        <v>#REF!</v>
      </c>
      <c r="G178" s="18" t="e">
        <f>'25hike'!G178+IPI_plus!G170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'25hike'!C179+IPI_plus!C171</f>
        <v>#REF!</v>
      </c>
      <c r="D179" s="18" t="e">
        <f>'25hike'!D179+IPI_plus!D171</f>
        <v>#REF!</v>
      </c>
      <c r="E179" s="18" t="e">
        <f>'25hike'!E179+IPI_plus!E171</f>
        <v>#REF!</v>
      </c>
      <c r="F179" s="18" t="e">
        <f>'25hike'!F179+IPI_plus!F171</f>
        <v>#REF!</v>
      </c>
      <c r="G179" s="18" t="e">
        <f>'25hike'!G179+IPI_plus!G171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'25hike'!C180+IPI_plus!C172</f>
        <v>#REF!</v>
      </c>
      <c r="D180" s="18" t="e">
        <f>'25hike'!D180+IPI_plus!D172</f>
        <v>#REF!</v>
      </c>
      <c r="E180" s="18" t="e">
        <f>'25hike'!E180+IPI_plus!E172</f>
        <v>#REF!</v>
      </c>
      <c r="F180" s="18" t="e">
        <f>'25hike'!F180+IPI_plus!F172</f>
        <v>#REF!</v>
      </c>
      <c r="G180" s="18" t="e">
        <f>'25hike'!G180+IPI_plus!G172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'25hike'!C181+IPI_plus!C173</f>
        <v>#REF!</v>
      </c>
      <c r="D181" s="18" t="e">
        <f>'25hike'!D181+IPI_plus!D173</f>
        <v>#REF!</v>
      </c>
      <c r="E181" s="18" t="e">
        <f>'25hike'!E181+IPI_plus!E173</f>
        <v>#REF!</v>
      </c>
      <c r="F181" s="18" t="e">
        <f>'25hike'!F181+IPI_plus!F173</f>
        <v>#REF!</v>
      </c>
      <c r="G181" s="18" t="e">
        <f>'25hike'!G181+IPI_plus!G173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'25hike'!C182+IPI_plus!C174</f>
        <v>#REF!</v>
      </c>
      <c r="D182" s="18" t="e">
        <f>'25hike'!D182+IPI_plus!D174</f>
        <v>#REF!</v>
      </c>
      <c r="E182" s="18" t="e">
        <f>'25hike'!E182+IPI_plus!E174</f>
        <v>#REF!</v>
      </c>
      <c r="F182" s="18" t="e">
        <f>'25hike'!F182+IPI_plus!F174</f>
        <v>#REF!</v>
      </c>
      <c r="G182" s="18" t="e">
        <f>'25hike'!G182+IPI_plus!G174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'25hike'!C183+IPI_plus!C175</f>
        <v>#REF!</v>
      </c>
      <c r="D183" s="18" t="e">
        <f>'25hike'!D183+IPI_plus!D175</f>
        <v>#REF!</v>
      </c>
      <c r="E183" s="18" t="e">
        <f>'25hike'!E183+IPI_plus!E175</f>
        <v>#REF!</v>
      </c>
      <c r="F183" s="18" t="e">
        <f>'25hike'!F183+IPI_plus!F175</f>
        <v>#REF!</v>
      </c>
      <c r="G183" s="18" t="e">
        <f>'25hike'!G183+IPI_plus!G175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'25hike'!C184+IPI_plus!C176</f>
        <v>#REF!</v>
      </c>
      <c r="D184" s="18" t="e">
        <f>'25hike'!D184+IPI_plus!D176</f>
        <v>#REF!</v>
      </c>
      <c r="E184" s="18" t="e">
        <f>'25hike'!E184+IPI_plus!E176</f>
        <v>#REF!</v>
      </c>
      <c r="F184" s="18" t="e">
        <f>'25hike'!F184+IPI_plus!F176</f>
        <v>#REF!</v>
      </c>
      <c r="G184" s="18" t="e">
        <f>'25hike'!G184+IPI_plus!G176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'25hike'!C185+IPI_plus!C177</f>
        <v>#REF!</v>
      </c>
      <c r="D185" s="18" t="e">
        <f>'25hike'!D185+IPI_plus!D177</f>
        <v>#REF!</v>
      </c>
      <c r="E185" s="18" t="e">
        <f>'25hike'!E185+IPI_plus!E177</f>
        <v>#REF!</v>
      </c>
      <c r="F185" s="18" t="e">
        <f>'25hike'!F185+IPI_plus!F177</f>
        <v>#REF!</v>
      </c>
      <c r="G185" s="18" t="e">
        <f>'25hike'!G185+IPI_plus!G177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'25hike'!C186+IPI_plus!C178</f>
        <v>#REF!</v>
      </c>
      <c r="D186" s="18" t="e">
        <f>'25hike'!D186+IPI_plus!D178</f>
        <v>#REF!</v>
      </c>
      <c r="E186" s="18" t="e">
        <f>'25hike'!E186+IPI_plus!E178</f>
        <v>#REF!</v>
      </c>
      <c r="F186" s="18" t="e">
        <f>'25hike'!F186+IPI_plus!F178</f>
        <v>#REF!</v>
      </c>
      <c r="G186" s="18" t="e">
        <f>'25hike'!G186+IPI_plus!G178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'25hike'!C187+IPI_plus!C179</f>
        <v>#REF!</v>
      </c>
      <c r="D187" s="18" t="e">
        <f>'25hike'!D187+IPI_plus!D179</f>
        <v>#REF!</v>
      </c>
      <c r="E187" s="18" t="e">
        <f>'25hike'!E187+IPI_plus!E179</f>
        <v>#REF!</v>
      </c>
      <c r="F187" s="18" t="e">
        <f>'25hike'!F187+IPI_plus!F179</f>
        <v>#REF!</v>
      </c>
      <c r="G187" s="18" t="e">
        <f>'25hike'!G187+IPI_plus!G179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'25hike'!C188+IPI_plus!C180</f>
        <v>#REF!</v>
      </c>
      <c r="D188" s="18" t="e">
        <f>'25hike'!D188+IPI_plus!D180</f>
        <v>#REF!</v>
      </c>
      <c r="E188" s="18" t="e">
        <f>'25hike'!E188+IPI_plus!E180</f>
        <v>#REF!</v>
      </c>
      <c r="F188" s="18" t="e">
        <f>'25hike'!F188+IPI_plus!F180</f>
        <v>#REF!</v>
      </c>
      <c r="G188" s="18" t="e">
        <f>'25hike'!G188+IPI_plus!G180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'25hike'!C189+IPI_plus!C181</f>
        <v>#REF!</v>
      </c>
      <c r="D189" s="18" t="e">
        <f>'25hike'!D189+IPI_plus!D181</f>
        <v>#REF!</v>
      </c>
      <c r="E189" s="18" t="e">
        <f>'25hike'!E189+IPI_plus!E181</f>
        <v>#REF!</v>
      </c>
      <c r="F189" s="18" t="e">
        <f>'25hike'!F189+IPI_plus!F181</f>
        <v>#REF!</v>
      </c>
      <c r="G189" s="18" t="e">
        <f>'25hike'!G189+IPI_plus!G181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'25hike'!C190+IPI_plus!C182</f>
        <v>#REF!</v>
      </c>
      <c r="D190" s="18" t="e">
        <f>'25hike'!D190+IPI_plus!D182</f>
        <v>#REF!</v>
      </c>
      <c r="E190" s="18" t="e">
        <f>'25hike'!E190+IPI_plus!E182</f>
        <v>#REF!</v>
      </c>
      <c r="F190" s="18" t="e">
        <f>'25hike'!F190+IPI_plus!F182</f>
        <v>#REF!</v>
      </c>
      <c r="G190" s="18" t="e">
        <f>'25hike'!G190+IPI_plus!G182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'25hike'!C191+IPI_plus!C183</f>
        <v>#REF!</v>
      </c>
      <c r="D191" s="18" t="e">
        <f>'25hike'!D191+IPI_plus!D183</f>
        <v>#REF!</v>
      </c>
      <c r="E191" s="18" t="e">
        <f>'25hike'!E191+IPI_plus!E183</f>
        <v>#REF!</v>
      </c>
      <c r="F191" s="18" t="e">
        <f>'25hike'!F191+IPI_plus!F183</f>
        <v>#REF!</v>
      </c>
      <c r="G191" s="18" t="e">
        <f>'25hike'!G191+IPI_plus!G183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'25hike'!C192+IPI_plus!C184</f>
        <v>#REF!</v>
      </c>
      <c r="D192" s="18" t="e">
        <f>'25hike'!D192+IPI_plus!D184</f>
        <v>#REF!</v>
      </c>
      <c r="E192" s="18" t="e">
        <f>'25hike'!E192+IPI_plus!E184</f>
        <v>#REF!</v>
      </c>
      <c r="F192" s="18" t="e">
        <f>'25hike'!F192+IPI_plus!F184</f>
        <v>#REF!</v>
      </c>
      <c r="G192" s="18" t="e">
        <f>'25hike'!G192+IPI_plus!G184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'25hike'!C193+IPI_plus!C185</f>
        <v>#REF!</v>
      </c>
      <c r="D193" s="18" t="e">
        <f>'25hike'!D193+IPI_plus!D185</f>
        <v>#REF!</v>
      </c>
      <c r="E193" s="18" t="e">
        <f>'25hike'!E193+IPI_plus!E185</f>
        <v>#REF!</v>
      </c>
      <c r="F193" s="18" t="e">
        <f>'25hike'!F193+IPI_plus!F185</f>
        <v>#REF!</v>
      </c>
      <c r="G193" s="18" t="e">
        <f>'25hike'!G193+IPI_plus!G185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'25hike'!C194+IPI_plus!C186</f>
        <v>#REF!</v>
      </c>
      <c r="D194" s="18" t="e">
        <f>'25hike'!D194+IPI_plus!D186</f>
        <v>#REF!</v>
      </c>
      <c r="E194" s="18" t="e">
        <f>'25hike'!E194+IPI_plus!E186</f>
        <v>#REF!</v>
      </c>
      <c r="F194" s="18" t="e">
        <f>'25hike'!F194+IPI_plus!F186</f>
        <v>#REF!</v>
      </c>
      <c r="G194" s="18" t="e">
        <f>'25hike'!G194+IPI_plus!G186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'25hike'!C195+IPI_plus!C187</f>
        <v>#REF!</v>
      </c>
      <c r="D195" s="18" t="e">
        <f>'25hike'!D195+IPI_plus!D187</f>
        <v>#REF!</v>
      </c>
      <c r="E195" s="18" t="e">
        <f>'25hike'!E195+IPI_plus!E187</f>
        <v>#REF!</v>
      </c>
      <c r="F195" s="18" t="e">
        <f>'25hike'!F195+IPI_plus!F187</f>
        <v>#REF!</v>
      </c>
      <c r="G195" s="18" t="e">
        <f>'25hike'!G195+IPI_plus!G187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1" si="152">A195+0.25</f>
        <v>47.5</v>
      </c>
      <c r="B196" s="4">
        <f t="shared" ref="B196:B201" si="153">B195</f>
        <v>0</v>
      </c>
      <c r="C196" s="18" t="e">
        <f>'25hike'!C196+IPI_plus!C188</f>
        <v>#REF!</v>
      </c>
      <c r="D196" s="18" t="e">
        <f>'25hike'!D196+IPI_plus!D188</f>
        <v>#REF!</v>
      </c>
      <c r="E196" s="18" t="e">
        <f>'25hike'!E196+IPI_plus!E188</f>
        <v>#REF!</v>
      </c>
      <c r="F196" s="18" t="e">
        <f>'25hike'!F196+IPI_plus!F188</f>
        <v>#REF!</v>
      </c>
      <c r="G196" s="18" t="e">
        <f>'25hike'!G196+IPI_plus!G188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'25hike'!C197+IPI_plus!C189</f>
        <v>#REF!</v>
      </c>
      <c r="D197" s="18" t="e">
        <f>'25hike'!D197+IPI_plus!D189</f>
        <v>#REF!</v>
      </c>
      <c r="E197" s="18" t="e">
        <f>'25hike'!E197+IPI_plus!E189</f>
        <v>#REF!</v>
      </c>
      <c r="F197" s="18" t="e">
        <f>'25hike'!F197+IPI_plus!F189</f>
        <v>#REF!</v>
      </c>
      <c r="G197" s="18" t="e">
        <f>'25hike'!G197+IPI_plus!G189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'25hike'!C198+IPI_plus!C190</f>
        <v>#REF!</v>
      </c>
      <c r="D198" s="18" t="e">
        <f>'25hike'!D198+IPI_plus!D190</f>
        <v>#REF!</v>
      </c>
      <c r="E198" s="18" t="e">
        <f>'25hike'!E198+IPI_plus!E190</f>
        <v>#REF!</v>
      </c>
      <c r="F198" s="18" t="e">
        <f>'25hike'!F198+IPI_plus!F190</f>
        <v>#REF!</v>
      </c>
      <c r="G198" s="18" t="e">
        <f>'25hike'!G198+IPI_plus!G190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'25hike'!C199+IPI_plus!C191</f>
        <v>#REF!</v>
      </c>
      <c r="D199" s="18" t="e">
        <f>'25hike'!D199+IPI_plus!D191</f>
        <v>#REF!</v>
      </c>
      <c r="E199" s="18" t="e">
        <f>'25hike'!E199+IPI_plus!E191</f>
        <v>#REF!</v>
      </c>
      <c r="F199" s="18" t="e">
        <f>'25hike'!F199+IPI_plus!F191</f>
        <v>#REF!</v>
      </c>
      <c r="G199" s="18" t="e">
        <f>'25hike'!G199+IPI_plus!G191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'25hike'!C200+IPI_plus!C192</f>
        <v>#REF!</v>
      </c>
      <c r="D200" s="18" t="e">
        <f>'25hike'!D200+IPI_plus!D192</f>
        <v>#REF!</v>
      </c>
      <c r="E200" s="18" t="e">
        <f>'25hike'!E200+IPI_plus!E192</f>
        <v>#REF!</v>
      </c>
      <c r="F200" s="18" t="e">
        <f>'25hike'!F200+IPI_plus!F192</f>
        <v>#REF!</v>
      </c>
      <c r="G200" s="18" t="e">
        <f>'25hike'!G200+IPI_plus!G192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1ED3-4959-49CB-9ABC-DB4DCE0193C9}">
  <sheetPr codeName="Sheet9">
    <tabColor theme="8" tint="0.79998168889431442"/>
  </sheetPr>
  <dimension ref="A1:J201"/>
  <sheetViews>
    <sheetView zoomScaleNormal="100" workbookViewId="0">
      <pane xSplit="2" ySplit="1" topLeftCell="C2" activePane="bottomRight" state="frozen"/>
      <selection activeCell="E212" sqref="E212"/>
      <selection pane="topRight" activeCell="E212" sqref="E212"/>
      <selection pane="bottomLeft" activeCell="E212" sqref="E212"/>
      <selection pane="bottomRight" activeCell="G7" sqref="G7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f>'25hike'!C2</f>
        <v>0</v>
      </c>
      <c r="D2" s="14">
        <f>'25hike'!D2</f>
        <v>1.25</v>
      </c>
      <c r="E2" s="14">
        <f>'25hike'!E2</f>
        <v>1.25</v>
      </c>
      <c r="F2" s="14">
        <f>'25hike'!F2</f>
        <v>1.25</v>
      </c>
      <c r="G2" s="14">
        <f>'25hike'!G2</f>
        <v>0</v>
      </c>
      <c r="H2" s="16">
        <v>2</v>
      </c>
      <c r="I2" s="16">
        <v>0.75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f>'25hike'!C3</f>
        <v>4.9539478305621484E-2</v>
      </c>
      <c r="D3" s="14">
        <f>'25hike'!D3</f>
        <v>1.482828648036421</v>
      </c>
      <c r="E3" s="14">
        <f>'25hike'!E3</f>
        <v>1.4273375684690084</v>
      </c>
      <c r="F3" s="14">
        <f>'25hike'!F3</f>
        <v>1.2709545783232779</v>
      </c>
      <c r="G3" s="14">
        <f>'25hike'!G3</f>
        <v>-1.000000000000119E-5</v>
      </c>
      <c r="H3" s="16">
        <f>H2</f>
        <v>2</v>
      </c>
      <c r="I3" s="16">
        <f>I2</f>
        <v>0.75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f>'25hike'!C4</f>
        <v>0.13414609359043725</v>
      </c>
      <c r="D4" s="14">
        <f>'25hike'!D4</f>
        <v>1.675780476516227</v>
      </c>
      <c r="E4" s="14">
        <f>'25hike'!E4</f>
        <v>1.5472268698337288</v>
      </c>
      <c r="F4" s="14">
        <f>'25hike'!F4</f>
        <v>1.3073889091606432</v>
      </c>
      <c r="G4" s="14">
        <f>'25hike'!G4</f>
        <v>-1.0000000000000739E-5</v>
      </c>
      <c r="H4" s="16">
        <f t="shared" ref="H4:I19" si="2">H3</f>
        <v>2</v>
      </c>
      <c r="I4" s="16">
        <f t="shared" si="2"/>
        <v>0.75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f>'25hike'!C5</f>
        <v>0.24421067667960472</v>
      </c>
      <c r="D5" s="14">
        <f>'25hike'!D5</f>
        <v>1.8579682183076223</v>
      </c>
      <c r="E5" s="14">
        <f>'25hike'!E5</f>
        <v>1.6535967872670894</v>
      </c>
      <c r="F5" s="14">
        <f>'25hike'!F5</f>
        <v>1.3569410469838714</v>
      </c>
      <c r="G5" s="14">
        <f>'25hike'!G5</f>
        <v>-9.999999999995127E-6</v>
      </c>
      <c r="H5" s="16">
        <f t="shared" si="2"/>
        <v>2</v>
      </c>
      <c r="I5" s="16">
        <f t="shared" si="2"/>
        <v>0.75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f>'25hike'!C6</f>
        <v>0.32953850322660372</v>
      </c>
      <c r="D6" s="14">
        <f>'25hike'!D6</f>
        <v>2.0059462753145656</v>
      </c>
      <c r="E6" s="14">
        <f>'25hike'!E6</f>
        <v>1.7416207125319034</v>
      </c>
      <c r="F6" s="14">
        <f>'25hike'!F6</f>
        <v>1.415351517533634</v>
      </c>
      <c r="G6" s="14">
        <f>'25hike'!G6</f>
        <v>0.25</v>
      </c>
      <c r="H6" s="16">
        <f t="shared" si="2"/>
        <v>2</v>
      </c>
      <c r="I6" s="16">
        <f t="shared" si="2"/>
        <v>0.75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8">
        <f>'25hike'!C7+IPI_minus!C2</f>
        <v>0.36854704196687699</v>
      </c>
      <c r="D7" s="18">
        <f>'25hike'!D7+IPI_minus!D2</f>
        <v>1.384461141643615</v>
      </c>
      <c r="E7" s="18">
        <f>'25hike'!E7+IPI_minus!E2</f>
        <v>1.5921215987049191</v>
      </c>
      <c r="F7" s="18">
        <f>'25hike'!F7+IPI_minus!F2</f>
        <v>1.4125713837035321</v>
      </c>
      <c r="G7" s="18">
        <f>'25hike'!G7+IPI_minus!G2</f>
        <v>0.25441327106219147</v>
      </c>
      <c r="H7" s="16">
        <f t="shared" si="2"/>
        <v>2</v>
      </c>
      <c r="I7" s="16">
        <f t="shared" si="2"/>
        <v>0.75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8">
        <f>'25hike'!C8+IPI_minus!C3</f>
        <v>0.37436316462324332</v>
      </c>
      <c r="D8" s="18">
        <f>'25hike'!D8+IPI_minus!D3</f>
        <v>1.6270702870513902</v>
      </c>
      <c r="E8" s="18">
        <f>'25hike'!E8+IPI_minus!E3</f>
        <v>1.6032339895574612</v>
      </c>
      <c r="F8" s="18">
        <f>'25hike'!F8+IPI_minus!F3</f>
        <v>1.4318762850048394</v>
      </c>
      <c r="G8" s="18">
        <f>'25hike'!G8+IPI_minus!G3</f>
        <v>0.44892739665131642</v>
      </c>
      <c r="H8" s="16">
        <f t="shared" si="2"/>
        <v>2</v>
      </c>
      <c r="I8" s="16">
        <f t="shared" si="2"/>
        <v>0.75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8">
        <f>'25hike'!C9+IPI_minus!C4</f>
        <v>0.36756590217716756</v>
      </c>
      <c r="D9" s="18">
        <f>'25hike'!D9+IPI_minus!D4</f>
        <v>1.8804684837345449</v>
      </c>
      <c r="E9" s="18">
        <f>'25hike'!E9+IPI_minus!E4</f>
        <v>1.7112231318157294</v>
      </c>
      <c r="F9" s="18">
        <f>'25hike'!F9+IPI_minus!F4</f>
        <v>1.4722495828905129</v>
      </c>
      <c r="G9" s="18">
        <f>'25hike'!G9+IPI_minus!G4</f>
        <v>0.53030358720716331</v>
      </c>
      <c r="H9" s="16">
        <f t="shared" si="2"/>
        <v>2</v>
      </c>
      <c r="I9" s="16">
        <f t="shared" si="2"/>
        <v>0.75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8">
        <f>'25hike'!C10+IPI_minus!C5</f>
        <v>0.3596990830891893</v>
      </c>
      <c r="D10" s="18">
        <f>'25hike'!D10+IPI_minus!D5</f>
        <v>2.0322790377153011</v>
      </c>
      <c r="E10" s="18">
        <f>'25hike'!E10+IPI_minus!E5</f>
        <v>1.7936446225063771</v>
      </c>
      <c r="F10" s="18">
        <f>'25hike'!F10+IPI_minus!F5</f>
        <v>1.5226522338247437</v>
      </c>
      <c r="G10" s="18">
        <f>'25hike'!G10+IPI_minus!G5</f>
        <v>0.55827110713232697</v>
      </c>
      <c r="H10" s="16">
        <f t="shared" si="2"/>
        <v>2</v>
      </c>
      <c r="I10" s="16">
        <f t="shared" si="2"/>
        <v>0.75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8">
        <f>'25hike'!C11+IPI_minus!C6</f>
        <v>0.3317211063665011</v>
      </c>
      <c r="D11" s="18">
        <f>'25hike'!D11+IPI_minus!D6</f>
        <v>2.0968887293233087</v>
      </c>
      <c r="E11" s="18">
        <f>'25hike'!E11+IPI_minus!E6</f>
        <v>1.8427298133734002</v>
      </c>
      <c r="F11" s="18">
        <f>'25hike'!F11+IPI_minus!F6</f>
        <v>1.5743335184196148</v>
      </c>
      <c r="G11" s="18">
        <f>'25hike'!G11+IPI_minus!G6</f>
        <v>0.70384052650633189</v>
      </c>
      <c r="H11" s="16">
        <f t="shared" si="2"/>
        <v>2</v>
      </c>
      <c r="I11" s="16">
        <f t="shared" si="2"/>
        <v>0.75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8">
        <f>'25hike'!C12+IPI_minus!C7</f>
        <v>0.28895713486628588</v>
      </c>
      <c r="D12" s="18">
        <f>'25hike'!D12+IPI_minus!D7</f>
        <v>2.1076067571502488</v>
      </c>
      <c r="E12" s="18">
        <f>'25hike'!E12+IPI_minus!E7</f>
        <v>1.8686548486468473</v>
      </c>
      <c r="F12" s="18">
        <f>'25hike'!F12+IPI_minus!F7</f>
        <v>1.6223281099053717</v>
      </c>
      <c r="G12" s="18">
        <f>'25hike'!G12+IPI_minus!G7</f>
        <v>0.76517693663759678</v>
      </c>
      <c r="H12" s="16">
        <f t="shared" si="2"/>
        <v>2</v>
      </c>
      <c r="I12" s="16">
        <f t="shared" si="2"/>
        <v>0.75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8">
        <f>'25hike'!C13+IPI_minus!C8</f>
        <v>0.24282487738241093</v>
      </c>
      <c r="D13" s="18">
        <f>'25hike'!D13+IPI_minus!D8</f>
        <v>2.092792218519683</v>
      </c>
      <c r="E13" s="18">
        <f>'25hike'!E13+IPI_minus!E8</f>
        <v>1.8820926937100046</v>
      </c>
      <c r="F13" s="18">
        <f>'25hike'!F13+IPI_minus!F8</f>
        <v>1.6646698796806598</v>
      </c>
      <c r="G13" s="18">
        <f>'25hike'!G13+IPI_minus!G8</f>
        <v>0.76780583830640148</v>
      </c>
      <c r="H13" s="16">
        <f t="shared" si="2"/>
        <v>2</v>
      </c>
      <c r="I13" s="16">
        <f t="shared" si="2"/>
        <v>0.75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8">
        <f>'25hike'!C14+IPI_minus!C9</f>
        <v>0.20208256133219743</v>
      </c>
      <c r="D14" s="18">
        <f>'25hike'!D14+IPI_minus!D9</f>
        <v>2.0712423637298643</v>
      </c>
      <c r="E14" s="18">
        <f>'25hike'!E14+IPI_minus!E9</f>
        <v>1.8905264326995739</v>
      </c>
      <c r="F14" s="18">
        <f>'25hike'!F14+IPI_minus!F9</f>
        <v>1.7012614032450881</v>
      </c>
      <c r="G14" s="18">
        <f>'25hike'!G14+IPI_minus!G9</f>
        <v>0.74362823040420434</v>
      </c>
      <c r="H14" s="16">
        <f t="shared" si="2"/>
        <v>2</v>
      </c>
      <c r="I14" s="16">
        <f t="shared" si="2"/>
        <v>0.75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8">
        <f>'25hike'!C15+IPI_minus!C10</f>
        <v>0.1704851518194363</v>
      </c>
      <c r="D15" s="18">
        <f>'25hike'!D15+IPI_minus!D10</f>
        <v>2.052756799712018</v>
      </c>
      <c r="E15" s="18">
        <f>'25hike'!E15+IPI_minus!E10</f>
        <v>1.8980643590949924</v>
      </c>
      <c r="F15" s="18">
        <f>'25hike'!F15+IPI_minus!F10</f>
        <v>1.7328959889271118</v>
      </c>
      <c r="G15" s="18">
        <f>'25hike'!G15+IPI_minus!G10</f>
        <v>0.71658354309932792</v>
      </c>
      <c r="H15" s="16">
        <f t="shared" si="2"/>
        <v>2</v>
      </c>
      <c r="I15" s="16">
        <f t="shared" si="2"/>
        <v>0.75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8">
        <f>'25hike'!C16+IPI_minus!C11</f>
        <v>0.14775429475112459</v>
      </c>
      <c r="D16" s="18">
        <f>'25hike'!D16+IPI_minus!D11</f>
        <v>2.0405310593727894</v>
      </c>
      <c r="E16" s="18">
        <f>'25hike'!E16+IPI_minus!E11</f>
        <v>1.9062664276570431</v>
      </c>
      <c r="F16" s="18">
        <f>'25hike'!F16+IPI_minus!F11</f>
        <v>1.7605831452672229</v>
      </c>
      <c r="G16" s="18">
        <f>'25hike'!G16+IPI_minus!G11</f>
        <v>0.69884035183197712</v>
      </c>
      <c r="H16" s="16">
        <f t="shared" si="2"/>
        <v>2</v>
      </c>
      <c r="I16" s="16">
        <f t="shared" si="2"/>
        <v>0.75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8">
        <f>'25hike'!C17+IPI_minus!C12</f>
        <v>0.13156318510082843</v>
      </c>
      <c r="D17" s="18">
        <f>'25hike'!D17+IPI_minus!D12</f>
        <v>2.0339555738303425</v>
      </c>
      <c r="E17" s="18">
        <f>'25hike'!E17+IPI_minus!E12</f>
        <v>1.9151846304387008</v>
      </c>
      <c r="F17" s="18">
        <f>'25hike'!F17+IPI_minus!F12</f>
        <v>1.7851866638379037</v>
      </c>
      <c r="G17" s="18">
        <f>'25hike'!G17+IPI_minus!G12</f>
        <v>0.69297197098989405</v>
      </c>
      <c r="H17" s="16">
        <f t="shared" si="2"/>
        <v>2</v>
      </c>
      <c r="I17" s="16">
        <f t="shared" si="2"/>
        <v>0.75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8">
        <f>'25hike'!C18+IPI_minus!C13</f>
        <v>0.11924317886547686</v>
      </c>
      <c r="D18" s="18">
        <f>'25hike'!D18+IPI_minus!D13</f>
        <v>2.0309536087861733</v>
      </c>
      <c r="E18" s="18">
        <f>'25hike'!E18+IPI_minus!E13</f>
        <v>1.9242474402590699</v>
      </c>
      <c r="F18" s="18">
        <f>'25hike'!F18+IPI_minus!F13</f>
        <v>1.8073056888832477</v>
      </c>
      <c r="G18" s="18">
        <f>'25hike'!G18+IPI_minus!G13</f>
        <v>0.69615845718948166</v>
      </c>
      <c r="H18" s="16">
        <f t="shared" si="2"/>
        <v>2</v>
      </c>
      <c r="I18" s="16">
        <f t="shared" si="2"/>
        <v>0.75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8">
        <f>'25hike'!C19+IPI_minus!C14</f>
        <v>0.10875096232869323</v>
      </c>
      <c r="D19" s="18">
        <f>'25hike'!D19+IPI_minus!D14</f>
        <v>2.029473434359633</v>
      </c>
      <c r="E19" s="18">
        <f>'25hike'!E19+IPI_minus!E14</f>
        <v>1.9328355230981968</v>
      </c>
      <c r="F19" s="18">
        <f>'25hike'!F19+IPI_minus!F14</f>
        <v>1.8273007859761226</v>
      </c>
      <c r="G19" s="18">
        <f>'25hike'!G19+IPI_minus!G14</f>
        <v>0.70394938426212683</v>
      </c>
      <c r="H19" s="16">
        <f t="shared" si="2"/>
        <v>2</v>
      </c>
      <c r="I19" s="16">
        <f t="shared" si="2"/>
        <v>0.75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8">
        <f>'25hike'!C20+IPI_minus!C15</f>
        <v>9.8946541758855616E-2</v>
      </c>
      <c r="D20" s="18">
        <f>'25hike'!D20+IPI_minus!D15</f>
        <v>2.0281523785099229</v>
      </c>
      <c r="E20" s="18">
        <f>'25hike'!E20+IPI_minus!E15</f>
        <v>1.9405494714538123</v>
      </c>
      <c r="F20" s="18">
        <f>'25hike'!F20+IPI_minus!F15</f>
        <v>1.8453774293041645</v>
      </c>
      <c r="G20" s="18">
        <f>'25hike'!G20+IPI_minus!G15</f>
        <v>0.71258446022559574</v>
      </c>
      <c r="H20" s="16">
        <f t="shared" ref="H20:I35" si="3">H19</f>
        <v>2</v>
      </c>
      <c r="I20" s="16">
        <f t="shared" si="3"/>
        <v>0.75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8">
        <f>'25hike'!C21+IPI_minus!C16</f>
        <v>8.9442981256580498E-2</v>
      </c>
      <c r="D21" s="18">
        <f>'25hike'!D21+IPI_minus!D16</f>
        <v>2.0263951154362982</v>
      </c>
      <c r="E21" s="18">
        <f>'25hike'!E21+IPI_minus!E16</f>
        <v>1.9472553637296015</v>
      </c>
      <c r="F21" s="18">
        <f>'25hike'!F21+IPI_minus!F16</f>
        <v>1.8616690210560567</v>
      </c>
      <c r="G21" s="18">
        <f>'25hike'!G21+IPI_minus!G16</f>
        <v>0.71987145191597046</v>
      </c>
      <c r="H21" s="16">
        <f t="shared" si="3"/>
        <v>2</v>
      </c>
      <c r="I21" s="16">
        <f t="shared" si="3"/>
        <v>0.75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8">
        <f>'25hike'!C22+IPI_minus!C17</f>
        <v>8.0296865225752745E-2</v>
      </c>
      <c r="D22" s="18">
        <f>'25hike'!D22+IPI_minus!D17</f>
        <v>2.0241570020402344</v>
      </c>
      <c r="E22" s="18">
        <f>'25hike'!E22+IPI_minus!E17</f>
        <v>1.9530145453181436</v>
      </c>
      <c r="F22" s="18">
        <f>'25hike'!F22+IPI_minus!F17</f>
        <v>1.8762929393446328</v>
      </c>
      <c r="G22" s="18">
        <f>'25hike'!G22+IPI_minus!G17</f>
        <v>0.72509195960606487</v>
      </c>
      <c r="H22" s="16">
        <f t="shared" si="3"/>
        <v>2</v>
      </c>
      <c r="I22" s="16">
        <f t="shared" si="3"/>
        <v>0.75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8">
        <f>'25hike'!C23+IPI_minus!C18</f>
        <v>7.1721645718735266E-2</v>
      </c>
      <c r="D23" s="18">
        <f>'25hike'!D23+IPI_minus!D18</f>
        <v>2.021660882052577</v>
      </c>
      <c r="E23" s="18">
        <f>'25hike'!E23+IPI_minus!E18</f>
        <v>1.95798311799247</v>
      </c>
      <c r="F23" s="18">
        <f>'25hike'!F23+IPI_minus!F18</f>
        <v>1.8893760541883478</v>
      </c>
      <c r="G23" s="18">
        <f>'25hike'!G23+IPI_minus!G18</f>
        <v>0.72847534212480214</v>
      </c>
      <c r="H23" s="16">
        <f t="shared" si="3"/>
        <v>2</v>
      </c>
      <c r="I23" s="16">
        <f t="shared" si="3"/>
        <v>0.75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8">
        <f>'25hike'!C24+IPI_minus!C19</f>
        <v>6.3904122603146291E-2</v>
      </c>
      <c r="D24" s="18">
        <f>'25hike'!D24+IPI_minus!D19</f>
        <v>2.0191754585367021</v>
      </c>
      <c r="E24" s="18">
        <f>'25hike'!E24+IPI_minus!E19</f>
        <v>1.9623306053736203</v>
      </c>
      <c r="F24" s="18">
        <f>'25hike'!F24+IPI_minus!F19</f>
        <v>1.9010580005796998</v>
      </c>
      <c r="G24" s="18">
        <f>'25hike'!G24+IPI_minus!G19</f>
        <v>0.73063835967541746</v>
      </c>
      <c r="H24" s="16">
        <f t="shared" si="3"/>
        <v>2</v>
      </c>
      <c r="I24" s="16">
        <f t="shared" si="3"/>
        <v>0.75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8">
        <f>'25hike'!C25+IPI_minus!C20</f>
        <v>5.6929138599316781E-2</v>
      </c>
      <c r="D25" s="18">
        <f>'25hike'!D25+IPI_minus!D20</f>
        <v>2.0168954467589071</v>
      </c>
      <c r="E25" s="18">
        <f>'25hike'!E25+IPI_minus!E20</f>
        <v>1.9661946176872556</v>
      </c>
      <c r="F25" s="18">
        <f>'25hike'!F25+IPI_minus!F20</f>
        <v>1.9114833707358285</v>
      </c>
      <c r="G25" s="18">
        <f>'25hike'!G25+IPI_minus!G20</f>
        <v>0.73219094898051962</v>
      </c>
      <c r="H25" s="16">
        <f t="shared" si="3"/>
        <v>2</v>
      </c>
      <c r="I25" s="16">
        <f t="shared" si="3"/>
        <v>0.75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8">
        <f>'25hike'!C26+IPI_minus!C21</f>
        <v>5.0779882279834869E-2</v>
      </c>
      <c r="D26" s="18">
        <f>'25hike'!D26+IPI_minus!D21</f>
        <v>2.0149091372279728</v>
      </c>
      <c r="E26" s="18">
        <f>'25hike'!E26+IPI_minus!E21</f>
        <v>1.9696677397296516</v>
      </c>
      <c r="F26" s="18">
        <f>'25hike'!F26+IPI_minus!F21</f>
        <v>1.9207916897201214</v>
      </c>
      <c r="G26" s="18">
        <f>'25hike'!G26+IPI_minus!G21</f>
        <v>0.73354941038491461</v>
      </c>
      <c r="H26" s="16">
        <f t="shared" si="3"/>
        <v>2</v>
      </c>
      <c r="I26" s="16">
        <f t="shared" si="3"/>
        <v>0.75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8">
        <f>'25hike'!C27+IPI_minus!C22</f>
        <v>4.5373785518388159E-2</v>
      </c>
      <c r="D27" s="18">
        <f>'25hike'!D27+IPI_minus!D22</f>
        <v>2.0132182028855561</v>
      </c>
      <c r="E27" s="18">
        <f>'25hike'!E27+IPI_minus!E22</f>
        <v>1.9728040809446314</v>
      </c>
      <c r="F27" s="18">
        <f>'25hike'!F27+IPI_minus!F22</f>
        <v>1.9291100759050104</v>
      </c>
      <c r="G27" s="18">
        <f>'25hike'!G27+IPI_minus!G22</f>
        <v>0.73490930441237567</v>
      </c>
      <c r="H27" s="16">
        <f t="shared" si="3"/>
        <v>2</v>
      </c>
      <c r="I27" s="16">
        <f t="shared" si="3"/>
        <v>0.75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8">
        <f>'25hike'!C28+IPI_minus!C23</f>
        <v>4.0603392730385462E-2</v>
      </c>
      <c r="D28" s="18">
        <f>'25hike'!D28+IPI_minus!D23</f>
        <v>2.0117755410966693</v>
      </c>
      <c r="E28" s="18">
        <f>'25hike'!E28+IPI_minus!E23</f>
        <v>1.9756334070624844</v>
      </c>
      <c r="F28" s="18">
        <f>'25hike'!F28+IPI_minus!F23</f>
        <v>1.9365499677722597</v>
      </c>
      <c r="G28" s="18">
        <f>'25hike'!G28+IPI_minus!G23</f>
        <v>0.73630308547167433</v>
      </c>
      <c r="H28" s="16">
        <f t="shared" si="3"/>
        <v>2</v>
      </c>
      <c r="I28" s="16">
        <f t="shared" si="3"/>
        <v>0.75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8">
        <f>'25hike'!C29+IPI_minus!C24</f>
        <v>3.6366100579223203E-2</v>
      </c>
      <c r="D29" s="18">
        <f>'25hike'!D29+IPI_minus!D24</f>
        <v>2.0105197088231188</v>
      </c>
      <c r="E29" s="18">
        <f>'25hike'!E29+IPI_minus!E24</f>
        <v>1.9781739107530667</v>
      </c>
      <c r="F29" s="18">
        <f>'25hike'!F29+IPI_minus!F24</f>
        <v>1.9432072444668369</v>
      </c>
      <c r="G29" s="18">
        <f>'25hike'!G29+IPI_minus!G24</f>
        <v>0.73767962464444592</v>
      </c>
      <c r="H29" s="16">
        <f t="shared" si="3"/>
        <v>2</v>
      </c>
      <c r="I29" s="16">
        <f t="shared" si="3"/>
        <v>0.75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8">
        <f>'25hike'!C30+IPI_minus!C25</f>
        <v>3.2578616911348633E-2</v>
      </c>
      <c r="D30" s="18">
        <f>'25hike'!D30+IPI_minus!D25</f>
        <v>2.0093953626873748</v>
      </c>
      <c r="E30" s="18">
        <f>'25hike'!E30+IPI_minus!E25</f>
        <v>1.9804409779855876</v>
      </c>
      <c r="F30" s="18">
        <f>'25hike'!F30+IPI_minus!F25</f>
        <v>1.9491641751066855</v>
      </c>
      <c r="G30" s="18">
        <f>'25hike'!G30+IPI_minus!G25</f>
        <v>0.73896758287050712</v>
      </c>
      <c r="H30" s="16">
        <f t="shared" si="3"/>
        <v>2</v>
      </c>
      <c r="I30" s="16">
        <f t="shared" si="3"/>
        <v>0.75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8">
        <f>'25hike'!C31+IPI_minus!C26</f>
        <v>2.9179391452238419E-2</v>
      </c>
      <c r="D31" s="18">
        <f>'25hike'!D31+IPI_minus!D26</f>
        <v>2.0083617795576139</v>
      </c>
      <c r="E31" s="18">
        <f>'25hike'!E31+IPI_minus!E26</f>
        <v>1.9824496050721698</v>
      </c>
      <c r="F31" s="18">
        <f>'25hike'!F31+IPI_minus!F26</f>
        <v>1.9544919595072689</v>
      </c>
      <c r="G31" s="18">
        <f>'25hike'!G31+IPI_minus!G26</f>
        <v>0.74011133013272645</v>
      </c>
      <c r="H31" s="16">
        <f t="shared" si="3"/>
        <v>2</v>
      </c>
      <c r="I31" s="16">
        <f t="shared" si="3"/>
        <v>0.75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8">
        <f>'25hike'!C32+IPI_minus!C27</f>
        <v>2.6124058765888483E-2</v>
      </c>
      <c r="D32" s="18">
        <f>'25hike'!D32+IPI_minus!D27</f>
        <v>2.0073892695325704</v>
      </c>
      <c r="E32" s="18">
        <f>'25hike'!E32+IPI_minus!E27</f>
        <v>1.9842155911848618</v>
      </c>
      <c r="F32" s="18">
        <f>'25hike'!F32+IPI_minus!F27</f>
        <v>1.9592527174095464</v>
      </c>
      <c r="G32" s="18">
        <f>'25hike'!G32+IPI_minus!G27</f>
        <v>0.74107968170124516</v>
      </c>
      <c r="H32" s="16">
        <f t="shared" si="3"/>
        <v>2</v>
      </c>
      <c r="I32" s="16">
        <f t="shared" si="3"/>
        <v>0.75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8">
        <f>'25hike'!C33+IPI_minus!C28</f>
        <v>2.3379408116577523E-2</v>
      </c>
      <c r="D33" s="18">
        <f>'25hike'!D33+IPI_minus!D28</f>
        <v>2.0064563260619899</v>
      </c>
      <c r="E33" s="18">
        <f>'25hike'!E33+IPI_minus!E28</f>
        <v>1.9857502100913196</v>
      </c>
      <c r="F33" s="18">
        <f>'25hike'!F33+IPI_minus!F28</f>
        <v>1.9635010421882662</v>
      </c>
      <c r="G33" s="18">
        <f>'25hike'!G33+IPI_minus!G28</f>
        <v>0.74186200024585092</v>
      </c>
      <c r="H33" s="16">
        <f t="shared" si="3"/>
        <v>2</v>
      </c>
      <c r="I33" s="16">
        <f t="shared" si="3"/>
        <v>0.75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8">
        <f>'25hike'!C34+IPI_minus!C29</f>
        <v>2.0917475413341109E-2</v>
      </c>
      <c r="D34" s="18">
        <f>'25hike'!D34+IPI_minus!D29</f>
        <v>2.0055360544163161</v>
      </c>
      <c r="E34" s="18">
        <f>'25hike'!E34+IPI_minus!E29</f>
        <v>1.9870625854527229</v>
      </c>
      <c r="F34" s="18">
        <f>'25hike'!F34+IPI_minus!F29</f>
        <v>1.9672841932887906</v>
      </c>
      <c r="G34" s="18">
        <f>'25hike'!G34+IPI_minus!G29</f>
        <v>0.74245159653293002</v>
      </c>
      <c r="H34" s="16">
        <f t="shared" si="3"/>
        <v>2</v>
      </c>
      <c r="I34" s="16">
        <f t="shared" si="3"/>
        <v>0.75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8">
        <f>'25hike'!C35+IPI_minus!C30</f>
        <v>1.8713338532280833E-2</v>
      </c>
      <c r="D35" s="18">
        <f>'25hike'!D35+IPI_minus!D30</f>
        <v>2.0046012839251168</v>
      </c>
      <c r="E35" s="18">
        <f>'25hike'!E35+IPI_minus!E30</f>
        <v>1.9881460972549245</v>
      </c>
      <c r="F35" s="18">
        <f>'25hike'!F35+IPI_minus!F30</f>
        <v>1.9706427314460599</v>
      </c>
      <c r="G35" s="18">
        <f>'25hike'!G35+IPI_minus!G30</f>
        <v>0.7428401466530391</v>
      </c>
      <c r="H35" s="16">
        <f t="shared" si="3"/>
        <v>2</v>
      </c>
      <c r="I35" s="16">
        <f t="shared" si="3"/>
        <v>0.75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8">
        <f>'25hike'!C36+IPI_minus!C31</f>
        <v>1.6741840669158965E-2</v>
      </c>
      <c r="D36" s="18">
        <f>'25hike'!D36+IPI_minus!D31</f>
        <v>2.0035966177713957</v>
      </c>
      <c r="E36" s="18">
        <f>'25hike'!E36+IPI_minus!E31</f>
        <v>1.9889936775044577</v>
      </c>
      <c r="F36" s="18">
        <f>'25hike'!F36+IPI_minus!F31</f>
        <v>1.9736085812153401</v>
      </c>
      <c r="G36" s="18">
        <f>'25hike'!G36+IPI_minus!G31</f>
        <v>0.74299281934238381</v>
      </c>
      <c r="H36" s="16">
        <f t="shared" ref="H36:I51" si="4">H35</f>
        <v>2</v>
      </c>
      <c r="I36" s="16">
        <f t="shared" si="4"/>
        <v>0.75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8">
        <f>'25hike'!C37+IPI_minus!C32</f>
        <v>1.4981177553513979E-2</v>
      </c>
      <c r="D37" s="18">
        <f>'25hike'!D37+IPI_minus!D32</f>
        <v>2.002472655063201</v>
      </c>
      <c r="E37" s="18">
        <f>'25hike'!E37+IPI_minus!E32</f>
        <v>1.9895576651882807</v>
      </c>
      <c r="F37" s="18">
        <f>'25hike'!F37+IPI_minus!F32</f>
        <v>1.9762063478616476</v>
      </c>
      <c r="G37" s="18">
        <f>'25hike'!G37+IPI_minus!G32</f>
        <v>0.74286448170073871</v>
      </c>
      <c r="H37" s="16">
        <f t="shared" si="4"/>
        <v>2</v>
      </c>
      <c r="I37" s="16">
        <f t="shared" si="4"/>
        <v>0.75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8">
        <f>'25hike'!C38+IPI_minus!C33</f>
        <v>1.3406589272083158E-2</v>
      </c>
      <c r="D38" s="18">
        <f>'25hike'!D38+IPI_minus!D33</f>
        <v>2.001101686832464</v>
      </c>
      <c r="E38" s="18">
        <f>'25hike'!E38+IPI_minus!E33</f>
        <v>1.9898090494552354</v>
      </c>
      <c r="F38" s="18">
        <f>'25hike'!F38+IPI_minus!F33</f>
        <v>1.9784469283690214</v>
      </c>
      <c r="G38" s="18">
        <f>'25hike'!G38+IPI_minus!G33</f>
        <v>0.74234164027529503</v>
      </c>
      <c r="H38" s="16">
        <f t="shared" si="4"/>
        <v>2</v>
      </c>
      <c r="I38" s="16">
        <f t="shared" si="4"/>
        <v>0.75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8">
        <f>'25hike'!C39+IPI_minus!C34</f>
        <v>1.2003496136783254E-2</v>
      </c>
      <c r="D39" s="18">
        <f>'25hike'!D39+IPI_minus!D34</f>
        <v>1.9994062410509741</v>
      </c>
      <c r="E39" s="18">
        <f>'25hike'!E39+IPI_minus!E34</f>
        <v>1.9896050344500131</v>
      </c>
      <c r="F39" s="18">
        <f>'25hike'!F39+IPI_minus!F34</f>
        <v>1.9803332665103972</v>
      </c>
      <c r="G39" s="18">
        <f>'25hike'!G39+IPI_minus!G34</f>
        <v>0.74131786261523946</v>
      </c>
      <c r="H39" s="16">
        <f t="shared" si="4"/>
        <v>2</v>
      </c>
      <c r="I39" s="16">
        <f t="shared" si="4"/>
        <v>0.75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8">
        <f>'25hike'!C40+IPI_minus!C35</f>
        <v>1.0744319670488721E-2</v>
      </c>
      <c r="D40" s="18">
        <f>'25hike'!D40+IPI_minus!D35</f>
        <v>1.9970781223941727</v>
      </c>
      <c r="E40" s="18">
        <f>'25hike'!E40+IPI_minus!E35</f>
        <v>1.9889025511540772</v>
      </c>
      <c r="F40" s="18">
        <f>'25hike'!F40+IPI_minus!F35</f>
        <v>1.981840303539937</v>
      </c>
      <c r="G40" s="18">
        <f>'25hike'!G40+IPI_minus!G35</f>
        <v>0.73950750562712264</v>
      </c>
      <c r="H40" s="16">
        <f t="shared" si="4"/>
        <v>2</v>
      </c>
      <c r="I40" s="16">
        <f t="shared" si="4"/>
        <v>0.75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8">
        <f>'25hike'!C41+IPI_minus!C36</f>
        <v>9.632270862069664E-3</v>
      </c>
      <c r="D41" s="18">
        <f>'25hike'!D41+IPI_minus!D36</f>
        <v>1.9940387610184247</v>
      </c>
      <c r="E41" s="18">
        <f>'25hike'!E41+IPI_minus!E36</f>
        <v>1.9873121284824602</v>
      </c>
      <c r="F41" s="18">
        <f>'25hike'!F41+IPI_minus!F36</f>
        <v>1.9829381647130009</v>
      </c>
      <c r="G41" s="18">
        <f>'25hike'!G41+IPI_minus!G36</f>
        <v>0.73672314860938848</v>
      </c>
      <c r="H41" s="16">
        <f t="shared" si="4"/>
        <v>2</v>
      </c>
      <c r="I41" s="16">
        <f t="shared" si="4"/>
        <v>0.75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8">
        <f>'25hike'!C42+IPI_minus!C37</f>
        <v>8.6199706822985313E-3</v>
      </c>
      <c r="D42" s="18">
        <f>'25hike'!D42+IPI_minus!D37</f>
        <v>1.9894901285444697</v>
      </c>
      <c r="E42" s="18">
        <f>'25hike'!E42+IPI_minus!E37</f>
        <v>1.9848557556427133</v>
      </c>
      <c r="F42" s="18">
        <f>'25hike'!F42+IPI_minus!F37</f>
        <v>1.983527841457833</v>
      </c>
      <c r="G42" s="18">
        <f>'25hike'!G42+IPI_minus!G37</f>
        <v>0.7322551428470282</v>
      </c>
      <c r="H42" s="16">
        <f t="shared" si="4"/>
        <v>2</v>
      </c>
      <c r="I42" s="16">
        <f t="shared" si="4"/>
        <v>0.75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8">
        <f>'25hike'!C43+IPI_minus!C38</f>
        <v>7.760664526244701E-3</v>
      </c>
      <c r="D43" s="18">
        <f>'25hike'!D43+IPI_minus!D38</f>
        <v>1.9835444107727827</v>
      </c>
      <c r="E43" s="18">
        <f>'25hike'!E43+IPI_minus!E38</f>
        <v>1.9804506218067695</v>
      </c>
      <c r="F43" s="18">
        <f>'25hike'!F43+IPI_minus!F38</f>
        <v>1.9835293326961785</v>
      </c>
      <c r="G43" s="18">
        <f>'25hike'!G43+IPI_minus!G38</f>
        <v>0.72587083373015304</v>
      </c>
      <c r="H43" s="16">
        <f t="shared" si="4"/>
        <v>2</v>
      </c>
      <c r="I43" s="16">
        <f t="shared" si="4"/>
        <v>0.75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8">
        <f>'25hike'!C44+IPI_minus!C39</f>
        <v>6.9266976272498205E-3</v>
      </c>
      <c r="D44" s="18">
        <f>'25hike'!D44+IPI_minus!D39</f>
        <v>1.9739922767181957</v>
      </c>
      <c r="E44" s="18">
        <f>'25hike'!E44+IPI_minus!E39</f>
        <v>1.9745746359265219</v>
      </c>
      <c r="F44" s="18">
        <f>'25hike'!F44+IPI_minus!F39</f>
        <v>1.98267099765816</v>
      </c>
      <c r="G44" s="18">
        <f>'25hike'!G44+IPI_minus!G39</f>
        <v>0.71572673433383838</v>
      </c>
      <c r="H44" s="16">
        <f t="shared" si="4"/>
        <v>2</v>
      </c>
      <c r="I44" s="16">
        <f t="shared" si="4"/>
        <v>0.75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8">
        <f>'25hike'!C45+IPI_minus!C40</f>
        <v>6.3334517275973811E-3</v>
      </c>
      <c r="D45" s="18">
        <f>'25hike'!D45+IPI_minus!D40</f>
        <v>1.962024030220435</v>
      </c>
      <c r="E45" s="18">
        <f>'25hike'!E45+IPI_minus!E40</f>
        <v>1.9640790705903959</v>
      </c>
      <c r="F45" s="18">
        <f>'25hike'!F45+IPI_minus!F40</f>
        <v>1.9808127705887648</v>
      </c>
      <c r="G45" s="18">
        <f>'25hike'!G45+IPI_minus!G40</f>
        <v>0.70191802452767793</v>
      </c>
      <c r="H45" s="16">
        <f t="shared" si="4"/>
        <v>2</v>
      </c>
      <c r="I45" s="16">
        <f t="shared" si="4"/>
        <v>0.75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8">
        <f>'25hike'!C46+IPI_minus!C41</f>
        <v>5.5651502361957431E-3</v>
      </c>
      <c r="D46" s="18">
        <f>'25hike'!D46+IPI_minus!D41</f>
        <v>1.9411581070776809</v>
      </c>
      <c r="E46" s="18">
        <f>'25hike'!E46+IPI_minus!E41</f>
        <v>1.9515067992323765</v>
      </c>
      <c r="F46" s="18">
        <f>'25hike'!F46+IPI_minus!F41</f>
        <v>1.977243850872767</v>
      </c>
      <c r="G46" s="18">
        <f>'25hike'!G46+IPI_minus!G41</f>
        <v>0.67938410521388193</v>
      </c>
      <c r="H46" s="16">
        <f t="shared" si="4"/>
        <v>2</v>
      </c>
      <c r="I46" s="16">
        <f t="shared" si="4"/>
        <v>0.75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8">
        <f>'25hike'!C47+IPI_minus!C42</f>
        <v>5.3888127768911449E-3</v>
      </c>
      <c r="D47" s="18">
        <f>'25hike'!D47+IPI_minus!D42</f>
        <v>1.9172169475368117</v>
      </c>
      <c r="E47" s="18">
        <f>'25hike'!E47+IPI_minus!E42</f>
        <v>1.927266918227647</v>
      </c>
      <c r="F47" s="18">
        <f>'25hike'!F47+IPI_minus!F42</f>
        <v>1.9718414295725313</v>
      </c>
      <c r="G47" s="18">
        <f>'25hike'!G47+IPI_minus!G42</f>
        <v>0.65039181551244041</v>
      </c>
      <c r="H47" s="16">
        <f t="shared" si="4"/>
        <v>2</v>
      </c>
      <c r="I47" s="16">
        <f t="shared" si="4"/>
        <v>0.75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8">
        <f>'25hike'!C48+IPI_minus!C43</f>
        <v>4.3814946952393762E-3</v>
      </c>
      <c r="D48" s="18">
        <f>'25hike'!D48+IPI_minus!D43</f>
        <v>1.870247281663026</v>
      </c>
      <c r="E48" s="18">
        <f>'25hike'!E48+IPI_minus!E43</f>
        <v>1.9020872451995239</v>
      </c>
      <c r="F48" s="18">
        <f>'25hike'!F48+IPI_minus!F43</f>
        <v>1.9626979562606759</v>
      </c>
      <c r="G48" s="18">
        <f>'25hike'!G48+IPI_minus!G43</f>
        <v>0.60026084509775468</v>
      </c>
      <c r="H48" s="16">
        <f t="shared" si="4"/>
        <v>2</v>
      </c>
      <c r="I48" s="16">
        <f t="shared" si="4"/>
        <v>0.75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8">
        <f>'25hike'!C49+IPI_minus!C44</f>
        <v>5.2092659031163693E-3</v>
      </c>
      <c r="D49" s="18">
        <f>'25hike'!D49+IPI_minus!D44</f>
        <v>1.8240370788698912</v>
      </c>
      <c r="E49" s="18">
        <f>'25hike'!E49+IPI_minus!E44</f>
        <v>1.845588972314899</v>
      </c>
      <c r="F49" s="18">
        <f>'25hike'!F49+IPI_minus!F44</f>
        <v>1.9502184772955051</v>
      </c>
      <c r="G49" s="18">
        <f>'25hike'!G49+IPI_minus!G44</f>
        <v>0.54099618174028152</v>
      </c>
      <c r="H49" s="16">
        <f t="shared" si="4"/>
        <v>2</v>
      </c>
      <c r="I49" s="16">
        <f t="shared" si="4"/>
        <v>0.75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8">
        <f>'25hike'!C50+IPI_minus!C45</f>
        <v>2.9498780797182693E-3</v>
      </c>
      <c r="D50" s="18">
        <f>'25hike'!D50+IPI_minus!D45</f>
        <v>1.7148194862579644</v>
      </c>
      <c r="E50" s="18">
        <f>'25hike'!E50+IPI_minus!E45</f>
        <v>1.7990481632588524</v>
      </c>
      <c r="F50" s="18">
        <f>'25hike'!F50+IPI_minus!F45</f>
        <v>1.9290325681021263</v>
      </c>
      <c r="G50" s="18">
        <f>'25hike'!G50+IPI_minus!G45</f>
        <v>0.42786258624867973</v>
      </c>
      <c r="H50" s="16">
        <f t="shared" si="4"/>
        <v>2</v>
      </c>
      <c r="I50" s="16">
        <f t="shared" si="4"/>
        <v>0.75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8">
        <f>'25hike'!C51+IPI_minus!C46</f>
        <v>6.8277352729116019E-3</v>
      </c>
      <c r="D51" s="18">
        <f>'25hike'!D51+IPI_minus!D46</f>
        <v>1.6327080228589854</v>
      </c>
      <c r="E51" s="18">
        <f>'25hike'!E51+IPI_minus!E46</f>
        <v>1.6633566088168925</v>
      </c>
      <c r="F51" s="18">
        <f>'25hike'!F51+IPI_minus!F46</f>
        <v>1.9023633590302438</v>
      </c>
      <c r="G51" s="18">
        <f>'25hike'!G51+IPI_minus!G46</f>
        <v>0.31132648957260084</v>
      </c>
      <c r="H51" s="16">
        <f t="shared" si="4"/>
        <v>2</v>
      </c>
      <c r="I51" s="16">
        <f t="shared" si="4"/>
        <v>0.75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8">
        <f>'25hike'!C52+IPI_minus!C47</f>
        <v>-2.1460045275286895E-4</v>
      </c>
      <c r="D52" s="18">
        <f>'25hike'!D52+IPI_minus!D47</f>
        <v>1.3683026833275533</v>
      </c>
      <c r="E52" s="18">
        <f>'25hike'!E52+IPI_minus!E47</f>
        <v>1.5902760150234578</v>
      </c>
      <c r="F52" s="18">
        <f>'25hike'!F52+IPI_minus!F47</f>
        <v>1.8542978982170015</v>
      </c>
      <c r="G52" s="18">
        <f>'25hike'!G52+IPI_minus!G47</f>
        <v>4.9552583499270497E-2</v>
      </c>
      <c r="H52" s="16">
        <f t="shared" ref="H52:I53" si="5">H51</f>
        <v>2</v>
      </c>
      <c r="I52" s="16">
        <f t="shared" si="5"/>
        <v>0.75</v>
      </c>
      <c r="J52" s="16">
        <v>-200</v>
      </c>
    </row>
    <row r="53" spans="1:10" x14ac:dyDescent="0.55000000000000004">
      <c r="A53" s="5">
        <f t="shared" si="0"/>
        <v>11.75</v>
      </c>
      <c r="B53" s="4">
        <f t="shared" si="1"/>
        <v>0</v>
      </c>
      <c r="C53" s="18">
        <f>'25hike'!C53+IPI_minus!C48</f>
        <v>5.6913406420518663E-4</v>
      </c>
      <c r="D53" s="18">
        <f>'25hike'!D53+IPI_minus!D48</f>
        <v>1.2501687766026395</v>
      </c>
      <c r="E53" s="18">
        <f>'25hike'!E53+IPI_minus!E48</f>
        <v>1.2496860470939271</v>
      </c>
      <c r="F53" s="18">
        <f>'25hike'!F53+IPI_minus!F48</f>
        <v>1.2491140639342631</v>
      </c>
      <c r="G53" s="18">
        <f>'25hike'!G53+IPI_minus!G48</f>
        <v>-1.7834240208850901E-4</v>
      </c>
      <c r="H53" s="16">
        <f t="shared" si="5"/>
        <v>2</v>
      </c>
      <c r="I53" s="16">
        <f t="shared" si="5"/>
        <v>0.75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8" t="e">
        <f>'25hike'!C54+IPI_minus!C49</f>
        <v>#REF!</v>
      </c>
      <c r="D54" s="18" t="e">
        <f>'25hike'!D54+IPI_minus!D49</f>
        <v>#REF!</v>
      </c>
      <c r="E54" s="18" t="e">
        <f>'25hike'!E54+IPI_minus!E49</f>
        <v>#REF!</v>
      </c>
      <c r="F54" s="18" t="e">
        <f>'25hike'!F54+IPI_minus!F49</f>
        <v>#REF!</v>
      </c>
      <c r="G54" s="18" t="e">
        <f>'25hike'!G54+IPI_minus!G49</f>
        <v>#REF!</v>
      </c>
      <c r="H54" s="16">
        <f t="shared" ref="H54:I54" si="6">H53</f>
        <v>2</v>
      </c>
      <c r="I54" s="16">
        <f t="shared" si="6"/>
        <v>0.75</v>
      </c>
      <c r="J54" s="16">
        <v>-199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8" t="e">
        <f>'25hike'!C55+IPI_minus!C50</f>
        <v>#REF!</v>
      </c>
      <c r="D55" s="18" t="e">
        <f>'25hike'!D55+IPI_minus!D50</f>
        <v>#REF!</v>
      </c>
      <c r="E55" s="18" t="e">
        <f>'25hike'!E55+IPI_minus!E50</f>
        <v>#REF!</v>
      </c>
      <c r="F55" s="18" t="e">
        <f>'25hike'!F55+IPI_minus!F50</f>
        <v>#REF!</v>
      </c>
      <c r="G55" s="18" t="e">
        <f>'25hike'!G55+IPI_minus!G50</f>
        <v>#REF!</v>
      </c>
      <c r="H55" s="16">
        <f t="shared" ref="H55:I55" si="7">H54</f>
        <v>2</v>
      </c>
      <c r="I55" s="16">
        <f t="shared" si="7"/>
        <v>0.75</v>
      </c>
      <c r="J55" s="16">
        <v>-198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8" t="e">
        <f>'25hike'!C56+IPI_minus!C51</f>
        <v>#REF!</v>
      </c>
      <c r="D56" s="18" t="e">
        <f>'25hike'!D56+IPI_minus!D51</f>
        <v>#REF!</v>
      </c>
      <c r="E56" s="18" t="e">
        <f>'25hike'!E56+IPI_minus!E51</f>
        <v>#REF!</v>
      </c>
      <c r="F56" s="18" t="e">
        <f>'25hike'!F56+IPI_minus!F51</f>
        <v>#REF!</v>
      </c>
      <c r="G56" s="18" t="e">
        <f>'25hike'!G56+IPI_minus!G51</f>
        <v>#REF!</v>
      </c>
      <c r="H56" s="16">
        <f t="shared" ref="H56:I56" si="8">H55</f>
        <v>2</v>
      </c>
      <c r="I56" s="16">
        <f t="shared" si="8"/>
        <v>0.75</v>
      </c>
      <c r="J56" s="16">
        <v>-197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8" t="e">
        <f>'25hike'!C57+IPI_minus!C52</f>
        <v>#REF!</v>
      </c>
      <c r="D57" s="18" t="e">
        <f>'25hike'!D57+IPI_minus!D52</f>
        <v>#REF!</v>
      </c>
      <c r="E57" s="18" t="e">
        <f>'25hike'!E57+IPI_minus!E52</f>
        <v>#REF!</v>
      </c>
      <c r="F57" s="18" t="e">
        <f>'25hike'!F57+IPI_minus!F52</f>
        <v>#REF!</v>
      </c>
      <c r="G57" s="18" t="e">
        <f>'25hike'!G57+IPI_minus!G52</f>
        <v>#REF!</v>
      </c>
      <c r="H57" s="16">
        <f t="shared" ref="H57:I57" si="9">H56</f>
        <v>2</v>
      </c>
      <c r="I57" s="16">
        <f t="shared" si="9"/>
        <v>0.75</v>
      </c>
      <c r="J57" s="16">
        <v>-196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8" t="e">
        <f>'25hike'!C58+IPI_minus!C53</f>
        <v>#REF!</v>
      </c>
      <c r="D58" s="18" t="e">
        <f>'25hike'!D58+IPI_minus!D53</f>
        <v>#REF!</v>
      </c>
      <c r="E58" s="18" t="e">
        <f>'25hike'!E58+IPI_minus!E53</f>
        <v>#REF!</v>
      </c>
      <c r="F58" s="18" t="e">
        <f>'25hike'!F58+IPI_minus!F53</f>
        <v>#REF!</v>
      </c>
      <c r="G58" s="18" t="e">
        <f>'25hike'!G58+IPI_minus!G53</f>
        <v>#REF!</v>
      </c>
      <c r="H58" s="16">
        <f t="shared" ref="H58:I58" si="10">H57</f>
        <v>2</v>
      </c>
      <c r="I58" s="16">
        <f t="shared" si="10"/>
        <v>0.75</v>
      </c>
      <c r="J58" s="16">
        <v>-195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8" t="e">
        <f>'25hike'!C59+IPI_minus!C54</f>
        <v>#REF!</v>
      </c>
      <c r="D59" s="18" t="e">
        <f>'25hike'!D59+IPI_minus!D54</f>
        <v>#REF!</v>
      </c>
      <c r="E59" s="18" t="e">
        <f>'25hike'!E59+IPI_minus!E54</f>
        <v>#REF!</v>
      </c>
      <c r="F59" s="18" t="e">
        <f>'25hike'!F59+IPI_minus!F54</f>
        <v>#REF!</v>
      </c>
      <c r="G59" s="18" t="e">
        <f>'25hike'!G59+IPI_minus!G54</f>
        <v>#REF!</v>
      </c>
      <c r="H59" s="16">
        <f t="shared" ref="H59:I59" si="11">H58</f>
        <v>2</v>
      </c>
      <c r="I59" s="16">
        <f t="shared" si="11"/>
        <v>0.75</v>
      </c>
      <c r="J59" s="16">
        <v>-194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8" t="e">
        <f>'25hike'!C60+IPI_minus!C55</f>
        <v>#REF!</v>
      </c>
      <c r="D60" s="18" t="e">
        <f>'25hike'!D60+IPI_minus!D55</f>
        <v>#REF!</v>
      </c>
      <c r="E60" s="18" t="e">
        <f>'25hike'!E60+IPI_minus!E55</f>
        <v>#REF!</v>
      </c>
      <c r="F60" s="18" t="e">
        <f>'25hike'!F60+IPI_minus!F55</f>
        <v>#REF!</v>
      </c>
      <c r="G60" s="18" t="e">
        <f>'25hike'!G60+IPI_minus!G55</f>
        <v>#REF!</v>
      </c>
      <c r="H60" s="16">
        <f t="shared" ref="H60:I60" si="12">H59</f>
        <v>2</v>
      </c>
      <c r="I60" s="16">
        <f t="shared" si="12"/>
        <v>0.75</v>
      </c>
      <c r="J60" s="16">
        <v>-193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8" t="e">
        <f>'25hike'!C61+IPI_minus!C56</f>
        <v>#REF!</v>
      </c>
      <c r="D61" s="18" t="e">
        <f>'25hike'!D61+IPI_minus!D56</f>
        <v>#REF!</v>
      </c>
      <c r="E61" s="18" t="e">
        <f>'25hike'!E61+IPI_minus!E56</f>
        <v>#REF!</v>
      </c>
      <c r="F61" s="18" t="e">
        <f>'25hike'!F61+IPI_minus!F56</f>
        <v>#REF!</v>
      </c>
      <c r="G61" s="18" t="e">
        <f>'25hike'!G61+IPI_minus!G56</f>
        <v>#REF!</v>
      </c>
      <c r="H61" s="16">
        <f t="shared" ref="H61:I61" si="13">H60</f>
        <v>2</v>
      </c>
      <c r="I61" s="16">
        <f t="shared" si="13"/>
        <v>0.75</v>
      </c>
      <c r="J61" s="16">
        <v>-192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8" t="e">
        <f>'25hike'!C62+IPI_minus!C57</f>
        <v>#REF!</v>
      </c>
      <c r="D62" s="18" t="e">
        <f>'25hike'!D62+IPI_minus!D57</f>
        <v>#REF!</v>
      </c>
      <c r="E62" s="18" t="e">
        <f>'25hike'!E62+IPI_minus!E57</f>
        <v>#REF!</v>
      </c>
      <c r="F62" s="18" t="e">
        <f>'25hike'!F62+IPI_minus!F57</f>
        <v>#REF!</v>
      </c>
      <c r="G62" s="18" t="e">
        <f>'25hike'!G62+IPI_minus!G57</f>
        <v>#REF!</v>
      </c>
      <c r="H62" s="16">
        <f t="shared" ref="H62:I62" si="14">H61</f>
        <v>2</v>
      </c>
      <c r="I62" s="16">
        <f t="shared" si="14"/>
        <v>0.75</v>
      </c>
      <c r="J62" s="16">
        <v>-191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8" t="e">
        <f>'25hike'!C63+IPI_minus!C58</f>
        <v>#REF!</v>
      </c>
      <c r="D63" s="18" t="e">
        <f>'25hike'!D63+IPI_minus!D58</f>
        <v>#REF!</v>
      </c>
      <c r="E63" s="18" t="e">
        <f>'25hike'!E63+IPI_minus!E58</f>
        <v>#REF!</v>
      </c>
      <c r="F63" s="18" t="e">
        <f>'25hike'!F63+IPI_minus!F58</f>
        <v>#REF!</v>
      </c>
      <c r="G63" s="18" t="e">
        <f>'25hike'!G63+IPI_minus!G58</f>
        <v>#REF!</v>
      </c>
      <c r="H63" s="16">
        <f t="shared" ref="H63:I63" si="15">H62</f>
        <v>2</v>
      </c>
      <c r="I63" s="16">
        <f t="shared" si="15"/>
        <v>0.75</v>
      </c>
      <c r="J63" s="16">
        <v>-190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8" t="e">
        <f>'25hike'!C64+IPI_minus!C59</f>
        <v>#REF!</v>
      </c>
      <c r="D64" s="18" t="e">
        <f>'25hike'!D64+IPI_minus!D59</f>
        <v>#REF!</v>
      </c>
      <c r="E64" s="18" t="e">
        <f>'25hike'!E64+IPI_minus!E59</f>
        <v>#REF!</v>
      </c>
      <c r="F64" s="18" t="e">
        <f>'25hike'!F64+IPI_minus!F59</f>
        <v>#REF!</v>
      </c>
      <c r="G64" s="18" t="e">
        <f>'25hike'!G64+IPI_minus!G59</f>
        <v>#REF!</v>
      </c>
      <c r="H64" s="16">
        <f t="shared" ref="H64:I64" si="16">H63</f>
        <v>2</v>
      </c>
      <c r="I64" s="16">
        <f t="shared" si="16"/>
        <v>0.75</v>
      </c>
      <c r="J64" s="16">
        <v>-189</v>
      </c>
    </row>
    <row r="65" spans="1:10" hidden="1" x14ac:dyDescent="0.55000000000000004">
      <c r="A65" s="5">
        <f t="shared" si="0"/>
        <v>14.75</v>
      </c>
      <c r="B65" s="4">
        <f t="shared" si="1"/>
        <v>0</v>
      </c>
      <c r="C65" s="18" t="e">
        <f>'25hike'!C65+IPI_minus!C60</f>
        <v>#REF!</v>
      </c>
      <c r="D65" s="18" t="e">
        <f>'25hike'!D65+IPI_minus!D60</f>
        <v>#REF!</v>
      </c>
      <c r="E65" s="18" t="e">
        <f>'25hike'!E65+IPI_minus!E60</f>
        <v>#REF!</v>
      </c>
      <c r="F65" s="18" t="e">
        <f>'25hike'!F65+IPI_minus!F60</f>
        <v>#REF!</v>
      </c>
      <c r="G65" s="18" t="e">
        <f>'25hike'!G65+IPI_minus!G60</f>
        <v>#REF!</v>
      </c>
      <c r="H65" s="16">
        <f t="shared" ref="H65:I65" si="17">H64</f>
        <v>2</v>
      </c>
      <c r="I65" s="16">
        <f t="shared" si="17"/>
        <v>0.75</v>
      </c>
      <c r="J65" s="16">
        <v>-188</v>
      </c>
    </row>
    <row r="66" spans="1:10" hidden="1" x14ac:dyDescent="0.55000000000000004">
      <c r="A66" s="5">
        <f t="shared" si="0"/>
        <v>15</v>
      </c>
      <c r="B66" s="4">
        <f t="shared" si="1"/>
        <v>0</v>
      </c>
      <c r="C66" s="18" t="e">
        <f>'25hike'!C66+IPI_minus!C61</f>
        <v>#REF!</v>
      </c>
      <c r="D66" s="18" t="e">
        <f>'25hike'!D66+IPI_minus!D61</f>
        <v>#REF!</v>
      </c>
      <c r="E66" s="18" t="e">
        <f>'25hike'!E66+IPI_minus!E61</f>
        <v>#REF!</v>
      </c>
      <c r="F66" s="18" t="e">
        <f>'25hike'!F66+IPI_minus!F61</f>
        <v>#REF!</v>
      </c>
      <c r="G66" s="18" t="e">
        <f>'25hike'!G66+IPI_minus!G61</f>
        <v>#REF!</v>
      </c>
      <c r="H66" s="16">
        <f t="shared" ref="H66:I66" si="18">H65</f>
        <v>2</v>
      </c>
      <c r="I66" s="16">
        <f t="shared" si="18"/>
        <v>0.75</v>
      </c>
      <c r="J66" s="16">
        <v>-187</v>
      </c>
    </row>
    <row r="67" spans="1:10" hidden="1" x14ac:dyDescent="0.55000000000000004">
      <c r="A67" s="5">
        <f t="shared" si="0"/>
        <v>15.25</v>
      </c>
      <c r="B67" s="4">
        <f t="shared" si="1"/>
        <v>0</v>
      </c>
      <c r="C67" s="18" t="e">
        <f>'25hike'!C67+IPI_minus!C62</f>
        <v>#REF!</v>
      </c>
      <c r="D67" s="18" t="e">
        <f>'25hike'!D67+IPI_minus!D62</f>
        <v>#REF!</v>
      </c>
      <c r="E67" s="18" t="e">
        <f>'25hike'!E67+IPI_minus!E62</f>
        <v>#REF!</v>
      </c>
      <c r="F67" s="18" t="e">
        <f>'25hike'!F67+IPI_minus!F62</f>
        <v>#REF!</v>
      </c>
      <c r="G67" s="18" t="e">
        <f>'25hike'!G67+IPI_minus!G62</f>
        <v>#REF!</v>
      </c>
      <c r="H67" s="16">
        <f t="shared" ref="H67:I67" si="19">H66</f>
        <v>2</v>
      </c>
      <c r="I67" s="16">
        <f t="shared" si="19"/>
        <v>0.75</v>
      </c>
      <c r="J67" s="16">
        <v>-186</v>
      </c>
    </row>
    <row r="68" spans="1:10" hidden="1" x14ac:dyDescent="0.55000000000000004">
      <c r="A68" s="5">
        <f t="shared" ref="A68:A131" si="20">A67+0.25</f>
        <v>15.5</v>
      </c>
      <c r="B68" s="4">
        <f t="shared" ref="B68:B131" si="21">B67</f>
        <v>0</v>
      </c>
      <c r="C68" s="18" t="e">
        <f>'25hike'!C68+IPI_minus!C63</f>
        <v>#REF!</v>
      </c>
      <c r="D68" s="18" t="e">
        <f>'25hike'!D68+IPI_minus!D63</f>
        <v>#REF!</v>
      </c>
      <c r="E68" s="18" t="e">
        <f>'25hike'!E68+IPI_minus!E63</f>
        <v>#REF!</v>
      </c>
      <c r="F68" s="18" t="e">
        <f>'25hike'!F68+IPI_minus!F63</f>
        <v>#REF!</v>
      </c>
      <c r="G68" s="18" t="e">
        <f>'25hike'!G68+IPI_minus!G63</f>
        <v>#REF!</v>
      </c>
      <c r="H68" s="16">
        <f t="shared" ref="H68:I68" si="22">H67</f>
        <v>2</v>
      </c>
      <c r="I68" s="16">
        <f t="shared" si="22"/>
        <v>0.75</v>
      </c>
      <c r="J68" s="16">
        <v>-185</v>
      </c>
    </row>
    <row r="69" spans="1:10" hidden="1" x14ac:dyDescent="0.55000000000000004">
      <c r="A69" s="5">
        <f t="shared" si="20"/>
        <v>15.75</v>
      </c>
      <c r="B69" s="4">
        <f t="shared" si="21"/>
        <v>0</v>
      </c>
      <c r="C69" s="18" t="e">
        <f>'25hike'!C69+IPI_minus!C64</f>
        <v>#REF!</v>
      </c>
      <c r="D69" s="18" t="e">
        <f>'25hike'!D69+IPI_minus!D64</f>
        <v>#REF!</v>
      </c>
      <c r="E69" s="18" t="e">
        <f>'25hike'!E69+IPI_minus!E64</f>
        <v>#REF!</v>
      </c>
      <c r="F69" s="18" t="e">
        <f>'25hike'!F69+IPI_minus!F64</f>
        <v>#REF!</v>
      </c>
      <c r="G69" s="18" t="e">
        <f>'25hike'!G69+IPI_minus!G64</f>
        <v>#REF!</v>
      </c>
      <c r="H69" s="16">
        <f t="shared" ref="H69:I69" si="23">H68</f>
        <v>2</v>
      </c>
      <c r="I69" s="16">
        <f t="shared" si="23"/>
        <v>0.75</v>
      </c>
      <c r="J69" s="16">
        <v>-184</v>
      </c>
    </row>
    <row r="70" spans="1:10" hidden="1" x14ac:dyDescent="0.55000000000000004">
      <c r="A70" s="5">
        <f t="shared" si="20"/>
        <v>16</v>
      </c>
      <c r="B70" s="4">
        <f t="shared" si="21"/>
        <v>0</v>
      </c>
      <c r="C70" s="18" t="e">
        <f>'25hike'!C70+IPI_minus!C65</f>
        <v>#REF!</v>
      </c>
      <c r="D70" s="18" t="e">
        <f>'25hike'!D70+IPI_minus!D65</f>
        <v>#REF!</v>
      </c>
      <c r="E70" s="18" t="e">
        <f>'25hike'!E70+IPI_minus!E65</f>
        <v>#REF!</v>
      </c>
      <c r="F70" s="18" t="e">
        <f>'25hike'!F70+IPI_minus!F65</f>
        <v>#REF!</v>
      </c>
      <c r="G70" s="18" t="e">
        <f>'25hike'!G70+IPI_minus!G65</f>
        <v>#REF!</v>
      </c>
      <c r="H70" s="16">
        <f t="shared" ref="H70:I70" si="24">H69</f>
        <v>2</v>
      </c>
      <c r="I70" s="16">
        <f t="shared" si="24"/>
        <v>0.75</v>
      </c>
      <c r="J70" s="16">
        <v>-183</v>
      </c>
    </row>
    <row r="71" spans="1:10" hidden="1" x14ac:dyDescent="0.55000000000000004">
      <c r="A71" s="5">
        <f t="shared" si="20"/>
        <v>16.25</v>
      </c>
      <c r="B71" s="4">
        <f t="shared" si="21"/>
        <v>0</v>
      </c>
      <c r="C71" s="18" t="e">
        <f>'25hike'!C71+IPI_minus!C66</f>
        <v>#REF!</v>
      </c>
      <c r="D71" s="18" t="e">
        <f>'25hike'!D71+IPI_minus!D66</f>
        <v>#REF!</v>
      </c>
      <c r="E71" s="18" t="e">
        <f>'25hike'!E71+IPI_minus!E66</f>
        <v>#REF!</v>
      </c>
      <c r="F71" s="18" t="e">
        <f>'25hike'!F71+IPI_minus!F66</f>
        <v>#REF!</v>
      </c>
      <c r="G71" s="18" t="e">
        <f>'25hike'!G71+IPI_minus!G66</f>
        <v>#REF!</v>
      </c>
      <c r="H71" s="16">
        <f t="shared" ref="H71:I71" si="25">H70</f>
        <v>2</v>
      </c>
      <c r="I71" s="16">
        <f t="shared" si="25"/>
        <v>0.75</v>
      </c>
      <c r="J71" s="16">
        <v>-182</v>
      </c>
    </row>
    <row r="72" spans="1:10" hidden="1" x14ac:dyDescent="0.55000000000000004">
      <c r="A72" s="5">
        <f t="shared" si="20"/>
        <v>16.5</v>
      </c>
      <c r="B72" s="4">
        <f t="shared" si="21"/>
        <v>0</v>
      </c>
      <c r="C72" s="18" t="e">
        <f>'25hike'!C72+IPI_minus!C67</f>
        <v>#REF!</v>
      </c>
      <c r="D72" s="18" t="e">
        <f>'25hike'!D72+IPI_minus!D67</f>
        <v>#REF!</v>
      </c>
      <c r="E72" s="18" t="e">
        <f>'25hike'!E72+IPI_minus!E67</f>
        <v>#REF!</v>
      </c>
      <c r="F72" s="18" t="e">
        <f>'25hike'!F72+IPI_minus!F67</f>
        <v>#REF!</v>
      </c>
      <c r="G72" s="18" t="e">
        <f>'25hike'!G72+IPI_minus!G67</f>
        <v>#REF!</v>
      </c>
      <c r="H72" s="16">
        <f t="shared" ref="H72:I72" si="26">H71</f>
        <v>2</v>
      </c>
      <c r="I72" s="16">
        <f t="shared" si="26"/>
        <v>0.75</v>
      </c>
      <c r="J72" s="16">
        <v>-181</v>
      </c>
    </row>
    <row r="73" spans="1:10" hidden="1" x14ac:dyDescent="0.55000000000000004">
      <c r="A73" s="5">
        <f t="shared" si="20"/>
        <v>16.75</v>
      </c>
      <c r="B73" s="4">
        <f t="shared" si="21"/>
        <v>0</v>
      </c>
      <c r="C73" s="18" t="e">
        <f>'25hike'!C73+IPI_minus!C68</f>
        <v>#REF!</v>
      </c>
      <c r="D73" s="18" t="e">
        <f>'25hike'!D73+IPI_minus!D68</f>
        <v>#REF!</v>
      </c>
      <c r="E73" s="18" t="e">
        <f>'25hike'!E73+IPI_minus!E68</f>
        <v>#REF!</v>
      </c>
      <c r="F73" s="18" t="e">
        <f>'25hike'!F73+IPI_minus!F68</f>
        <v>#REF!</v>
      </c>
      <c r="G73" s="18" t="e">
        <f>'25hike'!G73+IPI_minus!G68</f>
        <v>#REF!</v>
      </c>
      <c r="H73" s="16">
        <f t="shared" ref="H73:I73" si="27">H72</f>
        <v>2</v>
      </c>
      <c r="I73" s="16">
        <f t="shared" si="27"/>
        <v>0.75</v>
      </c>
      <c r="J73" s="16">
        <v>-180</v>
      </c>
    </row>
    <row r="74" spans="1:10" hidden="1" x14ac:dyDescent="0.55000000000000004">
      <c r="A74" s="5">
        <f t="shared" si="20"/>
        <v>17</v>
      </c>
      <c r="B74" s="4">
        <f t="shared" si="21"/>
        <v>0</v>
      </c>
      <c r="C74" s="18" t="e">
        <f>'25hike'!C74+IPI_minus!C69</f>
        <v>#REF!</v>
      </c>
      <c r="D74" s="18" t="e">
        <f>'25hike'!D74+IPI_minus!D69</f>
        <v>#REF!</v>
      </c>
      <c r="E74" s="18" t="e">
        <f>'25hike'!E74+IPI_minus!E69</f>
        <v>#REF!</v>
      </c>
      <c r="F74" s="18" t="e">
        <f>'25hike'!F74+IPI_minus!F69</f>
        <v>#REF!</v>
      </c>
      <c r="G74" s="18" t="e">
        <f>'25hike'!G74+IPI_minus!G69</f>
        <v>#REF!</v>
      </c>
      <c r="H74" s="16">
        <f t="shared" ref="H74:I74" si="28">H73</f>
        <v>2</v>
      </c>
      <c r="I74" s="16">
        <f t="shared" si="28"/>
        <v>0.75</v>
      </c>
      <c r="J74" s="16">
        <v>-179</v>
      </c>
    </row>
    <row r="75" spans="1:10" hidden="1" x14ac:dyDescent="0.55000000000000004">
      <c r="A75" s="5">
        <f t="shared" si="20"/>
        <v>17.25</v>
      </c>
      <c r="B75" s="4">
        <f t="shared" si="21"/>
        <v>0</v>
      </c>
      <c r="C75" s="18" t="e">
        <f>'25hike'!C75+IPI_minus!C70</f>
        <v>#REF!</v>
      </c>
      <c r="D75" s="18" t="e">
        <f>'25hike'!D75+IPI_minus!D70</f>
        <v>#REF!</v>
      </c>
      <c r="E75" s="18" t="e">
        <f>'25hike'!E75+IPI_minus!E70</f>
        <v>#REF!</v>
      </c>
      <c r="F75" s="18" t="e">
        <f>'25hike'!F75+IPI_minus!F70</f>
        <v>#REF!</v>
      </c>
      <c r="G75" s="18" t="e">
        <f>'25hike'!G75+IPI_minus!G70</f>
        <v>#REF!</v>
      </c>
      <c r="H75" s="16">
        <f t="shared" ref="H75:I75" si="29">H74</f>
        <v>2</v>
      </c>
      <c r="I75" s="16">
        <f t="shared" si="29"/>
        <v>0.75</v>
      </c>
      <c r="J75" s="16">
        <v>-178</v>
      </c>
    </row>
    <row r="76" spans="1:10" hidden="1" x14ac:dyDescent="0.55000000000000004">
      <c r="A76" s="5">
        <f t="shared" si="20"/>
        <v>17.5</v>
      </c>
      <c r="B76" s="4">
        <f t="shared" si="21"/>
        <v>0</v>
      </c>
      <c r="C76" s="18" t="e">
        <f>'25hike'!C76+IPI_minus!C71</f>
        <v>#REF!</v>
      </c>
      <c r="D76" s="18" t="e">
        <f>'25hike'!D76+IPI_minus!D71</f>
        <v>#REF!</v>
      </c>
      <c r="E76" s="18" t="e">
        <f>'25hike'!E76+IPI_minus!E71</f>
        <v>#REF!</v>
      </c>
      <c r="F76" s="18" t="e">
        <f>'25hike'!F76+IPI_minus!F71</f>
        <v>#REF!</v>
      </c>
      <c r="G76" s="18" t="e">
        <f>'25hike'!G76+IPI_minus!G71</f>
        <v>#REF!</v>
      </c>
      <c r="H76" s="16">
        <f t="shared" ref="H76:I76" si="30">H75</f>
        <v>2</v>
      </c>
      <c r="I76" s="16">
        <f t="shared" si="30"/>
        <v>0.75</v>
      </c>
      <c r="J76" s="16">
        <v>-177</v>
      </c>
    </row>
    <row r="77" spans="1:10" hidden="1" x14ac:dyDescent="0.55000000000000004">
      <c r="A77" s="5">
        <f t="shared" si="20"/>
        <v>17.75</v>
      </c>
      <c r="B77" s="4">
        <f t="shared" si="21"/>
        <v>0</v>
      </c>
      <c r="C77" s="18" t="e">
        <f>'25hike'!C77+IPI_minus!C72</f>
        <v>#REF!</v>
      </c>
      <c r="D77" s="18" t="e">
        <f>'25hike'!D77+IPI_minus!D72</f>
        <v>#REF!</v>
      </c>
      <c r="E77" s="18" t="e">
        <f>'25hike'!E77+IPI_minus!E72</f>
        <v>#REF!</v>
      </c>
      <c r="F77" s="18" t="e">
        <f>'25hike'!F77+IPI_minus!F72</f>
        <v>#REF!</v>
      </c>
      <c r="G77" s="18" t="e">
        <f>'25hike'!G77+IPI_minus!G72</f>
        <v>#REF!</v>
      </c>
      <c r="H77" s="16">
        <f t="shared" ref="H77:I77" si="31">H76</f>
        <v>2</v>
      </c>
      <c r="I77" s="16">
        <f t="shared" si="31"/>
        <v>0.75</v>
      </c>
      <c r="J77" s="16">
        <v>-176</v>
      </c>
    </row>
    <row r="78" spans="1:10" hidden="1" x14ac:dyDescent="0.55000000000000004">
      <c r="A78" s="5">
        <f t="shared" si="20"/>
        <v>18</v>
      </c>
      <c r="B78" s="4">
        <f t="shared" si="21"/>
        <v>0</v>
      </c>
      <c r="C78" s="18" t="e">
        <f>'25hike'!C78+IPI_minus!C73</f>
        <v>#REF!</v>
      </c>
      <c r="D78" s="18" t="e">
        <f>'25hike'!D78+IPI_minus!D73</f>
        <v>#REF!</v>
      </c>
      <c r="E78" s="18" t="e">
        <f>'25hike'!E78+IPI_minus!E73</f>
        <v>#REF!</v>
      </c>
      <c r="F78" s="18" t="e">
        <f>'25hike'!F78+IPI_minus!F73</f>
        <v>#REF!</v>
      </c>
      <c r="G78" s="18" t="e">
        <f>'25hike'!G78+IPI_minus!G73</f>
        <v>#REF!</v>
      </c>
      <c r="H78" s="16">
        <f t="shared" ref="H78:I78" si="32">H77</f>
        <v>2</v>
      </c>
      <c r="I78" s="16">
        <f t="shared" si="32"/>
        <v>0.75</v>
      </c>
      <c r="J78" s="16">
        <v>-175</v>
      </c>
    </row>
    <row r="79" spans="1:10" hidden="1" x14ac:dyDescent="0.55000000000000004">
      <c r="A79" s="5">
        <f t="shared" si="20"/>
        <v>18.25</v>
      </c>
      <c r="B79" s="4">
        <f t="shared" si="21"/>
        <v>0</v>
      </c>
      <c r="C79" s="18" t="e">
        <f>'25hike'!C79+IPI_minus!C74</f>
        <v>#REF!</v>
      </c>
      <c r="D79" s="18" t="e">
        <f>'25hike'!D79+IPI_minus!D74</f>
        <v>#REF!</v>
      </c>
      <c r="E79" s="18" t="e">
        <f>'25hike'!E79+IPI_minus!E74</f>
        <v>#REF!</v>
      </c>
      <c r="F79" s="18" t="e">
        <f>'25hike'!F79+IPI_minus!F74</f>
        <v>#REF!</v>
      </c>
      <c r="G79" s="18" t="e">
        <f>'25hike'!G79+IPI_minus!G74</f>
        <v>#REF!</v>
      </c>
      <c r="H79" s="16">
        <f t="shared" ref="H79:I79" si="33">H78</f>
        <v>2</v>
      </c>
      <c r="I79" s="16">
        <f t="shared" si="33"/>
        <v>0.75</v>
      </c>
      <c r="J79" s="16">
        <v>-174</v>
      </c>
    </row>
    <row r="80" spans="1:10" hidden="1" x14ac:dyDescent="0.55000000000000004">
      <c r="A80" s="5">
        <f t="shared" si="20"/>
        <v>18.5</v>
      </c>
      <c r="B80" s="4">
        <f t="shared" si="21"/>
        <v>0</v>
      </c>
      <c r="C80" s="18" t="e">
        <f>'25hike'!C80+IPI_minus!C75</f>
        <v>#REF!</v>
      </c>
      <c r="D80" s="18" t="e">
        <f>'25hike'!D80+IPI_minus!D75</f>
        <v>#REF!</v>
      </c>
      <c r="E80" s="18" t="e">
        <f>'25hike'!E80+IPI_minus!E75</f>
        <v>#REF!</v>
      </c>
      <c r="F80" s="18" t="e">
        <f>'25hike'!F80+IPI_minus!F75</f>
        <v>#REF!</v>
      </c>
      <c r="G80" s="18" t="e">
        <f>'25hike'!G80+IPI_minus!G75</f>
        <v>#REF!</v>
      </c>
      <c r="H80" s="16">
        <f t="shared" ref="H80:I80" si="34">H79</f>
        <v>2</v>
      </c>
      <c r="I80" s="16">
        <f t="shared" si="34"/>
        <v>0.75</v>
      </c>
      <c r="J80" s="16">
        <v>-173</v>
      </c>
    </row>
    <row r="81" spans="1:10" hidden="1" x14ac:dyDescent="0.55000000000000004">
      <c r="A81" s="5">
        <f t="shared" si="20"/>
        <v>18.75</v>
      </c>
      <c r="B81" s="4">
        <f t="shared" si="21"/>
        <v>0</v>
      </c>
      <c r="C81" s="18" t="e">
        <f>'25hike'!C81+IPI_minus!C76</f>
        <v>#REF!</v>
      </c>
      <c r="D81" s="18" t="e">
        <f>'25hike'!D81+IPI_minus!D76</f>
        <v>#REF!</v>
      </c>
      <c r="E81" s="18" t="e">
        <f>'25hike'!E81+IPI_minus!E76</f>
        <v>#REF!</v>
      </c>
      <c r="F81" s="18" t="e">
        <f>'25hike'!F81+IPI_minus!F76</f>
        <v>#REF!</v>
      </c>
      <c r="G81" s="18" t="e">
        <f>'25hike'!G81+IPI_minus!G76</f>
        <v>#REF!</v>
      </c>
      <c r="H81" s="16">
        <f t="shared" ref="H81:I81" si="35">H80</f>
        <v>2</v>
      </c>
      <c r="I81" s="16">
        <f t="shared" si="35"/>
        <v>0.75</v>
      </c>
      <c r="J81" s="16">
        <v>-172</v>
      </c>
    </row>
    <row r="82" spans="1:10" hidden="1" x14ac:dyDescent="0.55000000000000004">
      <c r="A82" s="5">
        <f t="shared" si="20"/>
        <v>19</v>
      </c>
      <c r="B82" s="4">
        <f t="shared" si="21"/>
        <v>0</v>
      </c>
      <c r="C82" s="18" t="e">
        <f>'25hike'!C82+IPI_minus!C77</f>
        <v>#REF!</v>
      </c>
      <c r="D82" s="18" t="e">
        <f>'25hike'!D82+IPI_minus!D77</f>
        <v>#REF!</v>
      </c>
      <c r="E82" s="18" t="e">
        <f>'25hike'!E82+IPI_minus!E77</f>
        <v>#REF!</v>
      </c>
      <c r="F82" s="18" t="e">
        <f>'25hike'!F82+IPI_minus!F77</f>
        <v>#REF!</v>
      </c>
      <c r="G82" s="18" t="e">
        <f>'25hike'!G82+IPI_minus!G77</f>
        <v>#REF!</v>
      </c>
      <c r="H82" s="16">
        <f t="shared" ref="H82:I82" si="36">H81</f>
        <v>2</v>
      </c>
      <c r="I82" s="16">
        <f t="shared" si="36"/>
        <v>0.75</v>
      </c>
      <c r="J82" s="16">
        <v>-171</v>
      </c>
    </row>
    <row r="83" spans="1:10" hidden="1" x14ac:dyDescent="0.55000000000000004">
      <c r="A83" s="5">
        <f t="shared" si="20"/>
        <v>19.25</v>
      </c>
      <c r="B83" s="4">
        <f t="shared" si="21"/>
        <v>0</v>
      </c>
      <c r="C83" s="18" t="e">
        <f>'25hike'!C83+IPI_minus!C78</f>
        <v>#REF!</v>
      </c>
      <c r="D83" s="18" t="e">
        <f>'25hike'!D83+IPI_minus!D78</f>
        <v>#REF!</v>
      </c>
      <c r="E83" s="18" t="e">
        <f>'25hike'!E83+IPI_minus!E78</f>
        <v>#REF!</v>
      </c>
      <c r="F83" s="18" t="e">
        <f>'25hike'!F83+IPI_minus!F78</f>
        <v>#REF!</v>
      </c>
      <c r="G83" s="18" t="e">
        <f>'25hike'!G83+IPI_minus!G78</f>
        <v>#REF!</v>
      </c>
      <c r="H83" s="16">
        <f t="shared" ref="H83:I83" si="37">H82</f>
        <v>2</v>
      </c>
      <c r="I83" s="16">
        <f t="shared" si="37"/>
        <v>0.75</v>
      </c>
      <c r="J83" s="16">
        <v>-170</v>
      </c>
    </row>
    <row r="84" spans="1:10" hidden="1" x14ac:dyDescent="0.55000000000000004">
      <c r="A84" s="5">
        <f t="shared" si="20"/>
        <v>19.5</v>
      </c>
      <c r="B84" s="4">
        <f t="shared" si="21"/>
        <v>0</v>
      </c>
      <c r="C84" s="18" t="e">
        <f>'25hike'!C84+IPI_minus!C79</f>
        <v>#REF!</v>
      </c>
      <c r="D84" s="18" t="e">
        <f>'25hike'!D84+IPI_minus!D79</f>
        <v>#REF!</v>
      </c>
      <c r="E84" s="18" t="e">
        <f>'25hike'!E84+IPI_minus!E79</f>
        <v>#REF!</v>
      </c>
      <c r="F84" s="18" t="e">
        <f>'25hike'!F84+IPI_minus!F79</f>
        <v>#REF!</v>
      </c>
      <c r="G84" s="18" t="e">
        <f>'25hike'!G84+IPI_minus!G79</f>
        <v>#REF!</v>
      </c>
      <c r="H84" s="16">
        <f t="shared" ref="H84:I84" si="38">H83</f>
        <v>2</v>
      </c>
      <c r="I84" s="16">
        <f t="shared" si="38"/>
        <v>0.75</v>
      </c>
      <c r="J84" s="16">
        <v>-169</v>
      </c>
    </row>
    <row r="85" spans="1:10" hidden="1" x14ac:dyDescent="0.55000000000000004">
      <c r="A85" s="5">
        <f t="shared" si="20"/>
        <v>19.75</v>
      </c>
      <c r="B85" s="4">
        <f t="shared" si="21"/>
        <v>0</v>
      </c>
      <c r="C85" s="18" t="e">
        <f>'25hike'!C85+IPI_minus!C80</f>
        <v>#REF!</v>
      </c>
      <c r="D85" s="18" t="e">
        <f>'25hike'!D85+IPI_minus!D80</f>
        <v>#REF!</v>
      </c>
      <c r="E85" s="18" t="e">
        <f>'25hike'!E85+IPI_minus!E80</f>
        <v>#REF!</v>
      </c>
      <c r="F85" s="18" t="e">
        <f>'25hike'!F85+IPI_minus!F80</f>
        <v>#REF!</v>
      </c>
      <c r="G85" s="18" t="e">
        <f>'25hike'!G85+IPI_minus!G80</f>
        <v>#REF!</v>
      </c>
      <c r="H85" s="16">
        <f t="shared" ref="H85:I85" si="39">H84</f>
        <v>2</v>
      </c>
      <c r="I85" s="16">
        <f t="shared" si="39"/>
        <v>0.75</v>
      </c>
      <c r="J85" s="16">
        <v>-168</v>
      </c>
    </row>
    <row r="86" spans="1:10" hidden="1" x14ac:dyDescent="0.55000000000000004">
      <c r="A86" s="5">
        <f t="shared" si="20"/>
        <v>20</v>
      </c>
      <c r="B86" s="4">
        <f t="shared" si="21"/>
        <v>0</v>
      </c>
      <c r="C86" s="18" t="e">
        <f>'25hike'!C86+IPI_minus!C81</f>
        <v>#REF!</v>
      </c>
      <c r="D86" s="18" t="e">
        <f>'25hike'!D86+IPI_minus!D81</f>
        <v>#REF!</v>
      </c>
      <c r="E86" s="18" t="e">
        <f>'25hike'!E86+IPI_minus!E81</f>
        <v>#REF!</v>
      </c>
      <c r="F86" s="18" t="e">
        <f>'25hike'!F86+IPI_minus!F81</f>
        <v>#REF!</v>
      </c>
      <c r="G86" s="18" t="e">
        <f>'25hike'!G86+IPI_minus!G81</f>
        <v>#REF!</v>
      </c>
      <c r="H86" s="16">
        <f t="shared" ref="H86:I86" si="40">H85</f>
        <v>2</v>
      </c>
      <c r="I86" s="16">
        <f t="shared" si="40"/>
        <v>0.75</v>
      </c>
      <c r="J86" s="16">
        <v>-167</v>
      </c>
    </row>
    <row r="87" spans="1:10" hidden="1" x14ac:dyDescent="0.55000000000000004">
      <c r="A87" s="5">
        <f t="shared" si="20"/>
        <v>20.25</v>
      </c>
      <c r="B87" s="4">
        <f t="shared" si="21"/>
        <v>0</v>
      </c>
      <c r="C87" s="18" t="e">
        <f>'25hike'!C87+IPI_minus!C82</f>
        <v>#REF!</v>
      </c>
      <c r="D87" s="18" t="e">
        <f>'25hike'!D87+IPI_minus!D82</f>
        <v>#REF!</v>
      </c>
      <c r="E87" s="18" t="e">
        <f>'25hike'!E87+IPI_minus!E82</f>
        <v>#REF!</v>
      </c>
      <c r="F87" s="18" t="e">
        <f>'25hike'!F87+IPI_minus!F82</f>
        <v>#REF!</v>
      </c>
      <c r="G87" s="18" t="e">
        <f>'25hike'!G87+IPI_minus!G82</f>
        <v>#REF!</v>
      </c>
      <c r="H87" s="16">
        <f t="shared" ref="H87:I87" si="41">H86</f>
        <v>2</v>
      </c>
      <c r="I87" s="16">
        <f t="shared" si="41"/>
        <v>0.75</v>
      </c>
      <c r="J87" s="16">
        <v>-166</v>
      </c>
    </row>
    <row r="88" spans="1:10" hidden="1" x14ac:dyDescent="0.55000000000000004">
      <c r="A88" s="5">
        <f t="shared" si="20"/>
        <v>20.5</v>
      </c>
      <c r="B88" s="4">
        <f t="shared" si="21"/>
        <v>0</v>
      </c>
      <c r="C88" s="18" t="e">
        <f>'25hike'!C88+IPI_minus!C83</f>
        <v>#REF!</v>
      </c>
      <c r="D88" s="18" t="e">
        <f>'25hike'!D88+IPI_minus!D83</f>
        <v>#REF!</v>
      </c>
      <c r="E88" s="18" t="e">
        <f>'25hike'!E88+IPI_minus!E83</f>
        <v>#REF!</v>
      </c>
      <c r="F88" s="18" t="e">
        <f>'25hike'!F88+IPI_minus!F83</f>
        <v>#REF!</v>
      </c>
      <c r="G88" s="18" t="e">
        <f>'25hike'!G88+IPI_minus!G83</f>
        <v>#REF!</v>
      </c>
      <c r="H88" s="16">
        <f t="shared" ref="H88:I88" si="42">H87</f>
        <v>2</v>
      </c>
      <c r="I88" s="16">
        <f t="shared" si="42"/>
        <v>0.75</v>
      </c>
      <c r="J88" s="16">
        <v>-165</v>
      </c>
    </row>
    <row r="89" spans="1:10" hidden="1" x14ac:dyDescent="0.55000000000000004">
      <c r="A89" s="5">
        <f t="shared" si="20"/>
        <v>20.75</v>
      </c>
      <c r="B89" s="4">
        <f t="shared" si="21"/>
        <v>0</v>
      </c>
      <c r="C89" s="18" t="e">
        <f>'25hike'!C89+IPI_minus!C84</f>
        <v>#REF!</v>
      </c>
      <c r="D89" s="18" t="e">
        <f>'25hike'!D89+IPI_minus!D84</f>
        <v>#REF!</v>
      </c>
      <c r="E89" s="18" t="e">
        <f>'25hike'!E89+IPI_minus!E84</f>
        <v>#REF!</v>
      </c>
      <c r="F89" s="18" t="e">
        <f>'25hike'!F89+IPI_minus!F84</f>
        <v>#REF!</v>
      </c>
      <c r="G89" s="18" t="e">
        <f>'25hike'!G89+IPI_minus!G84</f>
        <v>#REF!</v>
      </c>
      <c r="H89" s="16">
        <f t="shared" ref="H89:I89" si="43">H88</f>
        <v>2</v>
      </c>
      <c r="I89" s="16">
        <f t="shared" si="43"/>
        <v>0.75</v>
      </c>
      <c r="J89" s="16">
        <v>-164</v>
      </c>
    </row>
    <row r="90" spans="1:10" hidden="1" x14ac:dyDescent="0.55000000000000004">
      <c r="A90" s="5">
        <f t="shared" si="20"/>
        <v>21</v>
      </c>
      <c r="B90" s="4">
        <f t="shared" si="21"/>
        <v>0</v>
      </c>
      <c r="C90" s="18" t="e">
        <f>'25hike'!C90+IPI_minus!C85</f>
        <v>#REF!</v>
      </c>
      <c r="D90" s="18" t="e">
        <f>'25hike'!D90+IPI_minus!D85</f>
        <v>#REF!</v>
      </c>
      <c r="E90" s="18" t="e">
        <f>'25hike'!E90+IPI_minus!E85</f>
        <v>#REF!</v>
      </c>
      <c r="F90" s="18" t="e">
        <f>'25hike'!F90+IPI_minus!F85</f>
        <v>#REF!</v>
      </c>
      <c r="G90" s="18" t="e">
        <f>'25hike'!G90+IPI_minus!G85</f>
        <v>#REF!</v>
      </c>
      <c r="H90" s="16">
        <f t="shared" ref="H90:I90" si="44">H89</f>
        <v>2</v>
      </c>
      <c r="I90" s="16">
        <f t="shared" si="44"/>
        <v>0.75</v>
      </c>
      <c r="J90" s="16">
        <v>-163</v>
      </c>
    </row>
    <row r="91" spans="1:10" hidden="1" x14ac:dyDescent="0.55000000000000004">
      <c r="A91" s="5">
        <f t="shared" si="20"/>
        <v>21.25</v>
      </c>
      <c r="B91" s="4">
        <f t="shared" si="21"/>
        <v>0</v>
      </c>
      <c r="C91" s="18" t="e">
        <f>'25hike'!C91+IPI_minus!C86</f>
        <v>#REF!</v>
      </c>
      <c r="D91" s="18" t="e">
        <f>'25hike'!D91+IPI_minus!D86</f>
        <v>#REF!</v>
      </c>
      <c r="E91" s="18" t="e">
        <f>'25hike'!E91+IPI_minus!E86</f>
        <v>#REF!</v>
      </c>
      <c r="F91" s="18" t="e">
        <f>'25hike'!F91+IPI_minus!F86</f>
        <v>#REF!</v>
      </c>
      <c r="G91" s="18" t="e">
        <f>'25hike'!G91+IPI_minus!G86</f>
        <v>#REF!</v>
      </c>
      <c r="H91" s="16">
        <f t="shared" ref="H91:I91" si="45">H90</f>
        <v>2</v>
      </c>
      <c r="I91" s="16">
        <f t="shared" si="45"/>
        <v>0.75</v>
      </c>
      <c r="J91" s="16">
        <v>-162</v>
      </c>
    </row>
    <row r="92" spans="1:10" hidden="1" x14ac:dyDescent="0.55000000000000004">
      <c r="A92" s="5">
        <f t="shared" si="20"/>
        <v>21.5</v>
      </c>
      <c r="B92" s="4">
        <f t="shared" si="21"/>
        <v>0</v>
      </c>
      <c r="C92" s="18" t="e">
        <f>'25hike'!C92+IPI_minus!C87</f>
        <v>#REF!</v>
      </c>
      <c r="D92" s="18" t="e">
        <f>'25hike'!D92+IPI_minus!D87</f>
        <v>#REF!</v>
      </c>
      <c r="E92" s="18" t="e">
        <f>'25hike'!E92+IPI_minus!E87</f>
        <v>#REF!</v>
      </c>
      <c r="F92" s="18" t="e">
        <f>'25hike'!F92+IPI_minus!F87</f>
        <v>#REF!</v>
      </c>
      <c r="G92" s="18" t="e">
        <f>'25hike'!G92+IPI_minus!G87</f>
        <v>#REF!</v>
      </c>
      <c r="H92" s="16">
        <f t="shared" ref="H92:I92" si="46">H91</f>
        <v>2</v>
      </c>
      <c r="I92" s="16">
        <f t="shared" si="46"/>
        <v>0.75</v>
      </c>
      <c r="J92" s="16">
        <v>-161</v>
      </c>
    </row>
    <row r="93" spans="1:10" hidden="1" x14ac:dyDescent="0.55000000000000004">
      <c r="A93" s="5">
        <f t="shared" si="20"/>
        <v>21.75</v>
      </c>
      <c r="B93" s="4">
        <f t="shared" si="21"/>
        <v>0</v>
      </c>
      <c r="C93" s="18" t="e">
        <f>'25hike'!C93+IPI_minus!C88</f>
        <v>#REF!</v>
      </c>
      <c r="D93" s="18" t="e">
        <f>'25hike'!D93+IPI_minus!D88</f>
        <v>#REF!</v>
      </c>
      <c r="E93" s="18" t="e">
        <f>'25hike'!E93+IPI_minus!E88</f>
        <v>#REF!</v>
      </c>
      <c r="F93" s="18" t="e">
        <f>'25hike'!F93+IPI_minus!F88</f>
        <v>#REF!</v>
      </c>
      <c r="G93" s="18" t="e">
        <f>'25hike'!G93+IPI_minus!G88</f>
        <v>#REF!</v>
      </c>
      <c r="H93" s="16">
        <f t="shared" ref="H93:I93" si="47">H92</f>
        <v>2</v>
      </c>
      <c r="I93" s="16">
        <f t="shared" si="47"/>
        <v>0.75</v>
      </c>
      <c r="J93" s="16">
        <v>-160</v>
      </c>
    </row>
    <row r="94" spans="1:10" hidden="1" x14ac:dyDescent="0.55000000000000004">
      <c r="A94" s="5">
        <f t="shared" si="20"/>
        <v>22</v>
      </c>
      <c r="B94" s="4">
        <f t="shared" si="21"/>
        <v>0</v>
      </c>
      <c r="C94" s="18" t="e">
        <f>'25hike'!C94+IPI_minus!C89</f>
        <v>#REF!</v>
      </c>
      <c r="D94" s="18" t="e">
        <f>'25hike'!D94+IPI_minus!D89</f>
        <v>#REF!</v>
      </c>
      <c r="E94" s="18" t="e">
        <f>'25hike'!E94+IPI_minus!E89</f>
        <v>#REF!</v>
      </c>
      <c r="F94" s="18" t="e">
        <f>'25hike'!F94+IPI_minus!F89</f>
        <v>#REF!</v>
      </c>
      <c r="G94" s="18" t="e">
        <f>'25hike'!G94+IPI_minus!G89</f>
        <v>#REF!</v>
      </c>
      <c r="H94" s="16">
        <f t="shared" ref="H94:I94" si="48">H93</f>
        <v>2</v>
      </c>
      <c r="I94" s="16">
        <f t="shared" si="48"/>
        <v>0.75</v>
      </c>
      <c r="J94" s="16">
        <v>-159</v>
      </c>
    </row>
    <row r="95" spans="1:10" hidden="1" x14ac:dyDescent="0.55000000000000004">
      <c r="A95" s="5">
        <f t="shared" si="20"/>
        <v>22.25</v>
      </c>
      <c r="B95" s="4">
        <f t="shared" si="21"/>
        <v>0</v>
      </c>
      <c r="C95" s="18" t="e">
        <f>'25hike'!C95+IPI_minus!C90</f>
        <v>#REF!</v>
      </c>
      <c r="D95" s="18" t="e">
        <f>'25hike'!D95+IPI_minus!D90</f>
        <v>#REF!</v>
      </c>
      <c r="E95" s="18" t="e">
        <f>'25hike'!E95+IPI_minus!E90</f>
        <v>#REF!</v>
      </c>
      <c r="F95" s="18" t="e">
        <f>'25hike'!F95+IPI_minus!F90</f>
        <v>#REF!</v>
      </c>
      <c r="G95" s="18" t="e">
        <f>'25hike'!G95+IPI_minus!G90</f>
        <v>#REF!</v>
      </c>
      <c r="H95" s="16">
        <f t="shared" ref="H95:I95" si="49">H94</f>
        <v>2</v>
      </c>
      <c r="I95" s="16">
        <f t="shared" si="49"/>
        <v>0.75</v>
      </c>
      <c r="J95" s="16">
        <v>-158</v>
      </c>
    </row>
    <row r="96" spans="1:10" hidden="1" x14ac:dyDescent="0.55000000000000004">
      <c r="A96" s="5">
        <f t="shared" si="20"/>
        <v>22.5</v>
      </c>
      <c r="B96" s="4">
        <f t="shared" si="21"/>
        <v>0</v>
      </c>
      <c r="C96" s="18" t="e">
        <f>'25hike'!C96+IPI_minus!C91</f>
        <v>#REF!</v>
      </c>
      <c r="D96" s="18" t="e">
        <f>'25hike'!D96+IPI_minus!D91</f>
        <v>#REF!</v>
      </c>
      <c r="E96" s="18" t="e">
        <f>'25hike'!E96+IPI_minus!E91</f>
        <v>#REF!</v>
      </c>
      <c r="F96" s="18" t="e">
        <f>'25hike'!F96+IPI_minus!F91</f>
        <v>#REF!</v>
      </c>
      <c r="G96" s="18" t="e">
        <f>'25hike'!G96+IPI_minus!G91</f>
        <v>#REF!</v>
      </c>
      <c r="H96" s="16">
        <f t="shared" ref="H96:I96" si="50">H95</f>
        <v>2</v>
      </c>
      <c r="I96" s="16">
        <f t="shared" si="50"/>
        <v>0.75</v>
      </c>
      <c r="J96" s="16">
        <v>-157</v>
      </c>
    </row>
    <row r="97" spans="1:10" hidden="1" x14ac:dyDescent="0.55000000000000004">
      <c r="A97" s="5">
        <f t="shared" si="20"/>
        <v>22.75</v>
      </c>
      <c r="B97" s="4">
        <f t="shared" si="21"/>
        <v>0</v>
      </c>
      <c r="C97" s="18" t="e">
        <f>'25hike'!C97+IPI_minus!C92</f>
        <v>#REF!</v>
      </c>
      <c r="D97" s="18" t="e">
        <f>'25hike'!D97+IPI_minus!D92</f>
        <v>#REF!</v>
      </c>
      <c r="E97" s="18" t="e">
        <f>'25hike'!E97+IPI_minus!E92</f>
        <v>#REF!</v>
      </c>
      <c r="F97" s="18" t="e">
        <f>'25hike'!F97+IPI_minus!F92</f>
        <v>#REF!</v>
      </c>
      <c r="G97" s="18" t="e">
        <f>'25hike'!G97+IPI_minus!G92</f>
        <v>#REF!</v>
      </c>
      <c r="H97" s="16">
        <f t="shared" ref="H97:I97" si="51">H96</f>
        <v>2</v>
      </c>
      <c r="I97" s="16">
        <f t="shared" si="51"/>
        <v>0.75</v>
      </c>
      <c r="J97" s="16">
        <v>-156</v>
      </c>
    </row>
    <row r="98" spans="1:10" hidden="1" x14ac:dyDescent="0.55000000000000004">
      <c r="A98" s="5">
        <f t="shared" si="20"/>
        <v>23</v>
      </c>
      <c r="B98" s="4">
        <f t="shared" si="21"/>
        <v>0</v>
      </c>
      <c r="C98" s="18" t="e">
        <f>'25hike'!C98+IPI_minus!C93</f>
        <v>#REF!</v>
      </c>
      <c r="D98" s="18" t="e">
        <f>'25hike'!D98+IPI_minus!D93</f>
        <v>#REF!</v>
      </c>
      <c r="E98" s="18" t="e">
        <f>'25hike'!E98+IPI_minus!E93</f>
        <v>#REF!</v>
      </c>
      <c r="F98" s="18" t="e">
        <f>'25hike'!F98+IPI_minus!F93</f>
        <v>#REF!</v>
      </c>
      <c r="G98" s="18" t="e">
        <f>'25hike'!G98+IPI_minus!G93</f>
        <v>#REF!</v>
      </c>
      <c r="H98" s="16">
        <f t="shared" ref="H98:I98" si="52">H97</f>
        <v>2</v>
      </c>
      <c r="I98" s="16">
        <f t="shared" si="52"/>
        <v>0.75</v>
      </c>
      <c r="J98" s="16">
        <v>-155</v>
      </c>
    </row>
    <row r="99" spans="1:10" hidden="1" x14ac:dyDescent="0.55000000000000004">
      <c r="A99" s="5">
        <f t="shared" si="20"/>
        <v>23.25</v>
      </c>
      <c r="B99" s="4">
        <f t="shared" si="21"/>
        <v>0</v>
      </c>
      <c r="C99" s="18" t="e">
        <f>'25hike'!C99+IPI_minus!C94</f>
        <v>#REF!</v>
      </c>
      <c r="D99" s="18" t="e">
        <f>'25hike'!D99+IPI_minus!D94</f>
        <v>#REF!</v>
      </c>
      <c r="E99" s="18" t="e">
        <f>'25hike'!E99+IPI_minus!E94</f>
        <v>#REF!</v>
      </c>
      <c r="F99" s="18" t="e">
        <f>'25hike'!F99+IPI_minus!F94</f>
        <v>#REF!</v>
      </c>
      <c r="G99" s="18" t="e">
        <f>'25hike'!G99+IPI_minus!G94</f>
        <v>#REF!</v>
      </c>
      <c r="H99" s="16">
        <f t="shared" ref="H99:I99" si="53">H98</f>
        <v>2</v>
      </c>
      <c r="I99" s="16">
        <f t="shared" si="53"/>
        <v>0.75</v>
      </c>
      <c r="J99" s="16">
        <v>-154</v>
      </c>
    </row>
    <row r="100" spans="1:10" hidden="1" x14ac:dyDescent="0.55000000000000004">
      <c r="A100" s="5">
        <f t="shared" si="20"/>
        <v>23.5</v>
      </c>
      <c r="B100" s="4">
        <f t="shared" si="21"/>
        <v>0</v>
      </c>
      <c r="C100" s="18" t="e">
        <f>'25hike'!C100+IPI_minus!C95</f>
        <v>#REF!</v>
      </c>
      <c r="D100" s="18" t="e">
        <f>'25hike'!D100+IPI_minus!D95</f>
        <v>#REF!</v>
      </c>
      <c r="E100" s="18" t="e">
        <f>'25hike'!E100+IPI_minus!E95</f>
        <v>#REF!</v>
      </c>
      <c r="F100" s="18" t="e">
        <f>'25hike'!F100+IPI_minus!F95</f>
        <v>#REF!</v>
      </c>
      <c r="G100" s="18" t="e">
        <f>'25hike'!G100+IPI_minus!G95</f>
        <v>#REF!</v>
      </c>
      <c r="H100" s="16">
        <f t="shared" ref="H100:I100" si="54">H99</f>
        <v>2</v>
      </c>
      <c r="I100" s="16">
        <f t="shared" si="54"/>
        <v>0.75</v>
      </c>
      <c r="J100" s="16">
        <v>-153</v>
      </c>
    </row>
    <row r="101" spans="1:10" hidden="1" x14ac:dyDescent="0.55000000000000004">
      <c r="A101" s="5">
        <f t="shared" si="20"/>
        <v>23.75</v>
      </c>
      <c r="B101" s="4">
        <f t="shared" si="21"/>
        <v>0</v>
      </c>
      <c r="C101" s="18" t="e">
        <f>'25hike'!C101+IPI_minus!C96</f>
        <v>#REF!</v>
      </c>
      <c r="D101" s="18" t="e">
        <f>'25hike'!D101+IPI_minus!D96</f>
        <v>#REF!</v>
      </c>
      <c r="E101" s="18" t="e">
        <f>'25hike'!E101+IPI_minus!E96</f>
        <v>#REF!</v>
      </c>
      <c r="F101" s="18" t="e">
        <f>'25hike'!F101+IPI_minus!F96</f>
        <v>#REF!</v>
      </c>
      <c r="G101" s="18" t="e">
        <f>'25hike'!G101+IPI_minus!G96</f>
        <v>#REF!</v>
      </c>
      <c r="H101" s="16">
        <f t="shared" ref="H101:I101" si="55">H100</f>
        <v>2</v>
      </c>
      <c r="I101" s="16">
        <f t="shared" si="55"/>
        <v>0.75</v>
      </c>
      <c r="J101" s="16">
        <v>-152</v>
      </c>
    </row>
    <row r="102" spans="1:10" hidden="1" x14ac:dyDescent="0.55000000000000004">
      <c r="A102" s="5">
        <f t="shared" si="20"/>
        <v>24</v>
      </c>
      <c r="B102" s="4">
        <f t="shared" si="21"/>
        <v>0</v>
      </c>
      <c r="C102" s="18" t="e">
        <f>'25hike'!C102+IPI_minus!C97</f>
        <v>#REF!</v>
      </c>
      <c r="D102" s="18" t="e">
        <f>'25hike'!D102+IPI_minus!D97</f>
        <v>#REF!</v>
      </c>
      <c r="E102" s="18" t="e">
        <f>'25hike'!E102+IPI_minus!E97</f>
        <v>#REF!</v>
      </c>
      <c r="F102" s="18" t="e">
        <f>'25hike'!F102+IPI_minus!F97</f>
        <v>#REF!</v>
      </c>
      <c r="G102" s="18" t="e">
        <f>'25hike'!G102+IPI_minus!G97</f>
        <v>#REF!</v>
      </c>
      <c r="H102" s="16">
        <f t="shared" ref="H102:I102" si="56">H101</f>
        <v>2</v>
      </c>
      <c r="I102" s="16">
        <f t="shared" si="56"/>
        <v>0.75</v>
      </c>
      <c r="J102" s="16">
        <v>-151</v>
      </c>
    </row>
    <row r="103" spans="1:10" hidden="1" x14ac:dyDescent="0.55000000000000004">
      <c r="A103" s="5">
        <f t="shared" si="20"/>
        <v>24.25</v>
      </c>
      <c r="B103" s="4">
        <f t="shared" si="21"/>
        <v>0</v>
      </c>
      <c r="C103" s="18" t="e">
        <f>'25hike'!C103+IPI_minus!C98</f>
        <v>#REF!</v>
      </c>
      <c r="D103" s="18" t="e">
        <f>'25hike'!D103+IPI_minus!D98</f>
        <v>#REF!</v>
      </c>
      <c r="E103" s="18" t="e">
        <f>'25hike'!E103+IPI_minus!E98</f>
        <v>#REF!</v>
      </c>
      <c r="F103" s="18" t="e">
        <f>'25hike'!F103+IPI_minus!F98</f>
        <v>#REF!</v>
      </c>
      <c r="G103" s="18" t="e">
        <f>'25hike'!G103+IPI_minus!G98</f>
        <v>#REF!</v>
      </c>
      <c r="H103" s="16">
        <f t="shared" ref="H103:I103" si="57">H102</f>
        <v>2</v>
      </c>
      <c r="I103" s="16">
        <f t="shared" si="57"/>
        <v>0.75</v>
      </c>
      <c r="J103" s="16">
        <v>-150</v>
      </c>
    </row>
    <row r="104" spans="1:10" hidden="1" x14ac:dyDescent="0.55000000000000004">
      <c r="A104" s="5">
        <f t="shared" si="20"/>
        <v>24.5</v>
      </c>
      <c r="B104" s="4">
        <f t="shared" si="21"/>
        <v>0</v>
      </c>
      <c r="C104" s="18" t="e">
        <f>'25hike'!C104+IPI_minus!C99</f>
        <v>#REF!</v>
      </c>
      <c r="D104" s="18" t="e">
        <f>'25hike'!D104+IPI_minus!D99</f>
        <v>#REF!</v>
      </c>
      <c r="E104" s="18" t="e">
        <f>'25hike'!E104+IPI_minus!E99</f>
        <v>#REF!</v>
      </c>
      <c r="F104" s="18" t="e">
        <f>'25hike'!F104+IPI_minus!F99</f>
        <v>#REF!</v>
      </c>
      <c r="G104" s="18" t="e">
        <f>'25hike'!G104+IPI_minus!G99</f>
        <v>#REF!</v>
      </c>
      <c r="H104" s="16">
        <f t="shared" ref="H104:I104" si="58">H103</f>
        <v>2</v>
      </c>
      <c r="I104" s="16">
        <f t="shared" si="58"/>
        <v>0.75</v>
      </c>
      <c r="J104" s="16">
        <v>-149</v>
      </c>
    </row>
    <row r="105" spans="1:10" hidden="1" x14ac:dyDescent="0.55000000000000004">
      <c r="A105" s="5">
        <f t="shared" si="20"/>
        <v>24.75</v>
      </c>
      <c r="B105" s="4">
        <f t="shared" si="21"/>
        <v>0</v>
      </c>
      <c r="C105" s="18" t="e">
        <f>'25hike'!C105+IPI_minus!C100</f>
        <v>#REF!</v>
      </c>
      <c r="D105" s="18" t="e">
        <f>'25hike'!D105+IPI_minus!D100</f>
        <v>#REF!</v>
      </c>
      <c r="E105" s="18" t="e">
        <f>'25hike'!E105+IPI_minus!E100</f>
        <v>#REF!</v>
      </c>
      <c r="F105" s="18" t="e">
        <f>'25hike'!F105+IPI_minus!F100</f>
        <v>#REF!</v>
      </c>
      <c r="G105" s="18" t="e">
        <f>'25hike'!G105+IPI_minus!G100</f>
        <v>#REF!</v>
      </c>
      <c r="H105" s="16">
        <f t="shared" ref="H105:I105" si="59">H104</f>
        <v>2</v>
      </c>
      <c r="I105" s="16">
        <f t="shared" si="59"/>
        <v>0.75</v>
      </c>
      <c r="J105" s="16">
        <v>-148</v>
      </c>
    </row>
    <row r="106" spans="1:10" hidden="1" x14ac:dyDescent="0.55000000000000004">
      <c r="A106" s="5">
        <f t="shared" si="20"/>
        <v>25</v>
      </c>
      <c r="B106" s="4">
        <f t="shared" si="21"/>
        <v>0</v>
      </c>
      <c r="C106" s="18" t="e">
        <f>'25hike'!C106+IPI_minus!C101</f>
        <v>#REF!</v>
      </c>
      <c r="D106" s="18" t="e">
        <f>'25hike'!D106+IPI_minus!D101</f>
        <v>#REF!</v>
      </c>
      <c r="E106" s="18" t="e">
        <f>'25hike'!E106+IPI_minus!E101</f>
        <v>#REF!</v>
      </c>
      <c r="F106" s="18" t="e">
        <f>'25hike'!F106+IPI_minus!F101</f>
        <v>#REF!</v>
      </c>
      <c r="G106" s="18" t="e">
        <f>'25hike'!G106+IPI_minus!G101</f>
        <v>#REF!</v>
      </c>
      <c r="H106" s="16">
        <f t="shared" ref="H106:I106" si="60">H105</f>
        <v>2</v>
      </c>
      <c r="I106" s="16">
        <f t="shared" si="60"/>
        <v>0.75</v>
      </c>
      <c r="J106" s="16">
        <v>-147</v>
      </c>
    </row>
    <row r="107" spans="1:10" hidden="1" x14ac:dyDescent="0.55000000000000004">
      <c r="A107" s="5">
        <f t="shared" si="20"/>
        <v>25.25</v>
      </c>
      <c r="B107" s="4">
        <f t="shared" si="21"/>
        <v>0</v>
      </c>
      <c r="C107" s="18" t="e">
        <f>'25hike'!C107+IPI_minus!C102</f>
        <v>#REF!</v>
      </c>
      <c r="D107" s="18" t="e">
        <f>'25hike'!D107+IPI_minus!D102</f>
        <v>#REF!</v>
      </c>
      <c r="E107" s="18" t="e">
        <f>'25hike'!E107+IPI_minus!E102</f>
        <v>#REF!</v>
      </c>
      <c r="F107" s="18" t="e">
        <f>'25hike'!F107+IPI_minus!F102</f>
        <v>#REF!</v>
      </c>
      <c r="G107" s="18" t="e">
        <f>'25hike'!G107+IPI_minus!G102</f>
        <v>#REF!</v>
      </c>
      <c r="H107" s="16">
        <f t="shared" ref="H107:I107" si="61">H106</f>
        <v>2</v>
      </c>
      <c r="I107" s="16">
        <f t="shared" si="61"/>
        <v>0.75</v>
      </c>
      <c r="J107" s="16">
        <v>-146</v>
      </c>
    </row>
    <row r="108" spans="1:10" hidden="1" x14ac:dyDescent="0.55000000000000004">
      <c r="A108" s="5">
        <f t="shared" si="20"/>
        <v>25.5</v>
      </c>
      <c r="B108" s="4">
        <f t="shared" si="21"/>
        <v>0</v>
      </c>
      <c r="C108" s="18" t="e">
        <f>'25hike'!C108+IPI_minus!C103</f>
        <v>#REF!</v>
      </c>
      <c r="D108" s="18" t="e">
        <f>'25hike'!D108+IPI_minus!D103</f>
        <v>#REF!</v>
      </c>
      <c r="E108" s="18" t="e">
        <f>'25hike'!E108+IPI_minus!E103</f>
        <v>#REF!</v>
      </c>
      <c r="F108" s="18" t="e">
        <f>'25hike'!F108+IPI_minus!F103</f>
        <v>#REF!</v>
      </c>
      <c r="G108" s="18" t="e">
        <f>'25hike'!G108+IPI_minus!G103</f>
        <v>#REF!</v>
      </c>
      <c r="H108" s="16">
        <f t="shared" ref="H108:I108" si="62">H107</f>
        <v>2</v>
      </c>
      <c r="I108" s="16">
        <f t="shared" si="62"/>
        <v>0.75</v>
      </c>
      <c r="J108" s="16">
        <v>-145</v>
      </c>
    </row>
    <row r="109" spans="1:10" hidden="1" x14ac:dyDescent="0.55000000000000004">
      <c r="A109" s="5">
        <f t="shared" si="20"/>
        <v>25.75</v>
      </c>
      <c r="B109" s="4">
        <f t="shared" si="21"/>
        <v>0</v>
      </c>
      <c r="C109" s="18" t="e">
        <f>'25hike'!C109+IPI_minus!C104</f>
        <v>#REF!</v>
      </c>
      <c r="D109" s="18" t="e">
        <f>'25hike'!D109+IPI_minus!D104</f>
        <v>#REF!</v>
      </c>
      <c r="E109" s="18" t="e">
        <f>'25hike'!E109+IPI_minus!E104</f>
        <v>#REF!</v>
      </c>
      <c r="F109" s="18" t="e">
        <f>'25hike'!F109+IPI_minus!F104</f>
        <v>#REF!</v>
      </c>
      <c r="G109" s="18" t="e">
        <f>'25hike'!G109+IPI_minus!G104</f>
        <v>#REF!</v>
      </c>
      <c r="H109" s="16">
        <f t="shared" ref="H109:I109" si="63">H108</f>
        <v>2</v>
      </c>
      <c r="I109" s="16">
        <f t="shared" si="63"/>
        <v>0.75</v>
      </c>
      <c r="J109" s="16">
        <v>-144</v>
      </c>
    </row>
    <row r="110" spans="1:10" hidden="1" x14ac:dyDescent="0.55000000000000004">
      <c r="A110" s="5">
        <f t="shared" si="20"/>
        <v>26</v>
      </c>
      <c r="B110" s="4">
        <f t="shared" si="21"/>
        <v>0</v>
      </c>
      <c r="C110" s="18" t="e">
        <f>'25hike'!C110+IPI_minus!C105</f>
        <v>#REF!</v>
      </c>
      <c r="D110" s="18" t="e">
        <f>'25hike'!D110+IPI_minus!D105</f>
        <v>#REF!</v>
      </c>
      <c r="E110" s="18" t="e">
        <f>'25hike'!E110+IPI_minus!E105</f>
        <v>#REF!</v>
      </c>
      <c r="F110" s="18" t="e">
        <f>'25hike'!F110+IPI_minus!F105</f>
        <v>#REF!</v>
      </c>
      <c r="G110" s="18" t="e">
        <f>'25hike'!G110+IPI_minus!G105</f>
        <v>#REF!</v>
      </c>
      <c r="H110" s="16">
        <f t="shared" ref="H110:I110" si="64">H109</f>
        <v>2</v>
      </c>
      <c r="I110" s="16">
        <f t="shared" si="64"/>
        <v>0.75</v>
      </c>
      <c r="J110" s="16">
        <v>-143</v>
      </c>
    </row>
    <row r="111" spans="1:10" hidden="1" x14ac:dyDescent="0.55000000000000004">
      <c r="A111" s="5">
        <f t="shared" si="20"/>
        <v>26.25</v>
      </c>
      <c r="B111" s="4">
        <f t="shared" si="21"/>
        <v>0</v>
      </c>
      <c r="C111" s="18" t="e">
        <f>'25hike'!C111+IPI_minus!C106</f>
        <v>#REF!</v>
      </c>
      <c r="D111" s="18" t="e">
        <f>'25hike'!D111+IPI_minus!D106</f>
        <v>#REF!</v>
      </c>
      <c r="E111" s="18" t="e">
        <f>'25hike'!E111+IPI_minus!E106</f>
        <v>#REF!</v>
      </c>
      <c r="F111" s="18" t="e">
        <f>'25hike'!F111+IPI_minus!F106</f>
        <v>#REF!</v>
      </c>
      <c r="G111" s="18" t="e">
        <f>'25hike'!G111+IPI_minus!G106</f>
        <v>#REF!</v>
      </c>
      <c r="H111" s="16">
        <f t="shared" ref="H111:I111" si="65">H110</f>
        <v>2</v>
      </c>
      <c r="I111" s="16">
        <f t="shared" si="65"/>
        <v>0.75</v>
      </c>
      <c r="J111" s="16">
        <v>-142</v>
      </c>
    </row>
    <row r="112" spans="1:10" hidden="1" x14ac:dyDescent="0.55000000000000004">
      <c r="A112" s="5">
        <f t="shared" si="20"/>
        <v>26.5</v>
      </c>
      <c r="B112" s="4">
        <f t="shared" si="21"/>
        <v>0</v>
      </c>
      <c r="C112" s="18" t="e">
        <f>'25hike'!C112+IPI_minus!C107</f>
        <v>#REF!</v>
      </c>
      <c r="D112" s="18" t="e">
        <f>'25hike'!D112+IPI_minus!D107</f>
        <v>#REF!</v>
      </c>
      <c r="E112" s="18" t="e">
        <f>'25hike'!E112+IPI_minus!E107</f>
        <v>#REF!</v>
      </c>
      <c r="F112" s="18" t="e">
        <f>'25hike'!F112+IPI_minus!F107</f>
        <v>#REF!</v>
      </c>
      <c r="G112" s="18" t="e">
        <f>'25hike'!G112+IPI_minus!G107</f>
        <v>#REF!</v>
      </c>
      <c r="H112" s="16">
        <f t="shared" ref="H112:I112" si="66">H111</f>
        <v>2</v>
      </c>
      <c r="I112" s="16">
        <f t="shared" si="66"/>
        <v>0.75</v>
      </c>
      <c r="J112" s="16">
        <v>-141</v>
      </c>
    </row>
    <row r="113" spans="1:10" hidden="1" x14ac:dyDescent="0.55000000000000004">
      <c r="A113" s="5">
        <f t="shared" si="20"/>
        <v>26.75</v>
      </c>
      <c r="B113" s="4">
        <f t="shared" si="21"/>
        <v>0</v>
      </c>
      <c r="C113" s="18" t="e">
        <f>'25hike'!C113+IPI_minus!C108</f>
        <v>#REF!</v>
      </c>
      <c r="D113" s="18" t="e">
        <f>'25hike'!D113+IPI_minus!D108</f>
        <v>#REF!</v>
      </c>
      <c r="E113" s="18" t="e">
        <f>'25hike'!E113+IPI_minus!E108</f>
        <v>#REF!</v>
      </c>
      <c r="F113" s="18" t="e">
        <f>'25hike'!F113+IPI_minus!F108</f>
        <v>#REF!</v>
      </c>
      <c r="G113" s="18" t="e">
        <f>'25hike'!G113+IPI_minus!G108</f>
        <v>#REF!</v>
      </c>
      <c r="H113" s="16">
        <f t="shared" ref="H113:I113" si="67">H112</f>
        <v>2</v>
      </c>
      <c r="I113" s="16">
        <f t="shared" si="67"/>
        <v>0.75</v>
      </c>
      <c r="J113" s="16">
        <v>-140</v>
      </c>
    </row>
    <row r="114" spans="1:10" hidden="1" x14ac:dyDescent="0.55000000000000004">
      <c r="A114" s="5">
        <f t="shared" si="20"/>
        <v>27</v>
      </c>
      <c r="B114" s="4">
        <f t="shared" si="21"/>
        <v>0</v>
      </c>
      <c r="C114" s="18" t="e">
        <f>'25hike'!C114+IPI_minus!C109</f>
        <v>#REF!</v>
      </c>
      <c r="D114" s="18" t="e">
        <f>'25hike'!D114+IPI_minus!D109</f>
        <v>#REF!</v>
      </c>
      <c r="E114" s="18" t="e">
        <f>'25hike'!E114+IPI_minus!E109</f>
        <v>#REF!</v>
      </c>
      <c r="F114" s="18" t="e">
        <f>'25hike'!F114+IPI_minus!F109</f>
        <v>#REF!</v>
      </c>
      <c r="G114" s="18" t="e">
        <f>'25hike'!G114+IPI_minus!G109</f>
        <v>#REF!</v>
      </c>
      <c r="H114" s="16">
        <f t="shared" ref="H114:I114" si="68">H113</f>
        <v>2</v>
      </c>
      <c r="I114" s="16">
        <f t="shared" si="68"/>
        <v>0.75</v>
      </c>
      <c r="J114" s="16">
        <v>-139</v>
      </c>
    </row>
    <row r="115" spans="1:10" hidden="1" x14ac:dyDescent="0.55000000000000004">
      <c r="A115" s="5">
        <f t="shared" si="20"/>
        <v>27.25</v>
      </c>
      <c r="B115" s="4">
        <f t="shared" si="21"/>
        <v>0</v>
      </c>
      <c r="C115" s="18" t="e">
        <f>'25hike'!C115+IPI_minus!C110</f>
        <v>#REF!</v>
      </c>
      <c r="D115" s="18" t="e">
        <f>'25hike'!D115+IPI_minus!D110</f>
        <v>#REF!</v>
      </c>
      <c r="E115" s="18" t="e">
        <f>'25hike'!E115+IPI_minus!E110</f>
        <v>#REF!</v>
      </c>
      <c r="F115" s="18" t="e">
        <f>'25hike'!F115+IPI_minus!F110</f>
        <v>#REF!</v>
      </c>
      <c r="G115" s="18" t="e">
        <f>'25hike'!G115+IPI_minus!G110</f>
        <v>#REF!</v>
      </c>
      <c r="H115" s="16">
        <f t="shared" ref="H115:I115" si="69">H114</f>
        <v>2</v>
      </c>
      <c r="I115" s="16">
        <f t="shared" si="69"/>
        <v>0.75</v>
      </c>
      <c r="J115" s="16">
        <v>-138</v>
      </c>
    </row>
    <row r="116" spans="1:10" hidden="1" x14ac:dyDescent="0.55000000000000004">
      <c r="A116" s="5">
        <f t="shared" si="20"/>
        <v>27.5</v>
      </c>
      <c r="B116" s="4">
        <f t="shared" si="21"/>
        <v>0</v>
      </c>
      <c r="C116" s="18" t="e">
        <f>'25hike'!C116+IPI_minus!C111</f>
        <v>#REF!</v>
      </c>
      <c r="D116" s="18" t="e">
        <f>'25hike'!D116+IPI_minus!D111</f>
        <v>#REF!</v>
      </c>
      <c r="E116" s="18" t="e">
        <f>'25hike'!E116+IPI_minus!E111</f>
        <v>#REF!</v>
      </c>
      <c r="F116" s="18" t="e">
        <f>'25hike'!F116+IPI_minus!F111</f>
        <v>#REF!</v>
      </c>
      <c r="G116" s="18" t="e">
        <f>'25hike'!G116+IPI_minus!G111</f>
        <v>#REF!</v>
      </c>
      <c r="H116" s="16">
        <f t="shared" ref="H116:I116" si="70">H115</f>
        <v>2</v>
      </c>
      <c r="I116" s="16">
        <f t="shared" si="70"/>
        <v>0.75</v>
      </c>
      <c r="J116" s="16">
        <v>-137</v>
      </c>
    </row>
    <row r="117" spans="1:10" hidden="1" x14ac:dyDescent="0.55000000000000004">
      <c r="A117" s="5">
        <f t="shared" si="20"/>
        <v>27.75</v>
      </c>
      <c r="B117" s="4">
        <f t="shared" si="21"/>
        <v>0</v>
      </c>
      <c r="C117" s="18" t="e">
        <f>'25hike'!C117+IPI_minus!C112</f>
        <v>#REF!</v>
      </c>
      <c r="D117" s="18" t="e">
        <f>'25hike'!D117+IPI_minus!D112</f>
        <v>#REF!</v>
      </c>
      <c r="E117" s="18" t="e">
        <f>'25hike'!E117+IPI_minus!E112</f>
        <v>#REF!</v>
      </c>
      <c r="F117" s="18" t="e">
        <f>'25hike'!F117+IPI_minus!F112</f>
        <v>#REF!</v>
      </c>
      <c r="G117" s="18" t="e">
        <f>'25hike'!G117+IPI_minus!G112</f>
        <v>#REF!</v>
      </c>
      <c r="H117" s="16">
        <f t="shared" ref="H117:I117" si="71">H116</f>
        <v>2</v>
      </c>
      <c r="I117" s="16">
        <f t="shared" si="71"/>
        <v>0.75</v>
      </c>
      <c r="J117" s="16">
        <v>-136</v>
      </c>
    </row>
    <row r="118" spans="1:10" hidden="1" x14ac:dyDescent="0.55000000000000004">
      <c r="A118" s="5">
        <f t="shared" si="20"/>
        <v>28</v>
      </c>
      <c r="B118" s="4">
        <f t="shared" si="21"/>
        <v>0</v>
      </c>
      <c r="C118" s="18" t="e">
        <f>'25hike'!C118+IPI_minus!C113</f>
        <v>#REF!</v>
      </c>
      <c r="D118" s="18" t="e">
        <f>'25hike'!D118+IPI_minus!D113</f>
        <v>#REF!</v>
      </c>
      <c r="E118" s="18" t="e">
        <f>'25hike'!E118+IPI_minus!E113</f>
        <v>#REF!</v>
      </c>
      <c r="F118" s="18" t="e">
        <f>'25hike'!F118+IPI_minus!F113</f>
        <v>#REF!</v>
      </c>
      <c r="G118" s="18" t="e">
        <f>'25hike'!G118+IPI_minus!G113</f>
        <v>#REF!</v>
      </c>
      <c r="H118" s="16">
        <f t="shared" ref="H118:I118" si="72">H117</f>
        <v>2</v>
      </c>
      <c r="I118" s="16">
        <f t="shared" si="72"/>
        <v>0.75</v>
      </c>
      <c r="J118" s="16">
        <v>-135</v>
      </c>
    </row>
    <row r="119" spans="1:10" hidden="1" x14ac:dyDescent="0.55000000000000004">
      <c r="A119" s="5">
        <f t="shared" si="20"/>
        <v>28.25</v>
      </c>
      <c r="B119" s="4">
        <f t="shared" si="21"/>
        <v>0</v>
      </c>
      <c r="C119" s="18" t="e">
        <f>'25hike'!C119+IPI_minus!C114</f>
        <v>#REF!</v>
      </c>
      <c r="D119" s="18" t="e">
        <f>'25hike'!D119+IPI_minus!D114</f>
        <v>#REF!</v>
      </c>
      <c r="E119" s="18" t="e">
        <f>'25hike'!E119+IPI_minus!E114</f>
        <v>#REF!</v>
      </c>
      <c r="F119" s="18" t="e">
        <f>'25hike'!F119+IPI_minus!F114</f>
        <v>#REF!</v>
      </c>
      <c r="G119" s="18" t="e">
        <f>'25hike'!G119+IPI_minus!G114</f>
        <v>#REF!</v>
      </c>
      <c r="H119" s="16">
        <f t="shared" ref="H119:I119" si="73">H118</f>
        <v>2</v>
      </c>
      <c r="I119" s="16">
        <f t="shared" si="73"/>
        <v>0.75</v>
      </c>
      <c r="J119" s="16">
        <v>-134</v>
      </c>
    </row>
    <row r="120" spans="1:10" hidden="1" x14ac:dyDescent="0.55000000000000004">
      <c r="A120" s="5">
        <f t="shared" si="20"/>
        <v>28.5</v>
      </c>
      <c r="B120" s="4">
        <f t="shared" si="21"/>
        <v>0</v>
      </c>
      <c r="C120" s="18" t="e">
        <f>'25hike'!C120+IPI_minus!C115</f>
        <v>#REF!</v>
      </c>
      <c r="D120" s="18" t="e">
        <f>'25hike'!D120+IPI_minus!D115</f>
        <v>#REF!</v>
      </c>
      <c r="E120" s="18" t="e">
        <f>'25hike'!E120+IPI_minus!E115</f>
        <v>#REF!</v>
      </c>
      <c r="F120" s="18" t="e">
        <f>'25hike'!F120+IPI_minus!F115</f>
        <v>#REF!</v>
      </c>
      <c r="G120" s="18" t="e">
        <f>'25hike'!G120+IPI_minus!G115</f>
        <v>#REF!</v>
      </c>
      <c r="H120" s="16">
        <f t="shared" ref="H120:I120" si="74">H119</f>
        <v>2</v>
      </c>
      <c r="I120" s="16">
        <f t="shared" si="74"/>
        <v>0.75</v>
      </c>
      <c r="J120" s="16">
        <v>-133</v>
      </c>
    </row>
    <row r="121" spans="1:10" hidden="1" x14ac:dyDescent="0.55000000000000004">
      <c r="A121" s="5">
        <f t="shared" si="20"/>
        <v>28.75</v>
      </c>
      <c r="B121" s="4">
        <f t="shared" si="21"/>
        <v>0</v>
      </c>
      <c r="C121" s="18" t="e">
        <f>'25hike'!C121+IPI_minus!C116</f>
        <v>#REF!</v>
      </c>
      <c r="D121" s="18" t="e">
        <f>'25hike'!D121+IPI_minus!D116</f>
        <v>#REF!</v>
      </c>
      <c r="E121" s="18" t="e">
        <f>'25hike'!E121+IPI_minus!E116</f>
        <v>#REF!</v>
      </c>
      <c r="F121" s="18" t="e">
        <f>'25hike'!F121+IPI_minus!F116</f>
        <v>#REF!</v>
      </c>
      <c r="G121" s="18" t="e">
        <f>'25hike'!G121+IPI_minus!G116</f>
        <v>#REF!</v>
      </c>
      <c r="H121" s="16">
        <f t="shared" ref="H121:I121" si="75">H120</f>
        <v>2</v>
      </c>
      <c r="I121" s="16">
        <f t="shared" si="75"/>
        <v>0.75</v>
      </c>
      <c r="J121" s="16">
        <v>-132</v>
      </c>
    </row>
    <row r="122" spans="1:10" hidden="1" x14ac:dyDescent="0.55000000000000004">
      <c r="A122" s="5">
        <f t="shared" si="20"/>
        <v>29</v>
      </c>
      <c r="B122" s="4">
        <f t="shared" si="21"/>
        <v>0</v>
      </c>
      <c r="C122" s="18" t="e">
        <f>'25hike'!C122+IPI_minus!C117</f>
        <v>#REF!</v>
      </c>
      <c r="D122" s="18" t="e">
        <f>'25hike'!D122+IPI_minus!D117</f>
        <v>#REF!</v>
      </c>
      <c r="E122" s="18" t="e">
        <f>'25hike'!E122+IPI_minus!E117</f>
        <v>#REF!</v>
      </c>
      <c r="F122" s="18" t="e">
        <f>'25hike'!F122+IPI_minus!F117</f>
        <v>#REF!</v>
      </c>
      <c r="G122" s="18" t="e">
        <f>'25hike'!G122+IPI_minus!G117</f>
        <v>#REF!</v>
      </c>
      <c r="H122" s="16">
        <f t="shared" ref="H122:I122" si="76">H121</f>
        <v>2</v>
      </c>
      <c r="I122" s="16">
        <f t="shared" si="76"/>
        <v>0.75</v>
      </c>
      <c r="J122" s="16">
        <v>-131</v>
      </c>
    </row>
    <row r="123" spans="1:10" hidden="1" x14ac:dyDescent="0.55000000000000004">
      <c r="A123" s="5">
        <f t="shared" si="20"/>
        <v>29.25</v>
      </c>
      <c r="B123" s="4">
        <f t="shared" si="21"/>
        <v>0</v>
      </c>
      <c r="C123" s="18" t="e">
        <f>'25hike'!C123+IPI_minus!C118</f>
        <v>#REF!</v>
      </c>
      <c r="D123" s="18" t="e">
        <f>'25hike'!D123+IPI_minus!D118</f>
        <v>#REF!</v>
      </c>
      <c r="E123" s="18" t="e">
        <f>'25hike'!E123+IPI_minus!E118</f>
        <v>#REF!</v>
      </c>
      <c r="F123" s="18" t="e">
        <f>'25hike'!F123+IPI_minus!F118</f>
        <v>#REF!</v>
      </c>
      <c r="G123" s="18" t="e">
        <f>'25hike'!G123+IPI_minus!G118</f>
        <v>#REF!</v>
      </c>
      <c r="H123" s="16">
        <f t="shared" ref="H123:I123" si="77">H122</f>
        <v>2</v>
      </c>
      <c r="I123" s="16">
        <f t="shared" si="77"/>
        <v>0.75</v>
      </c>
      <c r="J123" s="16">
        <v>-130</v>
      </c>
    </row>
    <row r="124" spans="1:10" hidden="1" x14ac:dyDescent="0.55000000000000004">
      <c r="A124" s="5">
        <f t="shared" si="20"/>
        <v>29.5</v>
      </c>
      <c r="B124" s="4">
        <f t="shared" si="21"/>
        <v>0</v>
      </c>
      <c r="C124" s="18" t="e">
        <f>'25hike'!C124+IPI_minus!C119</f>
        <v>#REF!</v>
      </c>
      <c r="D124" s="18" t="e">
        <f>'25hike'!D124+IPI_minus!D119</f>
        <v>#REF!</v>
      </c>
      <c r="E124" s="18" t="e">
        <f>'25hike'!E124+IPI_minus!E119</f>
        <v>#REF!</v>
      </c>
      <c r="F124" s="18" t="e">
        <f>'25hike'!F124+IPI_minus!F119</f>
        <v>#REF!</v>
      </c>
      <c r="G124" s="18" t="e">
        <f>'25hike'!G124+IPI_minus!G119</f>
        <v>#REF!</v>
      </c>
      <c r="H124" s="16">
        <f t="shared" ref="H124:I124" si="78">H123</f>
        <v>2</v>
      </c>
      <c r="I124" s="16">
        <f t="shared" si="78"/>
        <v>0.75</v>
      </c>
      <c r="J124" s="16">
        <v>-129</v>
      </c>
    </row>
    <row r="125" spans="1:10" hidden="1" x14ac:dyDescent="0.55000000000000004">
      <c r="A125" s="5">
        <f t="shared" si="20"/>
        <v>29.75</v>
      </c>
      <c r="B125" s="4">
        <f t="shared" si="21"/>
        <v>0</v>
      </c>
      <c r="C125" s="18" t="e">
        <f>'25hike'!C125+IPI_minus!C120</f>
        <v>#REF!</v>
      </c>
      <c r="D125" s="18" t="e">
        <f>'25hike'!D125+IPI_minus!D120</f>
        <v>#REF!</v>
      </c>
      <c r="E125" s="18" t="e">
        <f>'25hike'!E125+IPI_minus!E120</f>
        <v>#REF!</v>
      </c>
      <c r="F125" s="18" t="e">
        <f>'25hike'!F125+IPI_minus!F120</f>
        <v>#REF!</v>
      </c>
      <c r="G125" s="18" t="e">
        <f>'25hike'!G125+IPI_minus!G120</f>
        <v>#REF!</v>
      </c>
      <c r="H125" s="16">
        <f t="shared" ref="H125:I125" si="79">H124</f>
        <v>2</v>
      </c>
      <c r="I125" s="16">
        <f t="shared" si="79"/>
        <v>0.75</v>
      </c>
      <c r="J125" s="16">
        <v>-128</v>
      </c>
    </row>
    <row r="126" spans="1:10" hidden="1" x14ac:dyDescent="0.55000000000000004">
      <c r="A126" s="5">
        <f t="shared" si="20"/>
        <v>30</v>
      </c>
      <c r="B126" s="4">
        <f t="shared" si="21"/>
        <v>0</v>
      </c>
      <c r="C126" s="18" t="e">
        <f>'25hike'!C126+IPI_minus!C121</f>
        <v>#REF!</v>
      </c>
      <c r="D126" s="18" t="e">
        <f>'25hike'!D126+IPI_minus!D121</f>
        <v>#REF!</v>
      </c>
      <c r="E126" s="18" t="e">
        <f>'25hike'!E126+IPI_minus!E121</f>
        <v>#REF!</v>
      </c>
      <c r="F126" s="18" t="e">
        <f>'25hike'!F126+IPI_minus!F121</f>
        <v>#REF!</v>
      </c>
      <c r="G126" s="18" t="e">
        <f>'25hike'!G126+IPI_minus!G121</f>
        <v>#REF!</v>
      </c>
      <c r="H126" s="16">
        <f t="shared" ref="H126:I126" si="80">H125</f>
        <v>2</v>
      </c>
      <c r="I126" s="16">
        <f t="shared" si="80"/>
        <v>0.75</v>
      </c>
      <c r="J126" s="16">
        <v>-127</v>
      </c>
    </row>
    <row r="127" spans="1:10" hidden="1" x14ac:dyDescent="0.55000000000000004">
      <c r="A127" s="5">
        <f t="shared" si="20"/>
        <v>30.25</v>
      </c>
      <c r="B127" s="4">
        <f t="shared" si="21"/>
        <v>0</v>
      </c>
      <c r="C127" s="18" t="e">
        <f>'25hike'!C127+IPI_minus!C122</f>
        <v>#REF!</v>
      </c>
      <c r="D127" s="18" t="e">
        <f>'25hike'!D127+IPI_minus!D122</f>
        <v>#REF!</v>
      </c>
      <c r="E127" s="18" t="e">
        <f>'25hike'!E127+IPI_minus!E122</f>
        <v>#REF!</v>
      </c>
      <c r="F127" s="18" t="e">
        <f>'25hike'!F127+IPI_minus!F122</f>
        <v>#REF!</v>
      </c>
      <c r="G127" s="18" t="e">
        <f>'25hike'!G127+IPI_minus!G122</f>
        <v>#REF!</v>
      </c>
      <c r="H127" s="16">
        <f t="shared" ref="H127:I127" si="81">H126</f>
        <v>2</v>
      </c>
      <c r="I127" s="16">
        <f t="shared" si="81"/>
        <v>0.75</v>
      </c>
      <c r="J127" s="16">
        <v>-126</v>
      </c>
    </row>
    <row r="128" spans="1:10" hidden="1" x14ac:dyDescent="0.55000000000000004">
      <c r="A128" s="5">
        <f t="shared" si="20"/>
        <v>30.5</v>
      </c>
      <c r="B128" s="4">
        <f t="shared" si="21"/>
        <v>0</v>
      </c>
      <c r="C128" s="18" t="e">
        <f>'25hike'!C128+IPI_minus!C123</f>
        <v>#REF!</v>
      </c>
      <c r="D128" s="18" t="e">
        <f>'25hike'!D128+IPI_minus!D123</f>
        <v>#REF!</v>
      </c>
      <c r="E128" s="18" t="e">
        <f>'25hike'!E128+IPI_minus!E123</f>
        <v>#REF!</v>
      </c>
      <c r="F128" s="18" t="e">
        <f>'25hike'!F128+IPI_minus!F123</f>
        <v>#REF!</v>
      </c>
      <c r="G128" s="18" t="e">
        <f>'25hike'!G128+IPI_minus!G123</f>
        <v>#REF!</v>
      </c>
      <c r="H128" s="16">
        <f t="shared" ref="H128:I128" si="82">H127</f>
        <v>2</v>
      </c>
      <c r="I128" s="16">
        <f t="shared" si="82"/>
        <v>0.75</v>
      </c>
      <c r="J128" s="16">
        <v>-125</v>
      </c>
    </row>
    <row r="129" spans="1:10" hidden="1" x14ac:dyDescent="0.55000000000000004">
      <c r="A129" s="5">
        <f t="shared" si="20"/>
        <v>30.75</v>
      </c>
      <c r="B129" s="4">
        <f t="shared" si="21"/>
        <v>0</v>
      </c>
      <c r="C129" s="18" t="e">
        <f>'25hike'!C129+IPI_minus!C124</f>
        <v>#REF!</v>
      </c>
      <c r="D129" s="18" t="e">
        <f>'25hike'!D129+IPI_minus!D124</f>
        <v>#REF!</v>
      </c>
      <c r="E129" s="18" t="e">
        <f>'25hike'!E129+IPI_minus!E124</f>
        <v>#REF!</v>
      </c>
      <c r="F129" s="18" t="e">
        <f>'25hike'!F129+IPI_minus!F124</f>
        <v>#REF!</v>
      </c>
      <c r="G129" s="18" t="e">
        <f>'25hike'!G129+IPI_minus!G124</f>
        <v>#REF!</v>
      </c>
      <c r="H129" s="16">
        <f t="shared" ref="H129:I129" si="83">H128</f>
        <v>2</v>
      </c>
      <c r="I129" s="16">
        <f t="shared" si="83"/>
        <v>0.75</v>
      </c>
      <c r="J129" s="16">
        <v>-124</v>
      </c>
    </row>
    <row r="130" spans="1:10" hidden="1" x14ac:dyDescent="0.55000000000000004">
      <c r="A130" s="5">
        <f t="shared" si="20"/>
        <v>31</v>
      </c>
      <c r="B130" s="4">
        <f t="shared" si="21"/>
        <v>0</v>
      </c>
      <c r="C130" s="18" t="e">
        <f>'25hike'!C130+IPI_minus!C125</f>
        <v>#REF!</v>
      </c>
      <c r="D130" s="18" t="e">
        <f>'25hike'!D130+IPI_minus!D125</f>
        <v>#REF!</v>
      </c>
      <c r="E130" s="18" t="e">
        <f>'25hike'!E130+IPI_minus!E125</f>
        <v>#REF!</v>
      </c>
      <c r="F130" s="18" t="e">
        <f>'25hike'!F130+IPI_minus!F125</f>
        <v>#REF!</v>
      </c>
      <c r="G130" s="18" t="e">
        <f>'25hike'!G130+IPI_minus!G125</f>
        <v>#REF!</v>
      </c>
      <c r="H130" s="16">
        <f t="shared" ref="H130:I130" si="84">H129</f>
        <v>2</v>
      </c>
      <c r="I130" s="16">
        <f t="shared" si="84"/>
        <v>0.75</v>
      </c>
      <c r="J130" s="16">
        <v>-123</v>
      </c>
    </row>
    <row r="131" spans="1:10" hidden="1" x14ac:dyDescent="0.55000000000000004">
      <c r="A131" s="5">
        <f t="shared" si="20"/>
        <v>31.25</v>
      </c>
      <c r="B131" s="4">
        <f t="shared" si="21"/>
        <v>0</v>
      </c>
      <c r="C131" s="18" t="e">
        <f>'25hike'!C131+IPI_minus!C126</f>
        <v>#REF!</v>
      </c>
      <c r="D131" s="18" t="e">
        <f>'25hike'!D131+IPI_minus!D126</f>
        <v>#REF!</v>
      </c>
      <c r="E131" s="18" t="e">
        <f>'25hike'!E131+IPI_minus!E126</f>
        <v>#REF!</v>
      </c>
      <c r="F131" s="18" t="e">
        <f>'25hike'!F131+IPI_minus!F126</f>
        <v>#REF!</v>
      </c>
      <c r="G131" s="18" t="e">
        <f>'25hike'!G131+IPI_minus!G126</f>
        <v>#REF!</v>
      </c>
      <c r="H131" s="16">
        <f t="shared" ref="H131:I131" si="85">H130</f>
        <v>2</v>
      </c>
      <c r="I131" s="16">
        <f t="shared" si="85"/>
        <v>0.75</v>
      </c>
      <c r="J131" s="16">
        <v>-122</v>
      </c>
    </row>
    <row r="132" spans="1:10" hidden="1" x14ac:dyDescent="0.55000000000000004">
      <c r="A132" s="5">
        <f t="shared" ref="A132:A195" si="86">A131+0.25</f>
        <v>31.5</v>
      </c>
      <c r="B132" s="4">
        <f t="shared" ref="B132:B195" si="87">B131</f>
        <v>0</v>
      </c>
      <c r="C132" s="18" t="e">
        <f>'25hike'!C132+IPI_minus!C127</f>
        <v>#REF!</v>
      </c>
      <c r="D132" s="18" t="e">
        <f>'25hike'!D132+IPI_minus!D127</f>
        <v>#REF!</v>
      </c>
      <c r="E132" s="18" t="e">
        <f>'25hike'!E132+IPI_minus!E127</f>
        <v>#REF!</v>
      </c>
      <c r="F132" s="18" t="e">
        <f>'25hike'!F132+IPI_minus!F127</f>
        <v>#REF!</v>
      </c>
      <c r="G132" s="18" t="e">
        <f>'25hike'!G132+IPI_minus!G127</f>
        <v>#REF!</v>
      </c>
      <c r="H132" s="16">
        <f t="shared" ref="H132:I132" si="88">H131</f>
        <v>2</v>
      </c>
      <c r="I132" s="16">
        <f t="shared" si="88"/>
        <v>0.75</v>
      </c>
      <c r="J132" s="16">
        <v>-121</v>
      </c>
    </row>
    <row r="133" spans="1:10" hidden="1" x14ac:dyDescent="0.55000000000000004">
      <c r="A133" s="5">
        <f t="shared" si="86"/>
        <v>31.75</v>
      </c>
      <c r="B133" s="4">
        <f t="shared" si="87"/>
        <v>0</v>
      </c>
      <c r="C133" s="18" t="e">
        <f>'25hike'!C133+IPI_minus!C128</f>
        <v>#REF!</v>
      </c>
      <c r="D133" s="18" t="e">
        <f>'25hike'!D133+IPI_minus!D128</f>
        <v>#REF!</v>
      </c>
      <c r="E133" s="18" t="e">
        <f>'25hike'!E133+IPI_minus!E128</f>
        <v>#REF!</v>
      </c>
      <c r="F133" s="18" t="e">
        <f>'25hike'!F133+IPI_minus!F128</f>
        <v>#REF!</v>
      </c>
      <c r="G133" s="18" t="e">
        <f>'25hike'!G133+IPI_minus!G128</f>
        <v>#REF!</v>
      </c>
      <c r="H133" s="16">
        <f t="shared" ref="H133:I133" si="89">H132</f>
        <v>2</v>
      </c>
      <c r="I133" s="16">
        <f t="shared" si="89"/>
        <v>0.75</v>
      </c>
      <c r="J133" s="16">
        <v>-120</v>
      </c>
    </row>
    <row r="134" spans="1:10" hidden="1" x14ac:dyDescent="0.55000000000000004">
      <c r="A134" s="5">
        <f t="shared" si="86"/>
        <v>32</v>
      </c>
      <c r="B134" s="4">
        <f t="shared" si="87"/>
        <v>0</v>
      </c>
      <c r="C134" s="18" t="e">
        <f>'25hike'!C134+IPI_minus!C129</f>
        <v>#REF!</v>
      </c>
      <c r="D134" s="18" t="e">
        <f>'25hike'!D134+IPI_minus!D129</f>
        <v>#REF!</v>
      </c>
      <c r="E134" s="18" t="e">
        <f>'25hike'!E134+IPI_minus!E129</f>
        <v>#REF!</v>
      </c>
      <c r="F134" s="18" t="e">
        <f>'25hike'!F134+IPI_minus!F129</f>
        <v>#REF!</v>
      </c>
      <c r="G134" s="18" t="e">
        <f>'25hike'!G134+IPI_minus!G129</f>
        <v>#REF!</v>
      </c>
      <c r="H134" s="16">
        <f t="shared" ref="H134:I134" si="90">H133</f>
        <v>2</v>
      </c>
      <c r="I134" s="16">
        <f t="shared" si="90"/>
        <v>0.75</v>
      </c>
      <c r="J134" s="16">
        <v>-119</v>
      </c>
    </row>
    <row r="135" spans="1:10" hidden="1" x14ac:dyDescent="0.55000000000000004">
      <c r="A135" s="5">
        <f t="shared" si="86"/>
        <v>32.25</v>
      </c>
      <c r="B135" s="4">
        <f t="shared" si="87"/>
        <v>0</v>
      </c>
      <c r="C135" s="18" t="e">
        <f>'25hike'!C135+IPI_minus!C130</f>
        <v>#REF!</v>
      </c>
      <c r="D135" s="18" t="e">
        <f>'25hike'!D135+IPI_minus!D130</f>
        <v>#REF!</v>
      </c>
      <c r="E135" s="18" t="e">
        <f>'25hike'!E135+IPI_minus!E130</f>
        <v>#REF!</v>
      </c>
      <c r="F135" s="18" t="e">
        <f>'25hike'!F135+IPI_minus!F130</f>
        <v>#REF!</v>
      </c>
      <c r="G135" s="18" t="e">
        <f>'25hike'!G135+IPI_minus!G130</f>
        <v>#REF!</v>
      </c>
      <c r="H135" s="16">
        <f t="shared" ref="H135:I135" si="91">H134</f>
        <v>2</v>
      </c>
      <c r="I135" s="16">
        <f t="shared" si="91"/>
        <v>0.75</v>
      </c>
      <c r="J135" s="16">
        <v>-118</v>
      </c>
    </row>
    <row r="136" spans="1:10" hidden="1" x14ac:dyDescent="0.55000000000000004">
      <c r="A136" s="5">
        <f t="shared" si="86"/>
        <v>32.5</v>
      </c>
      <c r="B136" s="4">
        <f t="shared" si="87"/>
        <v>0</v>
      </c>
      <c r="C136" s="18" t="e">
        <f>'25hike'!C136+IPI_minus!C131</f>
        <v>#REF!</v>
      </c>
      <c r="D136" s="18" t="e">
        <f>'25hike'!D136+IPI_minus!D131</f>
        <v>#REF!</v>
      </c>
      <c r="E136" s="18" t="e">
        <f>'25hike'!E136+IPI_minus!E131</f>
        <v>#REF!</v>
      </c>
      <c r="F136" s="18" t="e">
        <f>'25hike'!F136+IPI_minus!F131</f>
        <v>#REF!</v>
      </c>
      <c r="G136" s="18" t="e">
        <f>'25hike'!G136+IPI_minus!G131</f>
        <v>#REF!</v>
      </c>
      <c r="H136" s="16">
        <f t="shared" ref="H136:I136" si="92">H135</f>
        <v>2</v>
      </c>
      <c r="I136" s="16">
        <f t="shared" si="92"/>
        <v>0.75</v>
      </c>
      <c r="J136" s="16">
        <v>-117</v>
      </c>
    </row>
    <row r="137" spans="1:10" hidden="1" x14ac:dyDescent="0.55000000000000004">
      <c r="A137" s="5">
        <f t="shared" si="86"/>
        <v>32.75</v>
      </c>
      <c r="B137" s="4">
        <f t="shared" si="87"/>
        <v>0</v>
      </c>
      <c r="C137" s="18" t="e">
        <f>'25hike'!C137+IPI_minus!C132</f>
        <v>#REF!</v>
      </c>
      <c r="D137" s="18" t="e">
        <f>'25hike'!D137+IPI_minus!D132</f>
        <v>#REF!</v>
      </c>
      <c r="E137" s="18" t="e">
        <f>'25hike'!E137+IPI_minus!E132</f>
        <v>#REF!</v>
      </c>
      <c r="F137" s="18" t="e">
        <f>'25hike'!F137+IPI_minus!F132</f>
        <v>#REF!</v>
      </c>
      <c r="G137" s="18" t="e">
        <f>'25hike'!G137+IPI_minus!G132</f>
        <v>#REF!</v>
      </c>
      <c r="H137" s="16">
        <f t="shared" ref="H137:I137" si="93">H136</f>
        <v>2</v>
      </c>
      <c r="I137" s="16">
        <f t="shared" si="93"/>
        <v>0.75</v>
      </c>
      <c r="J137" s="16">
        <v>-116</v>
      </c>
    </row>
    <row r="138" spans="1:10" hidden="1" x14ac:dyDescent="0.55000000000000004">
      <c r="A138" s="5">
        <f t="shared" si="86"/>
        <v>33</v>
      </c>
      <c r="B138" s="4">
        <f t="shared" si="87"/>
        <v>0</v>
      </c>
      <c r="C138" s="18" t="e">
        <f>'25hike'!C138+IPI_minus!C133</f>
        <v>#REF!</v>
      </c>
      <c r="D138" s="18" t="e">
        <f>'25hike'!D138+IPI_minus!D133</f>
        <v>#REF!</v>
      </c>
      <c r="E138" s="18" t="e">
        <f>'25hike'!E138+IPI_minus!E133</f>
        <v>#REF!</v>
      </c>
      <c r="F138" s="18" t="e">
        <f>'25hike'!F138+IPI_minus!F133</f>
        <v>#REF!</v>
      </c>
      <c r="G138" s="18" t="e">
        <f>'25hike'!G138+IPI_minus!G133</f>
        <v>#REF!</v>
      </c>
      <c r="H138" s="16">
        <f t="shared" ref="H138:I138" si="94">H137</f>
        <v>2</v>
      </c>
      <c r="I138" s="16">
        <f t="shared" si="94"/>
        <v>0.75</v>
      </c>
      <c r="J138" s="16">
        <v>-115</v>
      </c>
    </row>
    <row r="139" spans="1:10" hidden="1" x14ac:dyDescent="0.55000000000000004">
      <c r="A139" s="5">
        <f t="shared" si="86"/>
        <v>33.25</v>
      </c>
      <c r="B139" s="4">
        <f t="shared" si="87"/>
        <v>0</v>
      </c>
      <c r="C139" s="18" t="e">
        <f>'25hike'!C139+IPI_minus!C134</f>
        <v>#REF!</v>
      </c>
      <c r="D139" s="18" t="e">
        <f>'25hike'!D139+IPI_minus!D134</f>
        <v>#REF!</v>
      </c>
      <c r="E139" s="18" t="e">
        <f>'25hike'!E139+IPI_minus!E134</f>
        <v>#REF!</v>
      </c>
      <c r="F139" s="18" t="e">
        <f>'25hike'!F139+IPI_minus!F134</f>
        <v>#REF!</v>
      </c>
      <c r="G139" s="18" t="e">
        <f>'25hike'!G139+IPI_minus!G134</f>
        <v>#REF!</v>
      </c>
      <c r="H139" s="16">
        <f t="shared" ref="H139:I139" si="95">H138</f>
        <v>2</v>
      </c>
      <c r="I139" s="16">
        <f t="shared" si="95"/>
        <v>0.75</v>
      </c>
      <c r="J139" s="16">
        <v>-114</v>
      </c>
    </row>
    <row r="140" spans="1:10" hidden="1" x14ac:dyDescent="0.55000000000000004">
      <c r="A140" s="5">
        <f t="shared" si="86"/>
        <v>33.5</v>
      </c>
      <c r="B140" s="4">
        <f t="shared" si="87"/>
        <v>0</v>
      </c>
      <c r="C140" s="18" t="e">
        <f>'25hike'!C140+IPI_minus!C135</f>
        <v>#REF!</v>
      </c>
      <c r="D140" s="18" t="e">
        <f>'25hike'!D140+IPI_minus!D135</f>
        <v>#REF!</v>
      </c>
      <c r="E140" s="18" t="e">
        <f>'25hike'!E140+IPI_minus!E135</f>
        <v>#REF!</v>
      </c>
      <c r="F140" s="18" t="e">
        <f>'25hike'!F140+IPI_minus!F135</f>
        <v>#REF!</v>
      </c>
      <c r="G140" s="18" t="e">
        <f>'25hike'!G140+IPI_minus!G135</f>
        <v>#REF!</v>
      </c>
      <c r="H140" s="16">
        <f t="shared" ref="H140:I140" si="96">H139</f>
        <v>2</v>
      </c>
      <c r="I140" s="16">
        <f t="shared" si="96"/>
        <v>0.75</v>
      </c>
      <c r="J140" s="16">
        <v>-113</v>
      </c>
    </row>
    <row r="141" spans="1:10" hidden="1" x14ac:dyDescent="0.55000000000000004">
      <c r="A141" s="5">
        <f t="shared" si="86"/>
        <v>33.75</v>
      </c>
      <c r="B141" s="4">
        <f t="shared" si="87"/>
        <v>0</v>
      </c>
      <c r="C141" s="18" t="e">
        <f>'25hike'!C141+IPI_minus!C136</f>
        <v>#REF!</v>
      </c>
      <c r="D141" s="18" t="e">
        <f>'25hike'!D141+IPI_minus!D136</f>
        <v>#REF!</v>
      </c>
      <c r="E141" s="18" t="e">
        <f>'25hike'!E141+IPI_minus!E136</f>
        <v>#REF!</v>
      </c>
      <c r="F141" s="18" t="e">
        <f>'25hike'!F141+IPI_minus!F136</f>
        <v>#REF!</v>
      </c>
      <c r="G141" s="18" t="e">
        <f>'25hike'!G141+IPI_minus!G136</f>
        <v>#REF!</v>
      </c>
      <c r="H141" s="16">
        <f t="shared" ref="H141:I141" si="97">H140</f>
        <v>2</v>
      </c>
      <c r="I141" s="16">
        <f t="shared" si="97"/>
        <v>0.75</v>
      </c>
      <c r="J141" s="16">
        <v>-112</v>
      </c>
    </row>
    <row r="142" spans="1:10" hidden="1" x14ac:dyDescent="0.55000000000000004">
      <c r="A142" s="5">
        <f t="shared" si="86"/>
        <v>34</v>
      </c>
      <c r="B142" s="4">
        <f t="shared" si="87"/>
        <v>0</v>
      </c>
      <c r="C142" s="18" t="e">
        <f>'25hike'!C142+IPI_minus!C137</f>
        <v>#REF!</v>
      </c>
      <c r="D142" s="18" t="e">
        <f>'25hike'!D142+IPI_minus!D137</f>
        <v>#REF!</v>
      </c>
      <c r="E142" s="18" t="e">
        <f>'25hike'!E142+IPI_minus!E137</f>
        <v>#REF!</v>
      </c>
      <c r="F142" s="18" t="e">
        <f>'25hike'!F142+IPI_minus!F137</f>
        <v>#REF!</v>
      </c>
      <c r="G142" s="18" t="e">
        <f>'25hike'!G142+IPI_minus!G137</f>
        <v>#REF!</v>
      </c>
      <c r="H142" s="16">
        <f t="shared" ref="H142:I142" si="98">H141</f>
        <v>2</v>
      </c>
      <c r="I142" s="16">
        <f t="shared" si="98"/>
        <v>0.75</v>
      </c>
      <c r="J142" s="16">
        <v>-111</v>
      </c>
    </row>
    <row r="143" spans="1:10" hidden="1" x14ac:dyDescent="0.55000000000000004">
      <c r="A143" s="5">
        <f t="shared" si="86"/>
        <v>34.25</v>
      </c>
      <c r="B143" s="4">
        <f t="shared" si="87"/>
        <v>0</v>
      </c>
      <c r="C143" s="18" t="e">
        <f>'25hike'!C143+IPI_minus!C138</f>
        <v>#REF!</v>
      </c>
      <c r="D143" s="18" t="e">
        <f>'25hike'!D143+IPI_minus!D138</f>
        <v>#REF!</v>
      </c>
      <c r="E143" s="18" t="e">
        <f>'25hike'!E143+IPI_minus!E138</f>
        <v>#REF!</v>
      </c>
      <c r="F143" s="18" t="e">
        <f>'25hike'!F143+IPI_minus!F138</f>
        <v>#REF!</v>
      </c>
      <c r="G143" s="18" t="e">
        <f>'25hike'!G143+IPI_minus!G138</f>
        <v>#REF!</v>
      </c>
      <c r="H143" s="16">
        <f t="shared" ref="H143:I143" si="99">H142</f>
        <v>2</v>
      </c>
      <c r="I143" s="16">
        <f t="shared" si="99"/>
        <v>0.75</v>
      </c>
      <c r="J143" s="16">
        <v>-110</v>
      </c>
    </row>
    <row r="144" spans="1:10" hidden="1" x14ac:dyDescent="0.55000000000000004">
      <c r="A144" s="5">
        <f t="shared" si="86"/>
        <v>34.5</v>
      </c>
      <c r="B144" s="4">
        <f t="shared" si="87"/>
        <v>0</v>
      </c>
      <c r="C144" s="18" t="e">
        <f>'25hike'!C144+IPI_minus!C139</f>
        <v>#REF!</v>
      </c>
      <c r="D144" s="18" t="e">
        <f>'25hike'!D144+IPI_minus!D139</f>
        <v>#REF!</v>
      </c>
      <c r="E144" s="18" t="e">
        <f>'25hike'!E144+IPI_minus!E139</f>
        <v>#REF!</v>
      </c>
      <c r="F144" s="18" t="e">
        <f>'25hike'!F144+IPI_minus!F139</f>
        <v>#REF!</v>
      </c>
      <c r="G144" s="18" t="e">
        <f>'25hike'!G144+IPI_minus!G139</f>
        <v>#REF!</v>
      </c>
      <c r="H144" s="16">
        <f t="shared" ref="H144:I144" si="100">H143</f>
        <v>2</v>
      </c>
      <c r="I144" s="16">
        <f t="shared" si="100"/>
        <v>0.75</v>
      </c>
      <c r="J144" s="16">
        <v>-109</v>
      </c>
    </row>
    <row r="145" spans="1:10" hidden="1" x14ac:dyDescent="0.55000000000000004">
      <c r="A145" s="5">
        <f t="shared" si="86"/>
        <v>34.75</v>
      </c>
      <c r="B145" s="4">
        <f t="shared" si="87"/>
        <v>0</v>
      </c>
      <c r="C145" s="18" t="e">
        <f>'25hike'!C145+IPI_minus!C140</f>
        <v>#REF!</v>
      </c>
      <c r="D145" s="18" t="e">
        <f>'25hike'!D145+IPI_minus!D140</f>
        <v>#REF!</v>
      </c>
      <c r="E145" s="18" t="e">
        <f>'25hike'!E145+IPI_minus!E140</f>
        <v>#REF!</v>
      </c>
      <c r="F145" s="18" t="e">
        <f>'25hike'!F145+IPI_minus!F140</f>
        <v>#REF!</v>
      </c>
      <c r="G145" s="18" t="e">
        <f>'25hike'!G145+IPI_minus!G140</f>
        <v>#REF!</v>
      </c>
      <c r="H145" s="16">
        <f t="shared" ref="H145:I145" si="101">H144</f>
        <v>2</v>
      </c>
      <c r="I145" s="16">
        <f t="shared" si="101"/>
        <v>0.75</v>
      </c>
      <c r="J145" s="16">
        <v>-108</v>
      </c>
    </row>
    <row r="146" spans="1:10" hidden="1" x14ac:dyDescent="0.55000000000000004">
      <c r="A146" s="5">
        <f t="shared" si="86"/>
        <v>35</v>
      </c>
      <c r="B146" s="4">
        <f t="shared" si="87"/>
        <v>0</v>
      </c>
      <c r="C146" s="18" t="e">
        <f>'25hike'!C146+IPI_minus!C141</f>
        <v>#REF!</v>
      </c>
      <c r="D146" s="18" t="e">
        <f>'25hike'!D146+IPI_minus!D141</f>
        <v>#REF!</v>
      </c>
      <c r="E146" s="18" t="e">
        <f>'25hike'!E146+IPI_minus!E141</f>
        <v>#REF!</v>
      </c>
      <c r="F146" s="18" t="e">
        <f>'25hike'!F146+IPI_minus!F141</f>
        <v>#REF!</v>
      </c>
      <c r="G146" s="18" t="e">
        <f>'25hike'!G146+IPI_minus!G141</f>
        <v>#REF!</v>
      </c>
      <c r="H146" s="16">
        <f t="shared" ref="H146:I146" si="102">H145</f>
        <v>2</v>
      </c>
      <c r="I146" s="16">
        <f t="shared" si="102"/>
        <v>0.75</v>
      </c>
      <c r="J146" s="16">
        <v>-107</v>
      </c>
    </row>
    <row r="147" spans="1:10" hidden="1" x14ac:dyDescent="0.55000000000000004">
      <c r="A147" s="5">
        <f t="shared" si="86"/>
        <v>35.25</v>
      </c>
      <c r="B147" s="4">
        <f t="shared" si="87"/>
        <v>0</v>
      </c>
      <c r="C147" s="18" t="e">
        <f>'25hike'!C147+IPI_minus!C142</f>
        <v>#REF!</v>
      </c>
      <c r="D147" s="18" t="e">
        <f>'25hike'!D147+IPI_minus!D142</f>
        <v>#REF!</v>
      </c>
      <c r="E147" s="18" t="e">
        <f>'25hike'!E147+IPI_minus!E142</f>
        <v>#REF!</v>
      </c>
      <c r="F147" s="18" t="e">
        <f>'25hike'!F147+IPI_minus!F142</f>
        <v>#REF!</v>
      </c>
      <c r="G147" s="18" t="e">
        <f>'25hike'!G147+IPI_minus!G142</f>
        <v>#REF!</v>
      </c>
      <c r="H147" s="16">
        <f t="shared" ref="H147:I147" si="103">H146</f>
        <v>2</v>
      </c>
      <c r="I147" s="16">
        <f t="shared" si="103"/>
        <v>0.75</v>
      </c>
      <c r="J147" s="16">
        <v>-106</v>
      </c>
    </row>
    <row r="148" spans="1:10" hidden="1" x14ac:dyDescent="0.55000000000000004">
      <c r="A148" s="5">
        <f t="shared" si="86"/>
        <v>35.5</v>
      </c>
      <c r="B148" s="4">
        <f t="shared" si="87"/>
        <v>0</v>
      </c>
      <c r="C148" s="18" t="e">
        <f>'25hike'!C148+IPI_minus!C143</f>
        <v>#REF!</v>
      </c>
      <c r="D148" s="18" t="e">
        <f>'25hike'!D148+IPI_minus!D143</f>
        <v>#REF!</v>
      </c>
      <c r="E148" s="18" t="e">
        <f>'25hike'!E148+IPI_minus!E143</f>
        <v>#REF!</v>
      </c>
      <c r="F148" s="18" t="e">
        <f>'25hike'!F148+IPI_minus!F143</f>
        <v>#REF!</v>
      </c>
      <c r="G148" s="18" t="e">
        <f>'25hike'!G148+IPI_minus!G143</f>
        <v>#REF!</v>
      </c>
      <c r="H148" s="16">
        <f t="shared" ref="H148:I148" si="104">H147</f>
        <v>2</v>
      </c>
      <c r="I148" s="16">
        <f t="shared" si="104"/>
        <v>0.75</v>
      </c>
      <c r="J148" s="16">
        <v>-105</v>
      </c>
    </row>
    <row r="149" spans="1:10" hidden="1" x14ac:dyDescent="0.55000000000000004">
      <c r="A149" s="5">
        <f t="shared" si="86"/>
        <v>35.75</v>
      </c>
      <c r="B149" s="4">
        <f t="shared" si="87"/>
        <v>0</v>
      </c>
      <c r="C149" s="18" t="e">
        <f>'25hike'!C149+IPI_minus!C144</f>
        <v>#REF!</v>
      </c>
      <c r="D149" s="18" t="e">
        <f>'25hike'!D149+IPI_minus!D144</f>
        <v>#REF!</v>
      </c>
      <c r="E149" s="18" t="e">
        <f>'25hike'!E149+IPI_minus!E144</f>
        <v>#REF!</v>
      </c>
      <c r="F149" s="18" t="e">
        <f>'25hike'!F149+IPI_minus!F144</f>
        <v>#REF!</v>
      </c>
      <c r="G149" s="18" t="e">
        <f>'25hike'!G149+IPI_minus!G144</f>
        <v>#REF!</v>
      </c>
      <c r="H149" s="16">
        <f t="shared" ref="H149:I149" si="105">H148</f>
        <v>2</v>
      </c>
      <c r="I149" s="16">
        <f t="shared" si="105"/>
        <v>0.75</v>
      </c>
      <c r="J149" s="16">
        <v>-104</v>
      </c>
    </row>
    <row r="150" spans="1:10" hidden="1" x14ac:dyDescent="0.55000000000000004">
      <c r="A150" s="5">
        <f t="shared" si="86"/>
        <v>36</v>
      </c>
      <c r="B150" s="4">
        <f t="shared" si="87"/>
        <v>0</v>
      </c>
      <c r="C150" s="18" t="e">
        <f>'25hike'!C150+IPI_minus!C145</f>
        <v>#REF!</v>
      </c>
      <c r="D150" s="18" t="e">
        <f>'25hike'!D150+IPI_minus!D145</f>
        <v>#REF!</v>
      </c>
      <c r="E150" s="18" t="e">
        <f>'25hike'!E150+IPI_minus!E145</f>
        <v>#REF!</v>
      </c>
      <c r="F150" s="18" t="e">
        <f>'25hike'!F150+IPI_minus!F145</f>
        <v>#REF!</v>
      </c>
      <c r="G150" s="18" t="e">
        <f>'25hike'!G150+IPI_minus!G145</f>
        <v>#REF!</v>
      </c>
      <c r="H150" s="16">
        <f t="shared" ref="H150:I150" si="106">H149</f>
        <v>2</v>
      </c>
      <c r="I150" s="16">
        <f t="shared" si="106"/>
        <v>0.75</v>
      </c>
      <c r="J150" s="16">
        <v>-103</v>
      </c>
    </row>
    <row r="151" spans="1:10" hidden="1" x14ac:dyDescent="0.55000000000000004">
      <c r="A151" s="5">
        <f t="shared" si="86"/>
        <v>36.25</v>
      </c>
      <c r="B151" s="4">
        <f t="shared" si="87"/>
        <v>0</v>
      </c>
      <c r="C151" s="18" t="e">
        <f>'25hike'!C151+IPI_minus!C146</f>
        <v>#REF!</v>
      </c>
      <c r="D151" s="18" t="e">
        <f>'25hike'!D151+IPI_minus!D146</f>
        <v>#REF!</v>
      </c>
      <c r="E151" s="18" t="e">
        <f>'25hike'!E151+IPI_minus!E146</f>
        <v>#REF!</v>
      </c>
      <c r="F151" s="18" t="e">
        <f>'25hike'!F151+IPI_minus!F146</f>
        <v>#REF!</v>
      </c>
      <c r="G151" s="18" t="e">
        <f>'25hike'!G151+IPI_minus!G146</f>
        <v>#REF!</v>
      </c>
      <c r="H151" s="16">
        <f t="shared" ref="H151:I151" si="107">H150</f>
        <v>2</v>
      </c>
      <c r="I151" s="16">
        <f t="shared" si="107"/>
        <v>0.75</v>
      </c>
      <c r="J151" s="16">
        <v>-102</v>
      </c>
    </row>
    <row r="152" spans="1:10" hidden="1" x14ac:dyDescent="0.55000000000000004">
      <c r="A152" s="5">
        <f t="shared" si="86"/>
        <v>36.5</v>
      </c>
      <c r="B152" s="4">
        <f t="shared" si="87"/>
        <v>0</v>
      </c>
      <c r="C152" s="18" t="e">
        <f>'25hike'!C152+IPI_minus!C147</f>
        <v>#REF!</v>
      </c>
      <c r="D152" s="18" t="e">
        <f>'25hike'!D152+IPI_minus!D147</f>
        <v>#REF!</v>
      </c>
      <c r="E152" s="18" t="e">
        <f>'25hike'!E152+IPI_minus!E147</f>
        <v>#REF!</v>
      </c>
      <c r="F152" s="18" t="e">
        <f>'25hike'!F152+IPI_minus!F147</f>
        <v>#REF!</v>
      </c>
      <c r="G152" s="18" t="e">
        <f>'25hike'!G152+IPI_minus!G147</f>
        <v>#REF!</v>
      </c>
      <c r="H152" s="16">
        <f t="shared" ref="H152:I152" si="108">H151</f>
        <v>2</v>
      </c>
      <c r="I152" s="16">
        <f t="shared" si="108"/>
        <v>0.75</v>
      </c>
      <c r="J152" s="16">
        <v>-101</v>
      </c>
    </row>
    <row r="153" spans="1:10" hidden="1" x14ac:dyDescent="0.55000000000000004">
      <c r="A153" s="5">
        <f t="shared" si="86"/>
        <v>36.75</v>
      </c>
      <c r="B153" s="4">
        <f t="shared" si="87"/>
        <v>0</v>
      </c>
      <c r="C153" s="18" t="e">
        <f>'25hike'!C153+IPI_minus!C148</f>
        <v>#REF!</v>
      </c>
      <c r="D153" s="18" t="e">
        <f>'25hike'!D153+IPI_minus!D148</f>
        <v>#REF!</v>
      </c>
      <c r="E153" s="18" t="e">
        <f>'25hike'!E153+IPI_minus!E148</f>
        <v>#REF!</v>
      </c>
      <c r="F153" s="18" t="e">
        <f>'25hike'!F153+IPI_minus!F148</f>
        <v>#REF!</v>
      </c>
      <c r="G153" s="18" t="e">
        <f>'25hike'!G153+IPI_minus!G148</f>
        <v>#REF!</v>
      </c>
      <c r="H153" s="16">
        <f t="shared" ref="H153:I153" si="109">H152</f>
        <v>2</v>
      </c>
      <c r="I153" s="16">
        <f t="shared" si="109"/>
        <v>0.75</v>
      </c>
      <c r="J153" s="16">
        <v>-100</v>
      </c>
    </row>
    <row r="154" spans="1:10" hidden="1" x14ac:dyDescent="0.55000000000000004">
      <c r="A154" s="5">
        <f t="shared" si="86"/>
        <v>37</v>
      </c>
      <c r="B154" s="4">
        <f t="shared" si="87"/>
        <v>0</v>
      </c>
      <c r="C154" s="18" t="e">
        <f>'25hike'!C154+IPI_minus!C149</f>
        <v>#REF!</v>
      </c>
      <c r="D154" s="18" t="e">
        <f>'25hike'!D154+IPI_minus!D149</f>
        <v>#REF!</v>
      </c>
      <c r="E154" s="18" t="e">
        <f>'25hike'!E154+IPI_minus!E149</f>
        <v>#REF!</v>
      </c>
      <c r="F154" s="18" t="e">
        <f>'25hike'!F154+IPI_minus!F149</f>
        <v>#REF!</v>
      </c>
      <c r="G154" s="18" t="e">
        <f>'25hike'!G154+IPI_minus!G149</f>
        <v>#REF!</v>
      </c>
      <c r="H154" s="16">
        <f t="shared" ref="H154:I154" si="110">H153</f>
        <v>2</v>
      </c>
      <c r="I154" s="16">
        <f t="shared" si="110"/>
        <v>0.75</v>
      </c>
      <c r="J154" s="16">
        <v>-99</v>
      </c>
    </row>
    <row r="155" spans="1:10" hidden="1" x14ac:dyDescent="0.55000000000000004">
      <c r="A155" s="5">
        <f t="shared" si="86"/>
        <v>37.25</v>
      </c>
      <c r="B155" s="4">
        <f t="shared" si="87"/>
        <v>0</v>
      </c>
      <c r="C155" s="18" t="e">
        <f>'25hike'!C155+IPI_minus!C150</f>
        <v>#REF!</v>
      </c>
      <c r="D155" s="18" t="e">
        <f>'25hike'!D155+IPI_minus!D150</f>
        <v>#REF!</v>
      </c>
      <c r="E155" s="18" t="e">
        <f>'25hike'!E155+IPI_minus!E150</f>
        <v>#REF!</v>
      </c>
      <c r="F155" s="18" t="e">
        <f>'25hike'!F155+IPI_minus!F150</f>
        <v>#REF!</v>
      </c>
      <c r="G155" s="18" t="e">
        <f>'25hike'!G155+IPI_minus!G150</f>
        <v>#REF!</v>
      </c>
      <c r="H155" s="16">
        <f t="shared" ref="H155:I155" si="111">H154</f>
        <v>2</v>
      </c>
      <c r="I155" s="16">
        <f t="shared" si="111"/>
        <v>0.75</v>
      </c>
      <c r="J155" s="16">
        <v>-98</v>
      </c>
    </row>
    <row r="156" spans="1:10" hidden="1" x14ac:dyDescent="0.55000000000000004">
      <c r="A156" s="5">
        <f t="shared" si="86"/>
        <v>37.5</v>
      </c>
      <c r="B156" s="4">
        <f t="shared" si="87"/>
        <v>0</v>
      </c>
      <c r="C156" s="18" t="e">
        <f>'25hike'!C156+IPI_minus!C151</f>
        <v>#REF!</v>
      </c>
      <c r="D156" s="18" t="e">
        <f>'25hike'!D156+IPI_minus!D151</f>
        <v>#REF!</v>
      </c>
      <c r="E156" s="18" t="e">
        <f>'25hike'!E156+IPI_minus!E151</f>
        <v>#REF!</v>
      </c>
      <c r="F156" s="18" t="e">
        <f>'25hike'!F156+IPI_minus!F151</f>
        <v>#REF!</v>
      </c>
      <c r="G156" s="18" t="e">
        <f>'25hike'!G156+IPI_minus!G151</f>
        <v>#REF!</v>
      </c>
      <c r="H156" s="16">
        <f t="shared" ref="H156:I156" si="112">H155</f>
        <v>2</v>
      </c>
      <c r="I156" s="16">
        <f t="shared" si="112"/>
        <v>0.75</v>
      </c>
      <c r="J156" s="16">
        <v>-97</v>
      </c>
    </row>
    <row r="157" spans="1:10" hidden="1" x14ac:dyDescent="0.55000000000000004">
      <c r="A157" s="5">
        <f t="shared" si="86"/>
        <v>37.75</v>
      </c>
      <c r="B157" s="4">
        <f t="shared" si="87"/>
        <v>0</v>
      </c>
      <c r="C157" s="18" t="e">
        <f>'25hike'!C157+IPI_minus!C152</f>
        <v>#REF!</v>
      </c>
      <c r="D157" s="18" t="e">
        <f>'25hike'!D157+IPI_minus!D152</f>
        <v>#REF!</v>
      </c>
      <c r="E157" s="18" t="e">
        <f>'25hike'!E157+IPI_minus!E152</f>
        <v>#REF!</v>
      </c>
      <c r="F157" s="18" t="e">
        <f>'25hike'!F157+IPI_minus!F152</f>
        <v>#REF!</v>
      </c>
      <c r="G157" s="18" t="e">
        <f>'25hike'!G157+IPI_minus!G152</f>
        <v>#REF!</v>
      </c>
      <c r="H157" s="16">
        <f t="shared" ref="H157:I157" si="113">H156</f>
        <v>2</v>
      </c>
      <c r="I157" s="16">
        <f t="shared" si="113"/>
        <v>0.75</v>
      </c>
      <c r="J157" s="16">
        <v>-96</v>
      </c>
    </row>
    <row r="158" spans="1:10" hidden="1" x14ac:dyDescent="0.55000000000000004">
      <c r="A158" s="5">
        <f t="shared" si="86"/>
        <v>38</v>
      </c>
      <c r="B158" s="4">
        <f t="shared" si="87"/>
        <v>0</v>
      </c>
      <c r="C158" s="18" t="e">
        <f>'25hike'!C158+IPI_minus!C153</f>
        <v>#REF!</v>
      </c>
      <c r="D158" s="18" t="e">
        <f>'25hike'!D158+IPI_minus!D153</f>
        <v>#REF!</v>
      </c>
      <c r="E158" s="18" t="e">
        <f>'25hike'!E158+IPI_minus!E153</f>
        <v>#REF!</v>
      </c>
      <c r="F158" s="18" t="e">
        <f>'25hike'!F158+IPI_minus!F153</f>
        <v>#REF!</v>
      </c>
      <c r="G158" s="18" t="e">
        <f>'25hike'!G158+IPI_minus!G153</f>
        <v>#REF!</v>
      </c>
      <c r="H158" s="16">
        <f t="shared" ref="H158:I158" si="114">H157</f>
        <v>2</v>
      </c>
      <c r="I158" s="16">
        <f t="shared" si="114"/>
        <v>0.75</v>
      </c>
      <c r="J158" s="16">
        <v>-95</v>
      </c>
    </row>
    <row r="159" spans="1:10" hidden="1" x14ac:dyDescent="0.55000000000000004">
      <c r="A159" s="5">
        <f t="shared" si="86"/>
        <v>38.25</v>
      </c>
      <c r="B159" s="4">
        <f t="shared" si="87"/>
        <v>0</v>
      </c>
      <c r="C159" s="18" t="e">
        <f>'25hike'!C159+IPI_minus!C154</f>
        <v>#REF!</v>
      </c>
      <c r="D159" s="18" t="e">
        <f>'25hike'!D159+IPI_minus!D154</f>
        <v>#REF!</v>
      </c>
      <c r="E159" s="18" t="e">
        <f>'25hike'!E159+IPI_minus!E154</f>
        <v>#REF!</v>
      </c>
      <c r="F159" s="18" t="e">
        <f>'25hike'!F159+IPI_minus!F154</f>
        <v>#REF!</v>
      </c>
      <c r="G159" s="18" t="e">
        <f>'25hike'!G159+IPI_minus!G154</f>
        <v>#REF!</v>
      </c>
      <c r="H159" s="16">
        <f t="shared" ref="H159:I159" si="115">H158</f>
        <v>2</v>
      </c>
      <c r="I159" s="16">
        <f t="shared" si="115"/>
        <v>0.75</v>
      </c>
      <c r="J159" s="16">
        <v>-94</v>
      </c>
    </row>
    <row r="160" spans="1:10" hidden="1" x14ac:dyDescent="0.55000000000000004">
      <c r="A160" s="5">
        <f t="shared" si="86"/>
        <v>38.5</v>
      </c>
      <c r="B160" s="4">
        <f t="shared" si="87"/>
        <v>0</v>
      </c>
      <c r="C160" s="18" t="e">
        <f>'25hike'!C160+IPI_minus!C155</f>
        <v>#REF!</v>
      </c>
      <c r="D160" s="18" t="e">
        <f>'25hike'!D160+IPI_minus!D155</f>
        <v>#REF!</v>
      </c>
      <c r="E160" s="18" t="e">
        <f>'25hike'!E160+IPI_minus!E155</f>
        <v>#REF!</v>
      </c>
      <c r="F160" s="18" t="e">
        <f>'25hike'!F160+IPI_minus!F155</f>
        <v>#REF!</v>
      </c>
      <c r="G160" s="18" t="e">
        <f>'25hike'!G160+IPI_minus!G155</f>
        <v>#REF!</v>
      </c>
      <c r="H160" s="16">
        <f t="shared" ref="H160:I160" si="116">H159</f>
        <v>2</v>
      </c>
      <c r="I160" s="16">
        <f t="shared" si="116"/>
        <v>0.75</v>
      </c>
      <c r="J160" s="16">
        <v>-93</v>
      </c>
    </row>
    <row r="161" spans="1:10" hidden="1" x14ac:dyDescent="0.55000000000000004">
      <c r="A161" s="5">
        <f t="shared" si="86"/>
        <v>38.75</v>
      </c>
      <c r="B161" s="4">
        <f t="shared" si="87"/>
        <v>0</v>
      </c>
      <c r="C161" s="18" t="e">
        <f>'25hike'!C161+IPI_minus!C156</f>
        <v>#REF!</v>
      </c>
      <c r="D161" s="18" t="e">
        <f>'25hike'!D161+IPI_minus!D156</f>
        <v>#REF!</v>
      </c>
      <c r="E161" s="18" t="e">
        <f>'25hike'!E161+IPI_minus!E156</f>
        <v>#REF!</v>
      </c>
      <c r="F161" s="18" t="e">
        <f>'25hike'!F161+IPI_minus!F156</f>
        <v>#REF!</v>
      </c>
      <c r="G161" s="18" t="e">
        <f>'25hike'!G161+IPI_minus!G156</f>
        <v>#REF!</v>
      </c>
      <c r="H161" s="16">
        <f t="shared" ref="H161:I161" si="117">H160</f>
        <v>2</v>
      </c>
      <c r="I161" s="16">
        <f t="shared" si="117"/>
        <v>0.75</v>
      </c>
      <c r="J161" s="16">
        <v>-92</v>
      </c>
    </row>
    <row r="162" spans="1:10" hidden="1" x14ac:dyDescent="0.55000000000000004">
      <c r="A162" s="5">
        <f t="shared" si="86"/>
        <v>39</v>
      </c>
      <c r="B162" s="4">
        <f t="shared" si="87"/>
        <v>0</v>
      </c>
      <c r="C162" s="18" t="e">
        <f>'25hike'!C162+IPI_minus!C157</f>
        <v>#REF!</v>
      </c>
      <c r="D162" s="18" t="e">
        <f>'25hike'!D162+IPI_minus!D157</f>
        <v>#REF!</v>
      </c>
      <c r="E162" s="18" t="e">
        <f>'25hike'!E162+IPI_minus!E157</f>
        <v>#REF!</v>
      </c>
      <c r="F162" s="18" t="e">
        <f>'25hike'!F162+IPI_minus!F157</f>
        <v>#REF!</v>
      </c>
      <c r="G162" s="18" t="e">
        <f>'25hike'!G162+IPI_minus!G157</f>
        <v>#REF!</v>
      </c>
      <c r="H162" s="16">
        <f t="shared" ref="H162:I162" si="118">H161</f>
        <v>2</v>
      </c>
      <c r="I162" s="16">
        <f t="shared" si="118"/>
        <v>0.75</v>
      </c>
      <c r="J162" s="16">
        <v>-91</v>
      </c>
    </row>
    <row r="163" spans="1:10" hidden="1" x14ac:dyDescent="0.55000000000000004">
      <c r="A163" s="5">
        <f t="shared" si="86"/>
        <v>39.25</v>
      </c>
      <c r="B163" s="4">
        <f t="shared" si="87"/>
        <v>0</v>
      </c>
      <c r="C163" s="18" t="e">
        <f>'25hike'!C163+IPI_minus!C158</f>
        <v>#REF!</v>
      </c>
      <c r="D163" s="18" t="e">
        <f>'25hike'!D163+IPI_minus!D158</f>
        <v>#REF!</v>
      </c>
      <c r="E163" s="18" t="e">
        <f>'25hike'!E163+IPI_minus!E158</f>
        <v>#REF!</v>
      </c>
      <c r="F163" s="18" t="e">
        <f>'25hike'!F163+IPI_minus!F158</f>
        <v>#REF!</v>
      </c>
      <c r="G163" s="18" t="e">
        <f>'25hike'!G163+IPI_minus!G158</f>
        <v>#REF!</v>
      </c>
      <c r="H163" s="16">
        <f t="shared" ref="H163:I163" si="119">H162</f>
        <v>2</v>
      </c>
      <c r="I163" s="16">
        <f t="shared" si="119"/>
        <v>0.75</v>
      </c>
      <c r="J163" s="16">
        <v>-90</v>
      </c>
    </row>
    <row r="164" spans="1:10" hidden="1" x14ac:dyDescent="0.55000000000000004">
      <c r="A164" s="5">
        <f t="shared" si="86"/>
        <v>39.5</v>
      </c>
      <c r="B164" s="4">
        <f t="shared" si="87"/>
        <v>0</v>
      </c>
      <c r="C164" s="18" t="e">
        <f>'25hike'!C164+IPI_minus!C159</f>
        <v>#REF!</v>
      </c>
      <c r="D164" s="18" t="e">
        <f>'25hike'!D164+IPI_minus!D159</f>
        <v>#REF!</v>
      </c>
      <c r="E164" s="18" t="e">
        <f>'25hike'!E164+IPI_minus!E159</f>
        <v>#REF!</v>
      </c>
      <c r="F164" s="18" t="e">
        <f>'25hike'!F164+IPI_minus!F159</f>
        <v>#REF!</v>
      </c>
      <c r="G164" s="18" t="e">
        <f>'25hike'!G164+IPI_minus!G159</f>
        <v>#REF!</v>
      </c>
      <c r="H164" s="16">
        <f t="shared" ref="H164:I164" si="120">H163</f>
        <v>2</v>
      </c>
      <c r="I164" s="16">
        <f t="shared" si="120"/>
        <v>0.75</v>
      </c>
      <c r="J164" s="16">
        <v>-89</v>
      </c>
    </row>
    <row r="165" spans="1:10" hidden="1" x14ac:dyDescent="0.55000000000000004">
      <c r="A165" s="5">
        <f t="shared" si="86"/>
        <v>39.75</v>
      </c>
      <c r="B165" s="4">
        <f t="shared" si="87"/>
        <v>0</v>
      </c>
      <c r="C165" s="18" t="e">
        <f>'25hike'!C165+IPI_minus!C160</f>
        <v>#REF!</v>
      </c>
      <c r="D165" s="18" t="e">
        <f>'25hike'!D165+IPI_minus!D160</f>
        <v>#REF!</v>
      </c>
      <c r="E165" s="18" t="e">
        <f>'25hike'!E165+IPI_minus!E160</f>
        <v>#REF!</v>
      </c>
      <c r="F165" s="18" t="e">
        <f>'25hike'!F165+IPI_minus!F160</f>
        <v>#REF!</v>
      </c>
      <c r="G165" s="18" t="e">
        <f>'25hike'!G165+IPI_minus!G160</f>
        <v>#REF!</v>
      </c>
      <c r="H165" s="16">
        <f t="shared" ref="H165:I165" si="121">H164</f>
        <v>2</v>
      </c>
      <c r="I165" s="16">
        <f t="shared" si="121"/>
        <v>0.75</v>
      </c>
      <c r="J165" s="16">
        <v>-88</v>
      </c>
    </row>
    <row r="166" spans="1:10" hidden="1" x14ac:dyDescent="0.55000000000000004">
      <c r="A166" s="5">
        <f t="shared" si="86"/>
        <v>40</v>
      </c>
      <c r="B166" s="4">
        <f t="shared" si="87"/>
        <v>0</v>
      </c>
      <c r="C166" s="18" t="e">
        <f>'25hike'!C166+IPI_minus!C161</f>
        <v>#REF!</v>
      </c>
      <c r="D166" s="18" t="e">
        <f>'25hike'!D166+IPI_minus!D161</f>
        <v>#REF!</v>
      </c>
      <c r="E166" s="18" t="e">
        <f>'25hike'!E166+IPI_minus!E161</f>
        <v>#REF!</v>
      </c>
      <c r="F166" s="18" t="e">
        <f>'25hike'!F166+IPI_minus!F161</f>
        <v>#REF!</v>
      </c>
      <c r="G166" s="18" t="e">
        <f>'25hike'!G166+IPI_minus!G161</f>
        <v>#REF!</v>
      </c>
      <c r="H166" s="16">
        <f t="shared" ref="H166:I166" si="122">H165</f>
        <v>2</v>
      </c>
      <c r="I166" s="16">
        <f t="shared" si="122"/>
        <v>0.75</v>
      </c>
      <c r="J166" s="16">
        <v>-87</v>
      </c>
    </row>
    <row r="167" spans="1:10" hidden="1" x14ac:dyDescent="0.55000000000000004">
      <c r="A167" s="5">
        <f t="shared" si="86"/>
        <v>40.25</v>
      </c>
      <c r="B167" s="4">
        <f t="shared" si="87"/>
        <v>0</v>
      </c>
      <c r="C167" s="18" t="e">
        <f>'25hike'!C167+IPI_minus!C162</f>
        <v>#REF!</v>
      </c>
      <c r="D167" s="18" t="e">
        <f>'25hike'!D167+IPI_minus!D162</f>
        <v>#REF!</v>
      </c>
      <c r="E167" s="18" t="e">
        <f>'25hike'!E167+IPI_minus!E162</f>
        <v>#REF!</v>
      </c>
      <c r="F167" s="18" t="e">
        <f>'25hike'!F167+IPI_minus!F162</f>
        <v>#REF!</v>
      </c>
      <c r="G167" s="18" t="e">
        <f>'25hike'!G167+IPI_minus!G162</f>
        <v>#REF!</v>
      </c>
      <c r="H167" s="16">
        <f t="shared" ref="H167:I167" si="123">H166</f>
        <v>2</v>
      </c>
      <c r="I167" s="16">
        <f t="shared" si="123"/>
        <v>0.75</v>
      </c>
      <c r="J167" s="16">
        <v>-86</v>
      </c>
    </row>
    <row r="168" spans="1:10" hidden="1" x14ac:dyDescent="0.55000000000000004">
      <c r="A168" s="5">
        <f t="shared" si="86"/>
        <v>40.5</v>
      </c>
      <c r="B168" s="4">
        <f t="shared" si="87"/>
        <v>0</v>
      </c>
      <c r="C168" s="18" t="e">
        <f>'25hike'!C168+IPI_minus!C163</f>
        <v>#REF!</v>
      </c>
      <c r="D168" s="18" t="e">
        <f>'25hike'!D168+IPI_minus!D163</f>
        <v>#REF!</v>
      </c>
      <c r="E168" s="18" t="e">
        <f>'25hike'!E168+IPI_minus!E163</f>
        <v>#REF!</v>
      </c>
      <c r="F168" s="18" t="e">
        <f>'25hike'!F168+IPI_minus!F163</f>
        <v>#REF!</v>
      </c>
      <c r="G168" s="18" t="e">
        <f>'25hike'!G168+IPI_minus!G163</f>
        <v>#REF!</v>
      </c>
      <c r="H168" s="16">
        <f t="shared" ref="H168:I168" si="124">H167</f>
        <v>2</v>
      </c>
      <c r="I168" s="16">
        <f t="shared" si="124"/>
        <v>0.75</v>
      </c>
      <c r="J168" s="16">
        <v>-85</v>
      </c>
    </row>
    <row r="169" spans="1:10" hidden="1" x14ac:dyDescent="0.55000000000000004">
      <c r="A169" s="5">
        <f t="shared" si="86"/>
        <v>40.75</v>
      </c>
      <c r="B169" s="4">
        <f t="shared" si="87"/>
        <v>0</v>
      </c>
      <c r="C169" s="18" t="e">
        <f>'25hike'!C169+IPI_minus!C164</f>
        <v>#REF!</v>
      </c>
      <c r="D169" s="18" t="e">
        <f>'25hike'!D169+IPI_minus!D164</f>
        <v>#REF!</v>
      </c>
      <c r="E169" s="18" t="e">
        <f>'25hike'!E169+IPI_minus!E164</f>
        <v>#REF!</v>
      </c>
      <c r="F169" s="18" t="e">
        <f>'25hike'!F169+IPI_minus!F164</f>
        <v>#REF!</v>
      </c>
      <c r="G169" s="18" t="e">
        <f>'25hike'!G169+IPI_minus!G164</f>
        <v>#REF!</v>
      </c>
      <c r="H169" s="16">
        <f t="shared" ref="H169:I169" si="125">H168</f>
        <v>2</v>
      </c>
      <c r="I169" s="16">
        <f t="shared" si="125"/>
        <v>0.75</v>
      </c>
      <c r="J169" s="16">
        <v>-84</v>
      </c>
    </row>
    <row r="170" spans="1:10" hidden="1" x14ac:dyDescent="0.55000000000000004">
      <c r="A170" s="5">
        <f t="shared" si="86"/>
        <v>41</v>
      </c>
      <c r="B170" s="4">
        <f t="shared" si="87"/>
        <v>0</v>
      </c>
      <c r="C170" s="18" t="e">
        <f>'25hike'!C170+IPI_minus!C165</f>
        <v>#REF!</v>
      </c>
      <c r="D170" s="18" t="e">
        <f>'25hike'!D170+IPI_minus!D165</f>
        <v>#REF!</v>
      </c>
      <c r="E170" s="18" t="e">
        <f>'25hike'!E170+IPI_minus!E165</f>
        <v>#REF!</v>
      </c>
      <c r="F170" s="18" t="e">
        <f>'25hike'!F170+IPI_minus!F165</f>
        <v>#REF!</v>
      </c>
      <c r="G170" s="18" t="e">
        <f>'25hike'!G170+IPI_minus!G165</f>
        <v>#REF!</v>
      </c>
      <c r="H170" s="16">
        <f t="shared" ref="H170:I170" si="126">H169</f>
        <v>2</v>
      </c>
      <c r="I170" s="16">
        <f t="shared" si="126"/>
        <v>0.75</v>
      </c>
      <c r="J170" s="16">
        <v>-83</v>
      </c>
    </row>
    <row r="171" spans="1:10" hidden="1" x14ac:dyDescent="0.55000000000000004">
      <c r="A171" s="5">
        <f t="shared" si="86"/>
        <v>41.25</v>
      </c>
      <c r="B171" s="4">
        <f t="shared" si="87"/>
        <v>0</v>
      </c>
      <c r="C171" s="18" t="e">
        <f>'25hike'!C171+IPI_minus!C166</f>
        <v>#REF!</v>
      </c>
      <c r="D171" s="18" t="e">
        <f>'25hike'!D171+IPI_minus!D166</f>
        <v>#REF!</v>
      </c>
      <c r="E171" s="18" t="e">
        <f>'25hike'!E171+IPI_minus!E166</f>
        <v>#REF!</v>
      </c>
      <c r="F171" s="18" t="e">
        <f>'25hike'!F171+IPI_minus!F166</f>
        <v>#REF!</v>
      </c>
      <c r="G171" s="18" t="e">
        <f>'25hike'!G171+IPI_minus!G166</f>
        <v>#REF!</v>
      </c>
      <c r="H171" s="16">
        <f t="shared" ref="H171:I171" si="127">H170</f>
        <v>2</v>
      </c>
      <c r="I171" s="16">
        <f t="shared" si="127"/>
        <v>0.75</v>
      </c>
      <c r="J171" s="16">
        <v>-82</v>
      </c>
    </row>
    <row r="172" spans="1:10" hidden="1" x14ac:dyDescent="0.55000000000000004">
      <c r="A172" s="5">
        <f t="shared" si="86"/>
        <v>41.5</v>
      </c>
      <c r="B172" s="4">
        <f t="shared" si="87"/>
        <v>0</v>
      </c>
      <c r="C172" s="18" t="e">
        <f>'25hike'!C172+IPI_minus!C167</f>
        <v>#REF!</v>
      </c>
      <c r="D172" s="18" t="e">
        <f>'25hike'!D172+IPI_minus!D167</f>
        <v>#REF!</v>
      </c>
      <c r="E172" s="18" t="e">
        <f>'25hike'!E172+IPI_minus!E167</f>
        <v>#REF!</v>
      </c>
      <c r="F172" s="18" t="e">
        <f>'25hike'!F172+IPI_minus!F167</f>
        <v>#REF!</v>
      </c>
      <c r="G172" s="18" t="e">
        <f>'25hike'!G172+IPI_minus!G167</f>
        <v>#REF!</v>
      </c>
      <c r="H172" s="16">
        <f t="shared" ref="H172:I172" si="128">H171</f>
        <v>2</v>
      </c>
      <c r="I172" s="16">
        <f t="shared" si="128"/>
        <v>0.75</v>
      </c>
      <c r="J172" s="16">
        <v>-81</v>
      </c>
    </row>
    <row r="173" spans="1:10" hidden="1" x14ac:dyDescent="0.55000000000000004">
      <c r="A173" s="5">
        <f t="shared" si="86"/>
        <v>41.75</v>
      </c>
      <c r="B173" s="4">
        <f t="shared" si="87"/>
        <v>0</v>
      </c>
      <c r="C173" s="18" t="e">
        <f>'25hike'!C173+IPI_minus!C168</f>
        <v>#REF!</v>
      </c>
      <c r="D173" s="18" t="e">
        <f>'25hike'!D173+IPI_minus!D168</f>
        <v>#REF!</v>
      </c>
      <c r="E173" s="18" t="e">
        <f>'25hike'!E173+IPI_minus!E168</f>
        <v>#REF!</v>
      </c>
      <c r="F173" s="18" t="e">
        <f>'25hike'!F173+IPI_minus!F168</f>
        <v>#REF!</v>
      </c>
      <c r="G173" s="18" t="e">
        <f>'25hike'!G173+IPI_minus!G168</f>
        <v>#REF!</v>
      </c>
      <c r="H173" s="16">
        <f t="shared" ref="H173:I173" si="129">H172</f>
        <v>2</v>
      </c>
      <c r="I173" s="16">
        <f t="shared" si="129"/>
        <v>0.75</v>
      </c>
      <c r="J173" s="16">
        <v>-80</v>
      </c>
    </row>
    <row r="174" spans="1:10" hidden="1" x14ac:dyDescent="0.55000000000000004">
      <c r="A174" s="5">
        <f t="shared" si="86"/>
        <v>42</v>
      </c>
      <c r="B174" s="4">
        <f t="shared" si="87"/>
        <v>0</v>
      </c>
      <c r="C174" s="18" t="e">
        <f>'25hike'!C174+IPI_minus!C169</f>
        <v>#REF!</v>
      </c>
      <c r="D174" s="18" t="e">
        <f>'25hike'!D174+IPI_minus!D169</f>
        <v>#REF!</v>
      </c>
      <c r="E174" s="18" t="e">
        <f>'25hike'!E174+IPI_minus!E169</f>
        <v>#REF!</v>
      </c>
      <c r="F174" s="18" t="e">
        <f>'25hike'!F174+IPI_minus!F169</f>
        <v>#REF!</v>
      </c>
      <c r="G174" s="18" t="e">
        <f>'25hike'!G174+IPI_minus!G169</f>
        <v>#REF!</v>
      </c>
      <c r="H174" s="16">
        <f t="shared" ref="H174:I174" si="130">H173</f>
        <v>2</v>
      </c>
      <c r="I174" s="16">
        <f t="shared" si="130"/>
        <v>0.75</v>
      </c>
      <c r="J174" s="16">
        <v>-79</v>
      </c>
    </row>
    <row r="175" spans="1:10" hidden="1" x14ac:dyDescent="0.55000000000000004">
      <c r="A175" s="5">
        <f t="shared" si="86"/>
        <v>42.25</v>
      </c>
      <c r="B175" s="4">
        <f t="shared" si="87"/>
        <v>0</v>
      </c>
      <c r="C175" s="18" t="e">
        <f>'25hike'!C175+IPI_minus!C170</f>
        <v>#REF!</v>
      </c>
      <c r="D175" s="18" t="e">
        <f>'25hike'!D175+IPI_minus!D170</f>
        <v>#REF!</v>
      </c>
      <c r="E175" s="18" t="e">
        <f>'25hike'!E175+IPI_minus!E170</f>
        <v>#REF!</v>
      </c>
      <c r="F175" s="18" t="e">
        <f>'25hike'!F175+IPI_minus!F170</f>
        <v>#REF!</v>
      </c>
      <c r="G175" s="18" t="e">
        <f>'25hike'!G175+IPI_minus!G170</f>
        <v>#REF!</v>
      </c>
      <c r="H175" s="16">
        <f t="shared" ref="H175:I175" si="131">H174</f>
        <v>2</v>
      </c>
      <c r="I175" s="16">
        <f t="shared" si="131"/>
        <v>0.75</v>
      </c>
      <c r="J175" s="16">
        <v>-78</v>
      </c>
    </row>
    <row r="176" spans="1:10" hidden="1" x14ac:dyDescent="0.55000000000000004">
      <c r="A176" s="5">
        <f t="shared" si="86"/>
        <v>42.5</v>
      </c>
      <c r="B176" s="4">
        <f t="shared" si="87"/>
        <v>0</v>
      </c>
      <c r="C176" s="18" t="e">
        <f>'25hike'!C176+IPI_minus!C171</f>
        <v>#REF!</v>
      </c>
      <c r="D176" s="18" t="e">
        <f>'25hike'!D176+IPI_minus!D171</f>
        <v>#REF!</v>
      </c>
      <c r="E176" s="18" t="e">
        <f>'25hike'!E176+IPI_minus!E171</f>
        <v>#REF!</v>
      </c>
      <c r="F176" s="18" t="e">
        <f>'25hike'!F176+IPI_minus!F171</f>
        <v>#REF!</v>
      </c>
      <c r="G176" s="18" t="e">
        <f>'25hike'!G176+IPI_minus!G171</f>
        <v>#REF!</v>
      </c>
      <c r="H176" s="16">
        <f t="shared" ref="H176:I176" si="132">H175</f>
        <v>2</v>
      </c>
      <c r="I176" s="16">
        <f t="shared" si="132"/>
        <v>0.75</v>
      </c>
      <c r="J176" s="16">
        <v>-77</v>
      </c>
    </row>
    <row r="177" spans="1:10" hidden="1" x14ac:dyDescent="0.55000000000000004">
      <c r="A177" s="5">
        <f t="shared" si="86"/>
        <v>42.75</v>
      </c>
      <c r="B177" s="4">
        <f t="shared" si="87"/>
        <v>0</v>
      </c>
      <c r="C177" s="18" t="e">
        <f>'25hike'!C177+IPI_minus!C172</f>
        <v>#REF!</v>
      </c>
      <c r="D177" s="18" t="e">
        <f>'25hike'!D177+IPI_minus!D172</f>
        <v>#REF!</v>
      </c>
      <c r="E177" s="18" t="e">
        <f>'25hike'!E177+IPI_minus!E172</f>
        <v>#REF!</v>
      </c>
      <c r="F177" s="18" t="e">
        <f>'25hike'!F177+IPI_minus!F172</f>
        <v>#REF!</v>
      </c>
      <c r="G177" s="18" t="e">
        <f>'25hike'!G177+IPI_minus!G172</f>
        <v>#REF!</v>
      </c>
      <c r="H177" s="16">
        <f t="shared" ref="H177:I177" si="133">H176</f>
        <v>2</v>
      </c>
      <c r="I177" s="16">
        <f t="shared" si="133"/>
        <v>0.75</v>
      </c>
      <c r="J177" s="16">
        <v>-76</v>
      </c>
    </row>
    <row r="178" spans="1:10" hidden="1" x14ac:dyDescent="0.55000000000000004">
      <c r="A178" s="5">
        <f t="shared" si="86"/>
        <v>43</v>
      </c>
      <c r="B178" s="4">
        <f t="shared" si="87"/>
        <v>0</v>
      </c>
      <c r="C178" s="18" t="e">
        <f>'25hike'!C178+IPI_minus!C173</f>
        <v>#REF!</v>
      </c>
      <c r="D178" s="18" t="e">
        <f>'25hike'!D178+IPI_minus!D173</f>
        <v>#REF!</v>
      </c>
      <c r="E178" s="18" t="e">
        <f>'25hike'!E178+IPI_minus!E173</f>
        <v>#REF!</v>
      </c>
      <c r="F178" s="18" t="e">
        <f>'25hike'!F178+IPI_minus!F173</f>
        <v>#REF!</v>
      </c>
      <c r="G178" s="18" t="e">
        <f>'25hike'!G178+IPI_minus!G173</f>
        <v>#REF!</v>
      </c>
      <c r="H178" s="16">
        <f t="shared" ref="H178:I178" si="134">H177</f>
        <v>2</v>
      </c>
      <c r="I178" s="16">
        <f t="shared" si="134"/>
        <v>0.75</v>
      </c>
      <c r="J178" s="16">
        <v>-75</v>
      </c>
    </row>
    <row r="179" spans="1:10" hidden="1" x14ac:dyDescent="0.55000000000000004">
      <c r="A179" s="5">
        <f t="shared" si="86"/>
        <v>43.25</v>
      </c>
      <c r="B179" s="4">
        <f t="shared" si="87"/>
        <v>0</v>
      </c>
      <c r="C179" s="18" t="e">
        <f>'25hike'!C179+IPI_minus!C174</f>
        <v>#REF!</v>
      </c>
      <c r="D179" s="18" t="e">
        <f>'25hike'!D179+IPI_minus!D174</f>
        <v>#REF!</v>
      </c>
      <c r="E179" s="18" t="e">
        <f>'25hike'!E179+IPI_minus!E174</f>
        <v>#REF!</v>
      </c>
      <c r="F179" s="18" t="e">
        <f>'25hike'!F179+IPI_minus!F174</f>
        <v>#REF!</v>
      </c>
      <c r="G179" s="18" t="e">
        <f>'25hike'!G179+IPI_minus!G174</f>
        <v>#REF!</v>
      </c>
      <c r="H179" s="16">
        <f t="shared" ref="H179:I179" si="135">H178</f>
        <v>2</v>
      </c>
      <c r="I179" s="16">
        <f t="shared" si="135"/>
        <v>0.75</v>
      </c>
      <c r="J179" s="16">
        <v>-74</v>
      </c>
    </row>
    <row r="180" spans="1:10" hidden="1" x14ac:dyDescent="0.55000000000000004">
      <c r="A180" s="5">
        <f t="shared" si="86"/>
        <v>43.5</v>
      </c>
      <c r="B180" s="4">
        <f t="shared" si="87"/>
        <v>0</v>
      </c>
      <c r="C180" s="18" t="e">
        <f>'25hike'!C180+IPI_minus!C175</f>
        <v>#REF!</v>
      </c>
      <c r="D180" s="18" t="e">
        <f>'25hike'!D180+IPI_minus!D175</f>
        <v>#REF!</v>
      </c>
      <c r="E180" s="18" t="e">
        <f>'25hike'!E180+IPI_minus!E175</f>
        <v>#REF!</v>
      </c>
      <c r="F180" s="18" t="e">
        <f>'25hike'!F180+IPI_minus!F175</f>
        <v>#REF!</v>
      </c>
      <c r="G180" s="18" t="e">
        <f>'25hike'!G180+IPI_minus!G175</f>
        <v>#REF!</v>
      </c>
      <c r="H180" s="16">
        <f t="shared" ref="H180:I180" si="136">H179</f>
        <v>2</v>
      </c>
      <c r="I180" s="16">
        <f t="shared" si="136"/>
        <v>0.75</v>
      </c>
      <c r="J180" s="16">
        <v>-73</v>
      </c>
    </row>
    <row r="181" spans="1:10" hidden="1" x14ac:dyDescent="0.55000000000000004">
      <c r="A181" s="5">
        <f t="shared" si="86"/>
        <v>43.75</v>
      </c>
      <c r="B181" s="4">
        <f t="shared" si="87"/>
        <v>0</v>
      </c>
      <c r="C181" s="18" t="e">
        <f>'25hike'!C181+IPI_minus!C176</f>
        <v>#REF!</v>
      </c>
      <c r="D181" s="18" t="e">
        <f>'25hike'!D181+IPI_minus!D176</f>
        <v>#REF!</v>
      </c>
      <c r="E181" s="18" t="e">
        <f>'25hike'!E181+IPI_minus!E176</f>
        <v>#REF!</v>
      </c>
      <c r="F181" s="18" t="e">
        <f>'25hike'!F181+IPI_minus!F176</f>
        <v>#REF!</v>
      </c>
      <c r="G181" s="18" t="e">
        <f>'25hike'!G181+IPI_minus!G176</f>
        <v>#REF!</v>
      </c>
      <c r="H181" s="16">
        <f t="shared" ref="H181:I181" si="137">H180</f>
        <v>2</v>
      </c>
      <c r="I181" s="16">
        <f t="shared" si="137"/>
        <v>0.75</v>
      </c>
      <c r="J181" s="16">
        <v>-72</v>
      </c>
    </row>
    <row r="182" spans="1:10" hidden="1" x14ac:dyDescent="0.55000000000000004">
      <c r="A182" s="5">
        <f t="shared" si="86"/>
        <v>44</v>
      </c>
      <c r="B182" s="4">
        <f t="shared" si="87"/>
        <v>0</v>
      </c>
      <c r="C182" s="18" t="e">
        <f>'25hike'!C182+IPI_minus!C177</f>
        <v>#REF!</v>
      </c>
      <c r="D182" s="18" t="e">
        <f>'25hike'!D182+IPI_minus!D177</f>
        <v>#REF!</v>
      </c>
      <c r="E182" s="18" t="e">
        <f>'25hike'!E182+IPI_minus!E177</f>
        <v>#REF!</v>
      </c>
      <c r="F182" s="18" t="e">
        <f>'25hike'!F182+IPI_minus!F177</f>
        <v>#REF!</v>
      </c>
      <c r="G182" s="18" t="e">
        <f>'25hike'!G182+IPI_minus!G177</f>
        <v>#REF!</v>
      </c>
      <c r="H182" s="16">
        <f t="shared" ref="H182:I182" si="138">H181</f>
        <v>2</v>
      </c>
      <c r="I182" s="16">
        <f t="shared" si="138"/>
        <v>0.75</v>
      </c>
      <c r="J182" s="16">
        <v>-71</v>
      </c>
    </row>
    <row r="183" spans="1:10" hidden="1" x14ac:dyDescent="0.55000000000000004">
      <c r="A183" s="5">
        <f t="shared" si="86"/>
        <v>44.25</v>
      </c>
      <c r="B183" s="4">
        <f t="shared" si="87"/>
        <v>0</v>
      </c>
      <c r="C183" s="18" t="e">
        <f>'25hike'!C183+IPI_minus!C178</f>
        <v>#REF!</v>
      </c>
      <c r="D183" s="18" t="e">
        <f>'25hike'!D183+IPI_minus!D178</f>
        <v>#REF!</v>
      </c>
      <c r="E183" s="18" t="e">
        <f>'25hike'!E183+IPI_minus!E178</f>
        <v>#REF!</v>
      </c>
      <c r="F183" s="18" t="e">
        <f>'25hike'!F183+IPI_minus!F178</f>
        <v>#REF!</v>
      </c>
      <c r="G183" s="18" t="e">
        <f>'25hike'!G183+IPI_minus!G178</f>
        <v>#REF!</v>
      </c>
      <c r="H183" s="16">
        <f t="shared" ref="H183:I183" si="139">H182</f>
        <v>2</v>
      </c>
      <c r="I183" s="16">
        <f t="shared" si="139"/>
        <v>0.75</v>
      </c>
      <c r="J183" s="16">
        <v>-70</v>
      </c>
    </row>
    <row r="184" spans="1:10" hidden="1" x14ac:dyDescent="0.55000000000000004">
      <c r="A184" s="5">
        <f t="shared" si="86"/>
        <v>44.5</v>
      </c>
      <c r="B184" s="4">
        <f t="shared" si="87"/>
        <v>0</v>
      </c>
      <c r="C184" s="18" t="e">
        <f>'25hike'!C184+IPI_minus!C179</f>
        <v>#REF!</v>
      </c>
      <c r="D184" s="18" t="e">
        <f>'25hike'!D184+IPI_minus!D179</f>
        <v>#REF!</v>
      </c>
      <c r="E184" s="18" t="e">
        <f>'25hike'!E184+IPI_minus!E179</f>
        <v>#REF!</v>
      </c>
      <c r="F184" s="18" t="e">
        <f>'25hike'!F184+IPI_minus!F179</f>
        <v>#REF!</v>
      </c>
      <c r="G184" s="18" t="e">
        <f>'25hike'!G184+IPI_minus!G179</f>
        <v>#REF!</v>
      </c>
      <c r="H184" s="16">
        <f t="shared" ref="H184:I184" si="140">H183</f>
        <v>2</v>
      </c>
      <c r="I184" s="16">
        <f t="shared" si="140"/>
        <v>0.75</v>
      </c>
      <c r="J184" s="16">
        <v>-69</v>
      </c>
    </row>
    <row r="185" spans="1:10" hidden="1" x14ac:dyDescent="0.55000000000000004">
      <c r="A185" s="5">
        <f t="shared" si="86"/>
        <v>44.75</v>
      </c>
      <c r="B185" s="4">
        <f t="shared" si="87"/>
        <v>0</v>
      </c>
      <c r="C185" s="18" t="e">
        <f>'25hike'!C185+IPI_minus!C180</f>
        <v>#REF!</v>
      </c>
      <c r="D185" s="18" t="e">
        <f>'25hike'!D185+IPI_minus!D180</f>
        <v>#REF!</v>
      </c>
      <c r="E185" s="18" t="e">
        <f>'25hike'!E185+IPI_minus!E180</f>
        <v>#REF!</v>
      </c>
      <c r="F185" s="18" t="e">
        <f>'25hike'!F185+IPI_minus!F180</f>
        <v>#REF!</v>
      </c>
      <c r="G185" s="18" t="e">
        <f>'25hike'!G185+IPI_minus!G180</f>
        <v>#REF!</v>
      </c>
      <c r="H185" s="16">
        <f t="shared" ref="H185:I185" si="141">H184</f>
        <v>2</v>
      </c>
      <c r="I185" s="16">
        <f t="shared" si="141"/>
        <v>0.75</v>
      </c>
      <c r="J185" s="16">
        <v>-68</v>
      </c>
    </row>
    <row r="186" spans="1:10" hidden="1" x14ac:dyDescent="0.55000000000000004">
      <c r="A186" s="5">
        <f t="shared" si="86"/>
        <v>45</v>
      </c>
      <c r="B186" s="4">
        <f t="shared" si="87"/>
        <v>0</v>
      </c>
      <c r="C186" s="18" t="e">
        <f>'25hike'!C186+IPI_minus!C181</f>
        <v>#REF!</v>
      </c>
      <c r="D186" s="18" t="e">
        <f>'25hike'!D186+IPI_minus!D181</f>
        <v>#REF!</v>
      </c>
      <c r="E186" s="18" t="e">
        <f>'25hike'!E186+IPI_minus!E181</f>
        <v>#REF!</v>
      </c>
      <c r="F186" s="18" t="e">
        <f>'25hike'!F186+IPI_minus!F181</f>
        <v>#REF!</v>
      </c>
      <c r="G186" s="18" t="e">
        <f>'25hike'!G186+IPI_minus!G181</f>
        <v>#REF!</v>
      </c>
      <c r="H186" s="16">
        <f t="shared" ref="H186:I186" si="142">H185</f>
        <v>2</v>
      </c>
      <c r="I186" s="16">
        <f t="shared" si="142"/>
        <v>0.75</v>
      </c>
      <c r="J186" s="16">
        <v>-67</v>
      </c>
    </row>
    <row r="187" spans="1:10" hidden="1" x14ac:dyDescent="0.55000000000000004">
      <c r="A187" s="5">
        <f t="shared" si="86"/>
        <v>45.25</v>
      </c>
      <c r="B187" s="4">
        <f t="shared" si="87"/>
        <v>0</v>
      </c>
      <c r="C187" s="18" t="e">
        <f>'25hike'!C187+IPI_minus!C182</f>
        <v>#REF!</v>
      </c>
      <c r="D187" s="18" t="e">
        <f>'25hike'!D187+IPI_minus!D182</f>
        <v>#REF!</v>
      </c>
      <c r="E187" s="18" t="e">
        <f>'25hike'!E187+IPI_minus!E182</f>
        <v>#REF!</v>
      </c>
      <c r="F187" s="18" t="e">
        <f>'25hike'!F187+IPI_minus!F182</f>
        <v>#REF!</v>
      </c>
      <c r="G187" s="18" t="e">
        <f>'25hike'!G187+IPI_minus!G182</f>
        <v>#REF!</v>
      </c>
      <c r="H187" s="16">
        <f t="shared" ref="H187:I187" si="143">H186</f>
        <v>2</v>
      </c>
      <c r="I187" s="16">
        <f t="shared" si="143"/>
        <v>0.75</v>
      </c>
      <c r="J187" s="16">
        <v>-66</v>
      </c>
    </row>
    <row r="188" spans="1:10" hidden="1" x14ac:dyDescent="0.55000000000000004">
      <c r="A188" s="5">
        <f t="shared" si="86"/>
        <v>45.5</v>
      </c>
      <c r="B188" s="4">
        <f t="shared" si="87"/>
        <v>0</v>
      </c>
      <c r="C188" s="18" t="e">
        <f>'25hike'!C188+IPI_minus!C183</f>
        <v>#REF!</v>
      </c>
      <c r="D188" s="18" t="e">
        <f>'25hike'!D188+IPI_minus!D183</f>
        <v>#REF!</v>
      </c>
      <c r="E188" s="18" t="e">
        <f>'25hike'!E188+IPI_minus!E183</f>
        <v>#REF!</v>
      </c>
      <c r="F188" s="18" t="e">
        <f>'25hike'!F188+IPI_minus!F183</f>
        <v>#REF!</v>
      </c>
      <c r="G188" s="18" t="e">
        <f>'25hike'!G188+IPI_minus!G183</f>
        <v>#REF!</v>
      </c>
      <c r="H188" s="16">
        <f t="shared" ref="H188:I188" si="144">H187</f>
        <v>2</v>
      </c>
      <c r="I188" s="16">
        <f t="shared" si="144"/>
        <v>0.75</v>
      </c>
      <c r="J188" s="16">
        <v>-65</v>
      </c>
    </row>
    <row r="189" spans="1:10" hidden="1" x14ac:dyDescent="0.55000000000000004">
      <c r="A189" s="5">
        <f t="shared" si="86"/>
        <v>45.75</v>
      </c>
      <c r="B189" s="4">
        <f t="shared" si="87"/>
        <v>0</v>
      </c>
      <c r="C189" s="18" t="e">
        <f>'25hike'!C189+IPI_minus!C184</f>
        <v>#REF!</v>
      </c>
      <c r="D189" s="18" t="e">
        <f>'25hike'!D189+IPI_minus!D184</f>
        <v>#REF!</v>
      </c>
      <c r="E189" s="18" t="e">
        <f>'25hike'!E189+IPI_minus!E184</f>
        <v>#REF!</v>
      </c>
      <c r="F189" s="18" t="e">
        <f>'25hike'!F189+IPI_minus!F184</f>
        <v>#REF!</v>
      </c>
      <c r="G189" s="18" t="e">
        <f>'25hike'!G189+IPI_minus!G184</f>
        <v>#REF!</v>
      </c>
      <c r="H189" s="16">
        <f t="shared" ref="H189:I189" si="145">H188</f>
        <v>2</v>
      </c>
      <c r="I189" s="16">
        <f t="shared" si="145"/>
        <v>0.75</v>
      </c>
      <c r="J189" s="16">
        <v>-64</v>
      </c>
    </row>
    <row r="190" spans="1:10" hidden="1" x14ac:dyDescent="0.55000000000000004">
      <c r="A190" s="5">
        <f t="shared" si="86"/>
        <v>46</v>
      </c>
      <c r="B190" s="4">
        <f t="shared" si="87"/>
        <v>0</v>
      </c>
      <c r="C190" s="18" t="e">
        <f>'25hike'!C190+IPI_minus!C185</f>
        <v>#REF!</v>
      </c>
      <c r="D190" s="18" t="e">
        <f>'25hike'!D190+IPI_minus!D185</f>
        <v>#REF!</v>
      </c>
      <c r="E190" s="18" t="e">
        <f>'25hike'!E190+IPI_minus!E185</f>
        <v>#REF!</v>
      </c>
      <c r="F190" s="18" t="e">
        <f>'25hike'!F190+IPI_minus!F185</f>
        <v>#REF!</v>
      </c>
      <c r="G190" s="18" t="e">
        <f>'25hike'!G190+IPI_minus!G185</f>
        <v>#REF!</v>
      </c>
      <c r="H190" s="16">
        <f t="shared" ref="H190:I190" si="146">H189</f>
        <v>2</v>
      </c>
      <c r="I190" s="16">
        <f t="shared" si="146"/>
        <v>0.75</v>
      </c>
      <c r="J190" s="16">
        <v>-63</v>
      </c>
    </row>
    <row r="191" spans="1:10" hidden="1" x14ac:dyDescent="0.55000000000000004">
      <c r="A191" s="5">
        <f t="shared" si="86"/>
        <v>46.25</v>
      </c>
      <c r="B191" s="4">
        <f t="shared" si="87"/>
        <v>0</v>
      </c>
      <c r="C191" s="18" t="e">
        <f>'25hike'!C191+IPI_minus!C186</f>
        <v>#REF!</v>
      </c>
      <c r="D191" s="18" t="e">
        <f>'25hike'!D191+IPI_minus!D186</f>
        <v>#REF!</v>
      </c>
      <c r="E191" s="18" t="e">
        <f>'25hike'!E191+IPI_minus!E186</f>
        <v>#REF!</v>
      </c>
      <c r="F191" s="18" t="e">
        <f>'25hike'!F191+IPI_minus!F186</f>
        <v>#REF!</v>
      </c>
      <c r="G191" s="18" t="e">
        <f>'25hike'!G191+IPI_minus!G186</f>
        <v>#REF!</v>
      </c>
      <c r="H191" s="16">
        <f t="shared" ref="H191:I191" si="147">H190</f>
        <v>2</v>
      </c>
      <c r="I191" s="16">
        <f t="shared" si="147"/>
        <v>0.75</v>
      </c>
      <c r="J191" s="16">
        <v>-62</v>
      </c>
    </row>
    <row r="192" spans="1:10" hidden="1" x14ac:dyDescent="0.55000000000000004">
      <c r="A192" s="5">
        <f t="shared" si="86"/>
        <v>46.5</v>
      </c>
      <c r="B192" s="4">
        <f t="shared" si="87"/>
        <v>0</v>
      </c>
      <c r="C192" s="18" t="e">
        <f>'25hike'!C192+IPI_minus!C187</f>
        <v>#REF!</v>
      </c>
      <c r="D192" s="18" t="e">
        <f>'25hike'!D192+IPI_minus!D187</f>
        <v>#REF!</v>
      </c>
      <c r="E192" s="18" t="e">
        <f>'25hike'!E192+IPI_minus!E187</f>
        <v>#REF!</v>
      </c>
      <c r="F192" s="18" t="e">
        <f>'25hike'!F192+IPI_minus!F187</f>
        <v>#REF!</v>
      </c>
      <c r="G192" s="18" t="e">
        <f>'25hike'!G192+IPI_minus!G187</f>
        <v>#REF!</v>
      </c>
      <c r="H192" s="16">
        <f t="shared" ref="H192:I192" si="148">H191</f>
        <v>2</v>
      </c>
      <c r="I192" s="16">
        <f t="shared" si="148"/>
        <v>0.75</v>
      </c>
      <c r="J192" s="16">
        <v>-61</v>
      </c>
    </row>
    <row r="193" spans="1:10" hidden="1" x14ac:dyDescent="0.55000000000000004">
      <c r="A193" s="5">
        <f t="shared" si="86"/>
        <v>46.75</v>
      </c>
      <c r="B193" s="4">
        <f t="shared" si="87"/>
        <v>0</v>
      </c>
      <c r="C193" s="18" t="e">
        <f>'25hike'!C193+IPI_minus!C188</f>
        <v>#REF!</v>
      </c>
      <c r="D193" s="18" t="e">
        <f>'25hike'!D193+IPI_minus!D188</f>
        <v>#REF!</v>
      </c>
      <c r="E193" s="18" t="e">
        <f>'25hike'!E193+IPI_minus!E188</f>
        <v>#REF!</v>
      </c>
      <c r="F193" s="18" t="e">
        <f>'25hike'!F193+IPI_minus!F188</f>
        <v>#REF!</v>
      </c>
      <c r="G193" s="18" t="e">
        <f>'25hike'!G193+IPI_minus!G188</f>
        <v>#REF!</v>
      </c>
      <c r="H193" s="16">
        <f t="shared" ref="H193:I193" si="149">H192</f>
        <v>2</v>
      </c>
      <c r="I193" s="16">
        <f t="shared" si="149"/>
        <v>0.75</v>
      </c>
      <c r="J193" s="16">
        <v>-60</v>
      </c>
    </row>
    <row r="194" spans="1:10" hidden="1" x14ac:dyDescent="0.55000000000000004">
      <c r="A194" s="5">
        <f t="shared" si="86"/>
        <v>47</v>
      </c>
      <c r="B194" s="4">
        <f t="shared" si="87"/>
        <v>0</v>
      </c>
      <c r="C194" s="18" t="e">
        <f>'25hike'!C194+IPI_minus!C189</f>
        <v>#REF!</v>
      </c>
      <c r="D194" s="18" t="e">
        <f>'25hike'!D194+IPI_minus!D189</f>
        <v>#REF!</v>
      </c>
      <c r="E194" s="18" t="e">
        <f>'25hike'!E194+IPI_minus!E189</f>
        <v>#REF!</v>
      </c>
      <c r="F194" s="18" t="e">
        <f>'25hike'!F194+IPI_minus!F189</f>
        <v>#REF!</v>
      </c>
      <c r="G194" s="18" t="e">
        <f>'25hike'!G194+IPI_minus!G189</f>
        <v>#REF!</v>
      </c>
      <c r="H194" s="16">
        <f t="shared" ref="H194:I194" si="150">H193</f>
        <v>2</v>
      </c>
      <c r="I194" s="16">
        <f t="shared" si="150"/>
        <v>0.75</v>
      </c>
      <c r="J194" s="16">
        <v>-59</v>
      </c>
    </row>
    <row r="195" spans="1:10" hidden="1" x14ac:dyDescent="0.55000000000000004">
      <c r="A195" s="5">
        <f t="shared" si="86"/>
        <v>47.25</v>
      </c>
      <c r="B195" s="4">
        <f t="shared" si="87"/>
        <v>0</v>
      </c>
      <c r="C195" s="18" t="e">
        <f>'25hike'!C195+IPI_minus!C190</f>
        <v>#REF!</v>
      </c>
      <c r="D195" s="18" t="e">
        <f>'25hike'!D195+IPI_minus!D190</f>
        <v>#REF!</v>
      </c>
      <c r="E195" s="18" t="e">
        <f>'25hike'!E195+IPI_minus!E190</f>
        <v>#REF!</v>
      </c>
      <c r="F195" s="18" t="e">
        <f>'25hike'!F195+IPI_minus!F190</f>
        <v>#REF!</v>
      </c>
      <c r="G195" s="18" t="e">
        <f>'25hike'!G195+IPI_minus!G190</f>
        <v>#REF!</v>
      </c>
      <c r="H195" s="16">
        <f t="shared" ref="H195:I195" si="151">H194</f>
        <v>2</v>
      </c>
      <c r="I195" s="16">
        <f t="shared" si="151"/>
        <v>0.75</v>
      </c>
      <c r="J195" s="16">
        <v>-58</v>
      </c>
    </row>
    <row r="196" spans="1:10" hidden="1" x14ac:dyDescent="0.55000000000000004">
      <c r="A196" s="5">
        <f t="shared" ref="A196:A201" si="152">A195+0.25</f>
        <v>47.5</v>
      </c>
      <c r="B196" s="4">
        <f t="shared" ref="B196:B201" si="153">B195</f>
        <v>0</v>
      </c>
      <c r="C196" s="18" t="e">
        <f>'25hike'!C196+IPI_minus!C191</f>
        <v>#REF!</v>
      </c>
      <c r="D196" s="18" t="e">
        <f>'25hike'!D196+IPI_minus!D191</f>
        <v>#REF!</v>
      </c>
      <c r="E196" s="18" t="e">
        <f>'25hike'!E196+IPI_minus!E191</f>
        <v>#REF!</v>
      </c>
      <c r="F196" s="18" t="e">
        <f>'25hike'!F196+IPI_minus!F191</f>
        <v>#REF!</v>
      </c>
      <c r="G196" s="18" t="e">
        <f>'25hike'!G196+IPI_minus!G191</f>
        <v>#REF!</v>
      </c>
      <c r="H196" s="16">
        <f t="shared" ref="H196:I196" si="154">H195</f>
        <v>2</v>
      </c>
      <c r="I196" s="16">
        <f t="shared" si="154"/>
        <v>0.75</v>
      </c>
      <c r="J196" s="16">
        <v>-57</v>
      </c>
    </row>
    <row r="197" spans="1:10" hidden="1" x14ac:dyDescent="0.55000000000000004">
      <c r="A197" s="5">
        <f t="shared" si="152"/>
        <v>47.75</v>
      </c>
      <c r="B197" s="4">
        <f t="shared" si="153"/>
        <v>0</v>
      </c>
      <c r="C197" s="18" t="e">
        <f>'25hike'!C197+IPI_minus!C192</f>
        <v>#REF!</v>
      </c>
      <c r="D197" s="18" t="e">
        <f>'25hike'!D197+IPI_minus!D192</f>
        <v>#REF!</v>
      </c>
      <c r="E197" s="18" t="e">
        <f>'25hike'!E197+IPI_minus!E192</f>
        <v>#REF!</v>
      </c>
      <c r="F197" s="18" t="e">
        <f>'25hike'!F197+IPI_minus!F192</f>
        <v>#REF!</v>
      </c>
      <c r="G197" s="18" t="e">
        <f>'25hike'!G197+IPI_minus!G192</f>
        <v>#REF!</v>
      </c>
      <c r="H197" s="16">
        <f t="shared" ref="H197:I197" si="155">H196</f>
        <v>2</v>
      </c>
      <c r="I197" s="16">
        <f t="shared" si="155"/>
        <v>0.75</v>
      </c>
      <c r="J197" s="16">
        <v>-56</v>
      </c>
    </row>
    <row r="198" spans="1:10" hidden="1" x14ac:dyDescent="0.55000000000000004">
      <c r="A198" s="5">
        <f t="shared" si="152"/>
        <v>48</v>
      </c>
      <c r="B198" s="4">
        <f t="shared" si="153"/>
        <v>0</v>
      </c>
      <c r="C198" s="18" t="e">
        <f>'25hike'!C198+IPI_minus!C193</f>
        <v>#REF!</v>
      </c>
      <c r="D198" s="18" t="e">
        <f>'25hike'!D198+IPI_minus!D193</f>
        <v>#REF!</v>
      </c>
      <c r="E198" s="18" t="e">
        <f>'25hike'!E198+IPI_minus!E193</f>
        <v>#REF!</v>
      </c>
      <c r="F198" s="18" t="e">
        <f>'25hike'!F198+IPI_minus!F193</f>
        <v>#REF!</v>
      </c>
      <c r="G198" s="18" t="e">
        <f>'25hike'!G198+IPI_minus!G193</f>
        <v>#REF!</v>
      </c>
      <c r="H198" s="16">
        <f t="shared" ref="H198:I198" si="156">H197</f>
        <v>2</v>
      </c>
      <c r="I198" s="16">
        <f t="shared" si="156"/>
        <v>0.75</v>
      </c>
      <c r="J198" s="16">
        <v>-55</v>
      </c>
    </row>
    <row r="199" spans="1:10" hidden="1" x14ac:dyDescent="0.55000000000000004">
      <c r="A199" s="5">
        <f t="shared" si="152"/>
        <v>48.25</v>
      </c>
      <c r="B199" s="4">
        <f t="shared" si="153"/>
        <v>0</v>
      </c>
      <c r="C199" s="18" t="e">
        <f>'25hike'!C199+IPI_minus!C194</f>
        <v>#REF!</v>
      </c>
      <c r="D199" s="18" t="e">
        <f>'25hike'!D199+IPI_minus!D194</f>
        <v>#REF!</v>
      </c>
      <c r="E199" s="18" t="e">
        <f>'25hike'!E199+IPI_minus!E194</f>
        <v>#REF!</v>
      </c>
      <c r="F199" s="18" t="e">
        <f>'25hike'!F199+IPI_minus!F194</f>
        <v>#REF!</v>
      </c>
      <c r="G199" s="18" t="e">
        <f>'25hike'!G199+IPI_minus!G194</f>
        <v>#REF!</v>
      </c>
      <c r="H199" s="16">
        <f t="shared" ref="H199:I199" si="157">H198</f>
        <v>2</v>
      </c>
      <c r="I199" s="16">
        <f t="shared" si="157"/>
        <v>0.75</v>
      </c>
      <c r="J199" s="16">
        <v>-54</v>
      </c>
    </row>
    <row r="200" spans="1:10" hidden="1" x14ac:dyDescent="0.55000000000000004">
      <c r="A200" s="5">
        <f t="shared" si="152"/>
        <v>48.5</v>
      </c>
      <c r="B200" s="4">
        <f t="shared" si="153"/>
        <v>0</v>
      </c>
      <c r="C200" s="18" t="e">
        <f>'25hike'!C200+IPI_minus!C195</f>
        <v>#REF!</v>
      </c>
      <c r="D200" s="18" t="e">
        <f>'25hike'!D200+IPI_minus!D195</f>
        <v>#REF!</v>
      </c>
      <c r="E200" s="18" t="e">
        <f>'25hike'!E200+IPI_minus!E195</f>
        <v>#REF!</v>
      </c>
      <c r="F200" s="18" t="e">
        <f>'25hike'!F200+IPI_minus!F195</f>
        <v>#REF!</v>
      </c>
      <c r="G200" s="18" t="e">
        <f>'25hike'!G200+IPI_minus!G195</f>
        <v>#REF!</v>
      </c>
      <c r="H200" s="16">
        <f t="shared" ref="H200:I200" si="158">H199</f>
        <v>2</v>
      </c>
      <c r="I200" s="16">
        <f t="shared" si="158"/>
        <v>0.75</v>
      </c>
      <c r="J200" s="16">
        <v>-53</v>
      </c>
    </row>
    <row r="201" spans="1:10" x14ac:dyDescent="0.55000000000000004">
      <c r="C201" s="18"/>
      <c r="D201" s="18"/>
      <c r="E201" s="18"/>
      <c r="F201" s="18"/>
      <c r="G201" s="18"/>
      <c r="H201" s="16"/>
      <c r="I201" s="16"/>
      <c r="J201" s="16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46790-8BEF-48BA-BF49-5E4C2888C0F3}">
  <sheetPr codeName="Sheet6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-3.7299240530264788E-2</v>
      </c>
      <c r="D2" s="14">
        <v>0.65625080807157132</v>
      </c>
      <c r="E2" s="14">
        <v>0.17082054153261755</v>
      </c>
      <c r="F2" s="14">
        <v>5.9062572726441401E-2</v>
      </c>
      <c r="G2" s="14">
        <v>0.40805396893306661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-9.754750850567756E-2</v>
      </c>
      <c r="D3" s="14">
        <v>0.41013335301948989</v>
      </c>
      <c r="E3" s="14">
        <v>0.18425852575147778</v>
      </c>
      <c r="F3" s="14">
        <v>9.0658942952815749E-2</v>
      </c>
      <c r="G3" s="14">
        <v>0.38290353213092337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-0.1389094117450404</v>
      </c>
      <c r="D4" s="14">
        <v>0.14457930195397314</v>
      </c>
      <c r="E4" s="14">
        <v>9.9742329392002949E-2</v>
      </c>
      <c r="F4" s="14">
        <v>9.5511775262920012E-2</v>
      </c>
      <c r="G4" s="14">
        <v>0.16872947519362499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-0.14457332850960189</v>
      </c>
      <c r="D5" s="14">
        <v>-2.5890164008792096E-3</v>
      </c>
      <c r="E5" s="14">
        <v>4.0365555210367943E-2</v>
      </c>
      <c r="F5" s="14">
        <v>8.6682704013178027E-2</v>
      </c>
      <c r="G5" s="14">
        <v>-2.086690996142173E-2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-0.12195975133164232</v>
      </c>
      <c r="D6" s="14">
        <v>-5.4563492579120881E-2</v>
      </c>
      <c r="E6" s="14">
        <v>1.4451034722849481E-2</v>
      </c>
      <c r="F6" s="14">
        <v>7.3970546319871114E-2</v>
      </c>
      <c r="G6" s="14">
        <v>-0.11346601481014067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-8.7535191966035042E-2</v>
      </c>
      <c r="D7" s="14">
        <v>-5.4591992813280373E-2</v>
      </c>
      <c r="E7" s="14">
        <v>9.1059793490889662E-3</v>
      </c>
      <c r="F7" s="14">
        <v>6.2399917797887471E-2</v>
      </c>
      <c r="G7" s="14">
        <v>-0.12078391417337897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-5.5333760481306948E-2</v>
      </c>
      <c r="D8" s="14">
        <v>-3.5475939000497149E-2</v>
      </c>
      <c r="E8" s="14">
        <v>1.2251730814821339E-2</v>
      </c>
      <c r="F8" s="14">
        <v>5.3591090686032919E-2</v>
      </c>
      <c r="G8" s="14">
        <v>-8.240855096118517E-2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-3.2584244125130168E-2</v>
      </c>
      <c r="D9" s="14">
        <v>-1.5869951089005439E-2</v>
      </c>
      <c r="E9" s="14">
        <v>1.6555708039712562E-2</v>
      </c>
      <c r="F9" s="14">
        <v>4.7339596926279495E-2</v>
      </c>
      <c r="G9" s="14">
        <v>-3.4246887061753897E-2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-2.0304410128780936E-2</v>
      </c>
      <c r="D10" s="14">
        <v>-3.2524343880147278E-3</v>
      </c>
      <c r="E10" s="14">
        <v>1.8870870403491426E-2</v>
      </c>
      <c r="F10" s="14">
        <v>4.2786314107992988E-2</v>
      </c>
      <c r="G10" s="14">
        <v>2.7708064959456832E-3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-1.5913057423773254E-2</v>
      </c>
      <c r="D11" s="14">
        <v>1.7518554605043828E-3</v>
      </c>
      <c r="E11" s="14">
        <v>1.8715749239434674E-2</v>
      </c>
      <c r="F11" s="14">
        <v>3.9093212829719025E-2</v>
      </c>
      <c r="G11" s="14">
        <v>2.2156979795872188E-2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-1.5808708685600373E-2</v>
      </c>
      <c r="D12" s="14">
        <v>1.5744231256228178E-3</v>
      </c>
      <c r="E12" s="14">
        <v>1.6852280691061497E-2</v>
      </c>
      <c r="F12" s="14">
        <v>3.5716521756350386E-2</v>
      </c>
      <c r="G12" s="14">
        <v>2.6553517127352644E-2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-1.7007701534536502E-2</v>
      </c>
      <c r="D13" s="14">
        <v>-8.5811618174635952E-4</v>
      </c>
      <c r="E13" s="14">
        <v>1.4302975052693219E-2</v>
      </c>
      <c r="F13" s="14">
        <v>3.2424804341921694E-2</v>
      </c>
      <c r="G13" s="14">
        <v>2.2122099642371312E-2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-1.7758388639490041E-2</v>
      </c>
      <c r="D14" s="14">
        <v>-3.4004816267181178E-3</v>
      </c>
      <c r="E14" s="14">
        <v>1.1844659862312298E-2</v>
      </c>
      <c r="F14" s="14">
        <v>2.9200528604744116E-2</v>
      </c>
      <c r="G14" s="14">
        <v>1.4699013118273895E-2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-1.7448155786083244E-2</v>
      </c>
      <c r="D15" s="14">
        <v>-5.0006612068398699E-3</v>
      </c>
      <c r="E15" s="14">
        <v>9.8672079079105135E-3</v>
      </c>
      <c r="F15" s="14">
        <v>2.6122421521701571E-2</v>
      </c>
      <c r="G15" s="14">
        <v>8.0638431016074701E-3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-1.6195284154283923E-2</v>
      </c>
      <c r="D16" s="14">
        <v>-5.4769483751220633E-3</v>
      </c>
      <c r="E16" s="14">
        <v>8.4402968662341416E-3</v>
      </c>
      <c r="F16" s="14">
        <v>2.3278478230987453E-2</v>
      </c>
      <c r="G16" s="14">
        <v>3.7835054614166457E-3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-1.4419845083803463E-2</v>
      </c>
      <c r="D17" s="14">
        <v>-5.1228659841476712E-3</v>
      </c>
      <c r="E17" s="14">
        <v>7.4527363049500962E-3</v>
      </c>
      <c r="F17" s="14">
        <v>2.0722357251625283E-2</v>
      </c>
      <c r="G17" s="14">
        <v>1.8582257451393441E-3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-1.2542680005015521E-2</v>
      </c>
      <c r="D18" s="14">
        <v>-4.3624051666618317E-3</v>
      </c>
      <c r="E18" s="14">
        <v>6.7391616997485608E-3</v>
      </c>
      <c r="F18" s="14">
        <v>1.8464728633979445E-2</v>
      </c>
      <c r="G18" s="14">
        <v>1.5393598260196207E-3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-1.0842675316294905E-2</v>
      </c>
      <c r="D19" s="14">
        <v>-3.5427377459996507E-3</v>
      </c>
      <c r="E19" s="14">
        <v>6.1587771029672196E-3</v>
      </c>
      <c r="F19" s="14">
        <v>1.6484056659781334E-2</v>
      </c>
      <c r="G19" s="14">
        <v>1.9629475630356537E-3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-9.435592546515905E-3</v>
      </c>
      <c r="D20" s="14">
        <v>-2.8603168904288078E-3</v>
      </c>
      <c r="E20" s="14">
        <v>5.6253569148200415E-3</v>
      </c>
      <c r="F20" s="14">
        <v>1.4743063040262424E-2</v>
      </c>
      <c r="G20" s="14">
        <v>2.4893408754004774E-3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-8.3175608175975781E-3</v>
      </c>
      <c r="D21" s="14">
        <v>-2.3747202528096611E-3</v>
      </c>
      <c r="E21" s="14">
        <v>5.1041452468584061E-3</v>
      </c>
      <c r="F21" s="14">
        <v>1.3202462543885938E-2</v>
      </c>
      <c r="G21" s="14">
        <v>2.7922937612433929E-3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-7.4251559268492242E-3</v>
      </c>
      <c r="D22" s="14">
        <v>-2.0598440516951593E-3</v>
      </c>
      <c r="E22" s="14">
        <v>4.5939287612843773E-3</v>
      </c>
      <c r="F22" s="14">
        <v>1.1828854950283631E-2</v>
      </c>
      <c r="G22" s="14">
        <v>2.7996789115449878E-3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-6.6837916644916081E-3</v>
      </c>
      <c r="D23" s="14">
        <v>-1.8562562150509761E-3</v>
      </c>
      <c r="E23" s="14">
        <v>4.1078349669337842E-3</v>
      </c>
      <c r="F23" s="14">
        <v>1.0597194945403515E-2</v>
      </c>
      <c r="G23" s="14">
        <v>2.582762783601152E-3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-6.0347639559874718E-3</v>
      </c>
      <c r="D24" s="14">
        <v>-1.7070757413202775E-3</v>
      </c>
      <c r="E24" s="14">
        <v>3.6597371400077443E-3</v>
      </c>
      <c r="F24" s="14">
        <v>9.4898105835983688E-3</v>
      </c>
      <c r="G24" s="14">
        <v>2.2569535050618499E-3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-5.4432930446457872E-3</v>
      </c>
      <c r="D25" s="14">
        <v>-1.5743299797527706E-3</v>
      </c>
      <c r="E25" s="14">
        <v>3.2577267383028172E-3</v>
      </c>
      <c r="F25" s="14">
        <v>8.4940379328967662E-3</v>
      </c>
      <c r="G25" s="14">
        <v>1.9202696934950525E-3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-4.894863777485191E-3</v>
      </c>
      <c r="D26" s="14">
        <v>-1.4406837658800305E-3</v>
      </c>
      <c r="E26" s="14">
        <v>2.9030544740779856E-3</v>
      </c>
      <c r="F26" s="14">
        <v>7.5999129800068546E-3</v>
      </c>
      <c r="G26" s="14">
        <v>1.6297740648947778E-3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-4.3871503794100522E-3</v>
      </c>
      <c r="D27" s="14">
        <v>-1.3036289864822243E-3</v>
      </c>
      <c r="E27" s="14">
        <v>2.5920032419630653E-3</v>
      </c>
      <c r="F27" s="14">
        <v>6.7985942030228362E-3</v>
      </c>
      <c r="G27" s="14">
        <v>1.4037459817995087E-3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-3.9224358985470165E-3</v>
      </c>
      <c r="D28" s="14">
        <v>-1.1679627130561899E-3</v>
      </c>
      <c r="E28" s="14">
        <v>2.3185321611768569E-3</v>
      </c>
      <c r="F28" s="14">
        <v>6.0816040805757258E-3</v>
      </c>
      <c r="G28" s="14">
        <v>1.2354017672055509E-3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-3.5027078772593427E-3</v>
      </c>
      <c r="D29" s="14">
        <v>-1.0398897427640063E-3</v>
      </c>
      <c r="E29" s="14">
        <v>2.0764150364786433E-3</v>
      </c>
      <c r="F29" s="14">
        <v>5.4406696364751508E-3</v>
      </c>
      <c r="G29" s="14">
        <v>1.1076470449879134E-3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-3.1276017142969192E-3</v>
      </c>
      <c r="D30" s="14">
        <v>-9.2380774427972196E-4</v>
      </c>
      <c r="E30" s="14">
        <v>1.8604276946077795E-3</v>
      </c>
      <c r="F30" s="14">
        <v>4.867866672207212E-3</v>
      </c>
      <c r="G30" s="14">
        <v>1.0035187864783962E-3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-2.7943504455891994E-3</v>
      </c>
      <c r="D31" s="14">
        <v>-8.2141448112747826E-4</v>
      </c>
      <c r="E31" s="14">
        <v>1.6666884578103618E-3</v>
      </c>
      <c r="F31" s="14">
        <v>4.3558313684070888E-3</v>
      </c>
      <c r="G31" s="14">
        <v>9.1116965961507803E-4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-2.4986887038085095E-3</v>
      </c>
      <c r="D32" s="14">
        <v>-7.3219827839017038E-4</v>
      </c>
      <c r="E32" s="14">
        <v>1.4924669117336259E-3</v>
      </c>
      <c r="F32" s="14">
        <v>3.8979087001953343E-3</v>
      </c>
      <c r="G32" s="14">
        <v>8.2463115243720895E-4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-2.2359032569800865E-3</v>
      </c>
      <c r="D33" s="14">
        <v>-6.5443892989610144E-4</v>
      </c>
      <c r="E33" s="14">
        <v>1.3358056302616936E-3</v>
      </c>
      <c r="F33" s="14">
        <v>3.488197413487105E-3</v>
      </c>
      <c r="G33" s="14">
        <v>7.423026081483827E-4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-2.0015953981343117E-3</v>
      </c>
      <c r="D34" s="14">
        <v>-5.860937563372348E-4</v>
      </c>
      <c r="E34" s="14">
        <v>1.1951425511734178E-3</v>
      </c>
      <c r="F34" s="14">
        <v>3.1215112082029137E-3</v>
      </c>
      <c r="G34" s="14">
        <v>6.6486151989891037E-4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-1.7920505460024378E-3</v>
      </c>
      <c r="D35" s="14">
        <v>-5.2539060765624795E-4</v>
      </c>
      <c r="E35" s="14">
        <v>1.069095267948341E-3</v>
      </c>
      <c r="F35" s="14">
        <v>2.7932900447755903E-3</v>
      </c>
      <c r="G35" s="14">
        <v>5.9353963293863805E-4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-1.6042805702593257E-3</v>
      </c>
      <c r="D36" s="14">
        <v>-4.7098626016095301E-4</v>
      </c>
      <c r="E36" s="14">
        <v>9.5629965589733978E-4</v>
      </c>
      <c r="F36" s="14">
        <v>2.4995051773313028E-3</v>
      </c>
      <c r="G36" s="14">
        <v>5.2919259009915232E-4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-1.4359030109698631E-3</v>
      </c>
      <c r="D37" s="14">
        <v>-4.2204798887020517E-4</v>
      </c>
      <c r="E37" s="14">
        <v>8.5548108341671457E-4</v>
      </c>
      <c r="F37" s="14">
        <v>2.2365653923731659E-3</v>
      </c>
      <c r="G37" s="14">
        <v>4.7193002192702645E-4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-1.2849422493525018E-3</v>
      </c>
      <c r="D38" s="14">
        <v>-3.7792670331875827E-4</v>
      </c>
      <c r="E38" s="14">
        <v>7.653093303228312E-4</v>
      </c>
      <c r="F38" s="14">
        <v>2.0012611037608929E-3</v>
      </c>
      <c r="G38" s="14">
        <v>4.2134639131760534E-4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-1.1497073422508577E-3</v>
      </c>
      <c r="D39" s="14">
        <v>-3.3837831678368475E-4</v>
      </c>
      <c r="E39" s="14">
        <v>6.8474758386722538E-4</v>
      </c>
      <c r="F39" s="14">
        <v>1.7906935559118807E-3</v>
      </c>
      <c r="G39" s="14">
        <v>3.765563116678409E-4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-1.0286326307263468E-3</v>
      </c>
      <c r="D40" s="14">
        <v>-3.0278535201754713E-4</v>
      </c>
      <c r="E40" s="14">
        <v>6.1248561290667167E-4</v>
      </c>
      <c r="F40" s="14">
        <v>1.602280454198232E-3</v>
      </c>
      <c r="G40" s="14">
        <v>3.3687261078338263E-4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-9.2034393987272523E-4</v>
      </c>
      <c r="D41" s="14">
        <v>-2.7136445633511652E-4</v>
      </c>
      <c r="E41" s="14">
        <v>5.4803797013354568E-4</v>
      </c>
      <c r="F41" s="14">
        <v>1.4336524122502306E-3</v>
      </c>
      <c r="G41" s="14">
        <v>3.0117005491540162E-4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-8.2343685881170392E-4</v>
      </c>
      <c r="D42" s="14">
        <v>-2.4281585584335272E-4</v>
      </c>
      <c r="E42" s="14">
        <v>4.8969798423050491E-4</v>
      </c>
      <c r="F42" s="14">
        <v>1.2827702681218087E-3</v>
      </c>
      <c r="G42" s="14">
        <v>2.6942454600807153E-4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-7.3686985045354561E-4</v>
      </c>
      <c r="D43" s="14">
        <v>-2.1869308050348599E-4</v>
      </c>
      <c r="E43" s="14">
        <v>4.3830690805085235E-4</v>
      </c>
      <c r="F43" s="14">
        <v>1.1476385667455325E-3</v>
      </c>
      <c r="G43" s="14">
        <v>2.399487163025736E-4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-6.5924334033149021E-4</v>
      </c>
      <c r="D44" s="14">
        <v>-1.9532202833961269E-4</v>
      </c>
      <c r="E44" s="14">
        <v>3.9018398704628802E-4</v>
      </c>
      <c r="F44" s="14">
        <v>1.0267721131878692E-3</v>
      </c>
      <c r="G44" s="14">
        <v>2.1446637430750249E-4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-5.9014980140648674E-4</v>
      </c>
      <c r="D45" s="14">
        <v>-1.7890364840906958E-4</v>
      </c>
      <c r="E45" s="14">
        <v>3.5021608290159746E-4</v>
      </c>
      <c r="F45" s="14">
        <v>9.1826129464414488E-4</v>
      </c>
      <c r="G45" s="14">
        <v>1.8852589363407967E-4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-5.2765553701073257E-4</v>
      </c>
      <c r="D46" s="14">
        <v>-1.5748217026267033E-4</v>
      </c>
      <c r="E46" s="14">
        <v>3.0743488284614876E-4</v>
      </c>
      <c r="F46" s="14">
        <v>8.214443828025317E-4</v>
      </c>
      <c r="G46" s="14">
        <v>1.691787936858403E-4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-4.7296461077866975E-4</v>
      </c>
      <c r="D47" s="14">
        <v>-1.5317128720462677E-4</v>
      </c>
      <c r="E47" s="14">
        <v>2.8038414705819044E-4</v>
      </c>
      <c r="F47" s="14">
        <v>7.3372897250188751E-4</v>
      </c>
      <c r="G47" s="14">
        <v>1.4194018471920254E-4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-4.2171020358262358E-4</v>
      </c>
      <c r="D48" s="14">
        <v>-1.2506522772462458E-4</v>
      </c>
      <c r="E48" s="14">
        <v>2.3262082262732805E-4</v>
      </c>
      <c r="F48" s="14">
        <v>6.5643749448150159E-4</v>
      </c>
      <c r="G48" s="14">
        <v>1.3212218743541867E-4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-3.8012445737339195E-4</v>
      </c>
      <c r="D49" s="14">
        <v>-1.499999852858255E-4</v>
      </c>
      <c r="E49" s="14">
        <v>2.2981968886243324E-4</v>
      </c>
      <c r="F49" s="14">
        <v>5.8385812130244208E-4</v>
      </c>
      <c r="G49" s="14">
        <v>9.0557656257202816E-5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-3.3492134997303847E-4</v>
      </c>
      <c r="D50" s="14">
        <v>-8.6401394565675449E-5</v>
      </c>
      <c r="E50" s="14">
        <v>1.4730424846073578E-4</v>
      </c>
      <c r="F50" s="14">
        <v>5.2353476487431133E-4</v>
      </c>
      <c r="G50" s="14">
        <v>1.0601137067029987E-4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-3.0930600785307688E-4</v>
      </c>
      <c r="D51" s="14">
        <v>-1.999957967130827E-4</v>
      </c>
      <c r="E51" s="14">
        <v>2.1399211138816254E-4</v>
      </c>
      <c r="F51" s="14">
        <v>4.5841701433144578E-4</v>
      </c>
      <c r="G51" s="14">
        <v>9.6568751481828938E-6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66F2-D36F-442D-97CC-335941099AE7}">
  <sheetPr codeName="Sheet8"/>
  <dimension ref="A1:J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5"/>
    <col min="2" max="2" width="4.75" style="4" bestFit="1" customWidth="1"/>
    <col min="3" max="7" width="8.6640625" style="14"/>
    <col min="8" max="10" width="8.6640625" style="17"/>
  </cols>
  <sheetData>
    <row r="1" spans="1:10" s="1" customFormat="1" ht="33" x14ac:dyDescent="0.55000000000000004">
      <c r="A1" s="3" t="s">
        <v>15</v>
      </c>
      <c r="B1" s="3" t="s">
        <v>0</v>
      </c>
      <c r="C1" s="13" t="s">
        <v>10</v>
      </c>
      <c r="D1" s="13" t="s">
        <v>11</v>
      </c>
      <c r="E1" s="13" t="s">
        <v>12</v>
      </c>
      <c r="F1" s="13" t="s">
        <v>13</v>
      </c>
      <c r="G1" s="13" t="s">
        <v>14</v>
      </c>
      <c r="H1" s="15" t="s">
        <v>16</v>
      </c>
      <c r="I1" s="15" t="s">
        <v>17</v>
      </c>
      <c r="J1" s="15" t="s">
        <v>18</v>
      </c>
    </row>
    <row r="2" spans="1:10" x14ac:dyDescent="0.55000000000000004">
      <c r="A2" s="5">
        <v>-1</v>
      </c>
      <c r="B2" s="4">
        <v>0</v>
      </c>
      <c r="C2" s="14">
        <v>1.4598756488026017E-3</v>
      </c>
      <c r="D2" s="14">
        <v>-0.71563858445062778</v>
      </c>
      <c r="E2" s="14">
        <v>-0.21285603293610156</v>
      </c>
      <c r="F2" s="14">
        <v>-6.4407472600556487E-2</v>
      </c>
      <c r="G2" s="14">
        <v>-0.25</v>
      </c>
      <c r="H2" s="16">
        <v>2</v>
      </c>
      <c r="I2" s="16">
        <v>0.5</v>
      </c>
      <c r="J2" s="16">
        <v>-200</v>
      </c>
    </row>
    <row r="3" spans="1:10" ht="18" customHeight="1" x14ac:dyDescent="0.55000000000000004">
      <c r="A3" s="5">
        <f>A2+0.25</f>
        <v>-0.75</v>
      </c>
      <c r="B3" s="4">
        <f>B2</f>
        <v>0</v>
      </c>
      <c r="C3" s="14">
        <v>1.7861341185779887E-2</v>
      </c>
      <c r="D3" s="14">
        <v>-0.51105890260768683</v>
      </c>
      <c r="E3" s="14">
        <v>-0.24124074610718441</v>
      </c>
      <c r="F3" s="14">
        <v>-0.10460610130119823</v>
      </c>
      <c r="G3" s="14">
        <v>-0.25</v>
      </c>
      <c r="H3" s="16">
        <f>H2</f>
        <v>2</v>
      </c>
      <c r="I3" s="16">
        <f>I2</f>
        <v>0.5</v>
      </c>
      <c r="J3" s="16">
        <v>-200</v>
      </c>
    </row>
    <row r="4" spans="1:10" x14ac:dyDescent="0.55000000000000004">
      <c r="A4" s="5">
        <f t="shared" ref="A4:A67" si="0">A3+0.25</f>
        <v>-0.5</v>
      </c>
      <c r="B4" s="4">
        <f t="shared" ref="B4:B67" si="1">B3</f>
        <v>0</v>
      </c>
      <c r="C4" s="14">
        <v>5.1360314363167139E-2</v>
      </c>
      <c r="D4" s="14">
        <v>-0.25444014181812497</v>
      </c>
      <c r="E4" s="14">
        <v>-0.15465694564062177</v>
      </c>
      <c r="F4" s="14">
        <v>-0.11809116494772165</v>
      </c>
      <c r="G4" s="14">
        <v>-0.24999999999999997</v>
      </c>
      <c r="H4" s="16">
        <f t="shared" ref="H4:I19" si="2">H3</f>
        <v>2</v>
      </c>
      <c r="I4" s="16">
        <f t="shared" si="2"/>
        <v>0.5</v>
      </c>
      <c r="J4" s="16">
        <v>-200</v>
      </c>
    </row>
    <row r="5" spans="1:10" x14ac:dyDescent="0.55000000000000004">
      <c r="A5" s="5">
        <f t="shared" si="0"/>
        <v>-0.25</v>
      </c>
      <c r="B5" s="4">
        <f t="shared" si="1"/>
        <v>0</v>
      </c>
      <c r="C5" s="14">
        <v>9.3518569511168007E-2</v>
      </c>
      <c r="D5" s="14">
        <v>-7.8394634658821932E-2</v>
      </c>
      <c r="E5" s="14">
        <v>-8.3186460946544402E-2</v>
      </c>
      <c r="F5" s="14">
        <v>-0.11451847722172068</v>
      </c>
      <c r="G5" s="14">
        <v>-0.2268418585151023</v>
      </c>
      <c r="H5" s="16">
        <f t="shared" si="2"/>
        <v>2</v>
      </c>
      <c r="I5" s="16">
        <f t="shared" si="2"/>
        <v>0.5</v>
      </c>
      <c r="J5" s="16">
        <v>-200</v>
      </c>
    </row>
    <row r="6" spans="1:10" x14ac:dyDescent="0.55000000000000004">
      <c r="A6" s="5">
        <f t="shared" si="0"/>
        <v>0</v>
      </c>
      <c r="B6" s="4">
        <f t="shared" si="1"/>
        <v>0</v>
      </c>
      <c r="C6" s="14">
        <v>0.1115609894829336</v>
      </c>
      <c r="D6" s="14">
        <v>1.4818920362573051E-2</v>
      </c>
      <c r="E6" s="14">
        <v>-4.1025129886170006E-2</v>
      </c>
      <c r="F6" s="14">
        <v>-0.10287811143913424</v>
      </c>
      <c r="G6" s="14">
        <v>-5.0850315248111025E-2</v>
      </c>
      <c r="H6" s="16">
        <f t="shared" si="2"/>
        <v>2</v>
      </c>
      <c r="I6" s="16">
        <f t="shared" si="2"/>
        <v>0.5</v>
      </c>
      <c r="J6" s="16">
        <v>100</v>
      </c>
    </row>
    <row r="7" spans="1:10" x14ac:dyDescent="0.55000000000000004">
      <c r="A7" s="5">
        <f t="shared" si="0"/>
        <v>0.25</v>
      </c>
      <c r="B7" s="4">
        <f t="shared" si="1"/>
        <v>0</v>
      </c>
      <c r="C7" s="14">
        <v>0.10473049257302749</v>
      </c>
      <c r="D7" s="14">
        <v>4.8926350992242934E-2</v>
      </c>
      <c r="E7" s="14">
        <v>-2.1883274642949223E-2</v>
      </c>
      <c r="F7" s="14">
        <v>-8.9215709820310324E-2</v>
      </c>
      <c r="G7" s="14">
        <v>4.5476565763423973E-2</v>
      </c>
      <c r="H7" s="16">
        <f t="shared" si="2"/>
        <v>2</v>
      </c>
      <c r="I7" s="16">
        <f t="shared" si="2"/>
        <v>0.5</v>
      </c>
      <c r="J7" s="16">
        <v>-200</v>
      </c>
    </row>
    <row r="8" spans="1:10" x14ac:dyDescent="0.55000000000000004">
      <c r="A8" s="5">
        <f t="shared" si="0"/>
        <v>0.5</v>
      </c>
      <c r="B8" s="4">
        <f t="shared" si="1"/>
        <v>0</v>
      </c>
      <c r="C8" s="14">
        <v>8.4102284271966338E-2</v>
      </c>
      <c r="D8" s="14">
        <v>4.9199396426241312E-2</v>
      </c>
      <c r="E8" s="14">
        <v>-1.6562155124710307E-2</v>
      </c>
      <c r="F8" s="14">
        <v>-7.6758350258120681E-2</v>
      </c>
      <c r="G8" s="14">
        <v>7.1874655029353265E-2</v>
      </c>
      <c r="H8" s="16">
        <f t="shared" si="2"/>
        <v>2</v>
      </c>
      <c r="I8" s="16">
        <f t="shared" si="2"/>
        <v>0.5</v>
      </c>
      <c r="J8" s="16">
        <v>-200</v>
      </c>
    </row>
    <row r="9" spans="1:10" x14ac:dyDescent="0.55000000000000004">
      <c r="A9" s="5">
        <f t="shared" si="0"/>
        <v>0.75</v>
      </c>
      <c r="B9" s="4">
        <f t="shared" si="1"/>
        <v>0</v>
      </c>
      <c r="C9" s="14">
        <v>6.1022145412915077E-2</v>
      </c>
      <c r="D9" s="14">
        <v>3.5471554462323612E-2</v>
      </c>
      <c r="E9" s="14">
        <v>-1.7469573159282832E-2</v>
      </c>
      <c r="F9" s="14">
        <v>-6.6657658833280689E-2</v>
      </c>
      <c r="G9" s="14">
        <v>5.6601710351352842E-2</v>
      </c>
      <c r="H9" s="16">
        <f t="shared" si="2"/>
        <v>2</v>
      </c>
      <c r="I9" s="16">
        <f t="shared" si="2"/>
        <v>0.5</v>
      </c>
      <c r="J9" s="16">
        <v>-200</v>
      </c>
    </row>
    <row r="10" spans="1:10" x14ac:dyDescent="0.55000000000000004">
      <c r="A10" s="5">
        <f t="shared" si="0"/>
        <v>1</v>
      </c>
      <c r="B10" s="4">
        <f t="shared" si="1"/>
        <v>0</v>
      </c>
      <c r="C10" s="14">
        <v>4.2456734282100519E-2</v>
      </c>
      <c r="D10" s="14">
        <v>2.0228720801143539E-2</v>
      </c>
      <c r="E10" s="14">
        <v>-1.9708396707581358E-2</v>
      </c>
      <c r="F10" s="14">
        <v>-5.8837884666182512E-2</v>
      </c>
      <c r="G10" s="14">
        <v>2.6888113093565327E-2</v>
      </c>
      <c r="H10" s="16">
        <f t="shared" si="2"/>
        <v>2</v>
      </c>
      <c r="I10" s="16">
        <f t="shared" si="2"/>
        <v>0.5</v>
      </c>
      <c r="J10" s="16">
        <v>-200</v>
      </c>
    </row>
    <row r="11" spans="1:10" x14ac:dyDescent="0.55000000000000004">
      <c r="A11" s="5">
        <f t="shared" si="0"/>
        <v>1.25</v>
      </c>
      <c r="B11" s="4">
        <f t="shared" si="1"/>
        <v>0</v>
      </c>
      <c r="C11" s="14">
        <v>3.0653110619294634E-2</v>
      </c>
      <c r="D11" s="14">
        <v>9.2844303176405248E-3</v>
      </c>
      <c r="E11" s="14">
        <v>-2.089765091836044E-2</v>
      </c>
      <c r="F11" s="14">
        <v>-5.2706876317638443E-2</v>
      </c>
      <c r="G11" s="14">
        <v>4.027598535255323E-4</v>
      </c>
      <c r="H11" s="16">
        <f t="shared" si="2"/>
        <v>2</v>
      </c>
      <c r="I11" s="16">
        <f t="shared" si="2"/>
        <v>0.5</v>
      </c>
      <c r="J11" s="16">
        <v>-200</v>
      </c>
    </row>
    <row r="12" spans="1:10" x14ac:dyDescent="0.55000000000000004">
      <c r="A12" s="5">
        <f t="shared" si="0"/>
        <v>1.5</v>
      </c>
      <c r="B12" s="4">
        <f t="shared" si="1"/>
        <v>0</v>
      </c>
      <c r="C12" s="14">
        <v>2.4715628442914861E-2</v>
      </c>
      <c r="D12" s="14">
        <v>3.7797454123845017E-3</v>
      </c>
      <c r="E12" s="14">
        <v>-2.0447632574274545E-2</v>
      </c>
      <c r="F12" s="14">
        <v>-4.7623080361936375E-2</v>
      </c>
      <c r="G12" s="14">
        <v>-1.5535375041597674E-2</v>
      </c>
      <c r="H12" s="16">
        <f t="shared" si="2"/>
        <v>2</v>
      </c>
      <c r="I12" s="16">
        <f t="shared" si="2"/>
        <v>0.5</v>
      </c>
      <c r="J12" s="16">
        <v>-200</v>
      </c>
    </row>
    <row r="13" spans="1:10" x14ac:dyDescent="0.55000000000000004">
      <c r="A13" s="5">
        <f t="shared" si="0"/>
        <v>1.75</v>
      </c>
      <c r="B13" s="4">
        <f t="shared" si="1"/>
        <v>0</v>
      </c>
      <c r="C13" s="14">
        <v>2.2468189732663169E-2</v>
      </c>
      <c r="D13" s="14">
        <v>2.4204892239511056E-3</v>
      </c>
      <c r="E13" s="14">
        <v>-1.8730446237205867E-2</v>
      </c>
      <c r="F13" s="14">
        <v>-4.3119159099206501E-2</v>
      </c>
      <c r="G13" s="14">
        <v>-2.0919187902279156E-2</v>
      </c>
      <c r="H13" s="16">
        <f t="shared" si="2"/>
        <v>2</v>
      </c>
      <c r="I13" s="16">
        <f t="shared" si="2"/>
        <v>0.5</v>
      </c>
      <c r="J13" s="16">
        <v>-200</v>
      </c>
    </row>
    <row r="14" spans="1:10" x14ac:dyDescent="0.55000000000000004">
      <c r="A14" s="5">
        <f t="shared" si="0"/>
        <v>2</v>
      </c>
      <c r="B14" s="4">
        <f t="shared" si="1"/>
        <v>0</v>
      </c>
      <c r="C14" s="14">
        <v>2.1795658165429929E-2</v>
      </c>
      <c r="D14" s="14">
        <v>3.2345673177331851E-3</v>
      </c>
      <c r="E14" s="14">
        <v>-1.6417547681918766E-2</v>
      </c>
      <c r="F14" s="14">
        <v>-3.8947323721681928E-2</v>
      </c>
      <c r="G14" s="14">
        <v>-1.9219468693437814E-2</v>
      </c>
      <c r="H14" s="16">
        <f t="shared" si="2"/>
        <v>2</v>
      </c>
      <c r="I14" s="16">
        <f t="shared" si="2"/>
        <v>0.5</v>
      </c>
      <c r="J14" s="16">
        <v>-200</v>
      </c>
    </row>
    <row r="15" spans="1:10" x14ac:dyDescent="0.55000000000000004">
      <c r="A15" s="5">
        <f t="shared" si="0"/>
        <v>2.25</v>
      </c>
      <c r="B15" s="4">
        <f t="shared" si="1"/>
        <v>0</v>
      </c>
      <c r="C15" s="14">
        <v>2.1279116974045467E-2</v>
      </c>
      <c r="D15" s="14">
        <v>4.589518376937776E-3</v>
      </c>
      <c r="E15" s="14">
        <v>-1.4086223685584039E-2</v>
      </c>
      <c r="F15" s="14">
        <v>-3.5029007932806153E-2</v>
      </c>
      <c r="G15" s="14">
        <v>-1.4428144015164098E-2</v>
      </c>
      <c r="H15" s="16">
        <f t="shared" si="2"/>
        <v>2</v>
      </c>
      <c r="I15" s="16">
        <f t="shared" si="2"/>
        <v>0.5</v>
      </c>
      <c r="J15" s="16">
        <v>-200</v>
      </c>
    </row>
    <row r="16" spans="1:10" x14ac:dyDescent="0.55000000000000004">
      <c r="A16" s="5">
        <f t="shared" si="0"/>
        <v>2.5</v>
      </c>
      <c r="B16" s="4">
        <f t="shared" si="1"/>
        <v>0</v>
      </c>
      <c r="C16" s="14">
        <v>2.0279109228878142E-2</v>
      </c>
      <c r="D16" s="14">
        <v>5.5516351743219701E-3</v>
      </c>
      <c r="E16" s="14">
        <v>-1.2070800720401703E-2</v>
      </c>
      <c r="F16" s="14">
        <v>-3.1376750053164627E-2</v>
      </c>
      <c r="G16" s="14">
        <v>-9.4820954799833563E-3</v>
      </c>
      <c r="H16" s="16">
        <f t="shared" si="2"/>
        <v>2</v>
      </c>
      <c r="I16" s="16">
        <f t="shared" si="2"/>
        <v>0.5</v>
      </c>
      <c r="J16" s="16">
        <v>-200</v>
      </c>
    </row>
    <row r="17" spans="1:10" x14ac:dyDescent="0.55000000000000004">
      <c r="A17" s="5">
        <f t="shared" si="0"/>
        <v>2.75</v>
      </c>
      <c r="B17" s="4">
        <f t="shared" si="1"/>
        <v>0</v>
      </c>
      <c r="C17" s="14">
        <v>1.8725146528619441E-2</v>
      </c>
      <c r="D17" s="14">
        <v>5.8243612531310917E-3</v>
      </c>
      <c r="E17" s="14">
        <v>-1.0474186979302568E-2</v>
      </c>
      <c r="F17" s="14">
        <v>-2.8028650035598013E-2</v>
      </c>
      <c r="G17" s="14">
        <v>-5.8566956413694093E-3</v>
      </c>
      <c r="H17" s="16">
        <f t="shared" si="2"/>
        <v>2</v>
      </c>
      <c r="I17" s="16">
        <f t="shared" si="2"/>
        <v>0.5</v>
      </c>
      <c r="J17" s="16">
        <v>-200</v>
      </c>
    </row>
    <row r="18" spans="1:10" x14ac:dyDescent="0.55000000000000004">
      <c r="A18" s="5">
        <f t="shared" si="0"/>
        <v>3</v>
      </c>
      <c r="B18" s="4">
        <f t="shared" si="1"/>
        <v>0</v>
      </c>
      <c r="C18" s="14">
        <v>1.6832221187794188E-2</v>
      </c>
      <c r="D18" s="14">
        <v>5.5099373171572643E-3</v>
      </c>
      <c r="E18" s="14">
        <v>-9.2502145227420316E-3</v>
      </c>
      <c r="F18" s="14">
        <v>-2.5010177173850037E-2</v>
      </c>
      <c r="G18" s="14">
        <v>-3.8482276147504598E-3</v>
      </c>
      <c r="H18" s="16">
        <f t="shared" si="2"/>
        <v>2</v>
      </c>
      <c r="I18" s="16">
        <f t="shared" si="2"/>
        <v>0.5</v>
      </c>
      <c r="J18" s="16">
        <v>-200</v>
      </c>
    </row>
    <row r="19" spans="1:10" x14ac:dyDescent="0.55000000000000004">
      <c r="A19" s="5">
        <f t="shared" si="0"/>
        <v>3.25</v>
      </c>
      <c r="B19" s="4">
        <f t="shared" si="1"/>
        <v>0</v>
      </c>
      <c r="C19" s="14">
        <v>1.4874084275922243E-2</v>
      </c>
      <c r="D19" s="14">
        <v>4.8656688588716553E-3</v>
      </c>
      <c r="E19" s="14">
        <v>-8.2922183279606609E-3</v>
      </c>
      <c r="F19" s="14">
        <v>-2.2321351030905087E-2</v>
      </c>
      <c r="G19" s="14">
        <v>-3.0923396303756314E-3</v>
      </c>
      <c r="H19" s="16">
        <f t="shared" si="2"/>
        <v>2</v>
      </c>
      <c r="I19" s="16">
        <f t="shared" si="2"/>
        <v>0.5</v>
      </c>
      <c r="J19" s="16">
        <v>-200</v>
      </c>
    </row>
    <row r="20" spans="1:10" x14ac:dyDescent="0.55000000000000004">
      <c r="A20" s="5">
        <f t="shared" si="0"/>
        <v>3.5</v>
      </c>
      <c r="B20" s="4">
        <f t="shared" si="1"/>
        <v>0</v>
      </c>
      <c r="C20" s="14">
        <v>1.3056994963782494E-2</v>
      </c>
      <c r="D20" s="14">
        <v>4.1373418471302228E-3</v>
      </c>
      <c r="E20" s="14">
        <v>-7.4954915107227687E-3</v>
      </c>
      <c r="F20" s="14">
        <v>-1.994006867188191E-2</v>
      </c>
      <c r="G20" s="14">
        <v>-3.0262054592150845E-3</v>
      </c>
      <c r="H20" s="16">
        <f t="shared" ref="H20:I35" si="3">H19</f>
        <v>2</v>
      </c>
      <c r="I20" s="16">
        <f t="shared" si="3"/>
        <v>0.5</v>
      </c>
      <c r="J20" s="16">
        <v>-200</v>
      </c>
    </row>
    <row r="21" spans="1:10" x14ac:dyDescent="0.55000000000000004">
      <c r="A21" s="5">
        <f t="shared" si="0"/>
        <v>3.75</v>
      </c>
      <c r="B21" s="4">
        <f t="shared" si="1"/>
        <v>0</v>
      </c>
      <c r="C21" s="14">
        <v>1.1482231629614079E-2</v>
      </c>
      <c r="D21" s="14">
        <v>3.4837066802973302E-3</v>
      </c>
      <c r="E21" s="14">
        <v>-6.7868540033195549E-3</v>
      </c>
      <c r="F21" s="14">
        <v>-1.7831928890185776E-2</v>
      </c>
      <c r="G21" s="14">
        <v>-3.1735091101565641E-3</v>
      </c>
      <c r="H21" s="16">
        <f t="shared" si="3"/>
        <v>2</v>
      </c>
      <c r="I21" s="16">
        <f t="shared" si="3"/>
        <v>0.5</v>
      </c>
      <c r="J21" s="16">
        <v>-200</v>
      </c>
    </row>
    <row r="22" spans="1:10" x14ac:dyDescent="0.55000000000000004">
      <c r="A22" s="5">
        <f t="shared" si="0"/>
        <v>4</v>
      </c>
      <c r="B22" s="4">
        <f t="shared" si="1"/>
        <v>0</v>
      </c>
      <c r="C22" s="14">
        <v>1.0162982093046842E-2</v>
      </c>
      <c r="D22" s="14">
        <v>2.9689423502322222E-3</v>
      </c>
      <c r="E22" s="14">
        <v>-6.1288663900075802E-3</v>
      </c>
      <c r="F22" s="14">
        <v>-1.5959850478548157E-2</v>
      </c>
      <c r="G22" s="14">
        <v>-3.2523102008152863E-3</v>
      </c>
      <c r="H22" s="16">
        <f t="shared" si="3"/>
        <v>2</v>
      </c>
      <c r="I22" s="16">
        <f t="shared" si="3"/>
        <v>0.5</v>
      </c>
      <c r="J22" s="16">
        <v>-200</v>
      </c>
    </row>
    <row r="23" spans="1:10" x14ac:dyDescent="0.55000000000000004">
      <c r="A23" s="5">
        <f t="shared" si="0"/>
        <v>4.25</v>
      </c>
      <c r="B23" s="4">
        <f t="shared" si="1"/>
        <v>0</v>
      </c>
      <c r="C23" s="14">
        <v>9.0615767848998448E-3</v>
      </c>
      <c r="D23" s="14">
        <v>2.5899610608483914E-3</v>
      </c>
      <c r="E23" s="14">
        <v>-5.5105453249841866E-3</v>
      </c>
      <c r="F23" s="14">
        <v>-1.429036744000247E-2</v>
      </c>
      <c r="G23" s="14">
        <v>-3.1634227419397799E-3</v>
      </c>
      <c r="H23" s="16">
        <f t="shared" si="3"/>
        <v>2</v>
      </c>
      <c r="I23" s="16">
        <f t="shared" si="3"/>
        <v>0.5</v>
      </c>
      <c r="J23" s="16">
        <v>-200</v>
      </c>
    </row>
    <row r="24" spans="1:10" x14ac:dyDescent="0.55000000000000004">
      <c r="A24" s="5">
        <f t="shared" si="0"/>
        <v>4.5</v>
      </c>
      <c r="B24" s="4">
        <f t="shared" si="1"/>
        <v>0</v>
      </c>
      <c r="C24" s="14">
        <v>8.1242480616431738E-3</v>
      </c>
      <c r="D24" s="14">
        <v>2.3114249818285883E-3</v>
      </c>
      <c r="E24" s="14">
        <v>-4.9346288707000415E-3</v>
      </c>
      <c r="F24" s="14">
        <v>-1.2796206122037674E-2</v>
      </c>
      <c r="G24" s="14">
        <v>-2.9256225557446692E-3</v>
      </c>
      <c r="H24" s="16">
        <f t="shared" si="3"/>
        <v>2</v>
      </c>
      <c r="I24" s="16">
        <f t="shared" si="3"/>
        <v>0.5</v>
      </c>
      <c r="J24" s="16">
        <v>-200</v>
      </c>
    </row>
    <row r="25" spans="1:10" x14ac:dyDescent="0.55000000000000004">
      <c r="A25" s="5">
        <f t="shared" si="0"/>
        <v>4.75</v>
      </c>
      <c r="B25" s="4">
        <f t="shared" si="1"/>
        <v>0</v>
      </c>
      <c r="C25" s="14">
        <v>7.3033577274832185E-3</v>
      </c>
      <c r="D25" s="14">
        <v>2.0930402290846822E-3</v>
      </c>
      <c r="E25" s="14">
        <v>-4.4073069714275683E-3</v>
      </c>
      <c r="F25" s="14">
        <v>-1.1456173950436663E-2</v>
      </c>
      <c r="G25" s="14">
        <v>-2.6065695623039057E-3</v>
      </c>
      <c r="H25" s="16">
        <f t="shared" si="3"/>
        <v>2</v>
      </c>
      <c r="I25" s="16">
        <f t="shared" si="3"/>
        <v>0.5</v>
      </c>
      <c r="J25" s="16">
        <v>-200</v>
      </c>
    </row>
    <row r="26" spans="1:10" x14ac:dyDescent="0.55000000000000004">
      <c r="A26" s="5">
        <f t="shared" si="0"/>
        <v>5</v>
      </c>
      <c r="B26" s="4">
        <f t="shared" si="1"/>
        <v>0</v>
      </c>
      <c r="C26" s="14">
        <v>6.5663814169887296E-3</v>
      </c>
      <c r="D26" s="14">
        <v>1.904284838418909E-3</v>
      </c>
      <c r="E26" s="14">
        <v>-3.9324374271426576E-3</v>
      </c>
      <c r="F26" s="14">
        <v>-1.0253732659439661E-2</v>
      </c>
      <c r="G26" s="14">
        <v>-2.2741318809234448E-3</v>
      </c>
      <c r="H26" s="16">
        <f t="shared" si="3"/>
        <v>2</v>
      </c>
      <c r="I26" s="16">
        <f t="shared" si="3"/>
        <v>0.5</v>
      </c>
      <c r="J26" s="16">
        <v>-200</v>
      </c>
    </row>
    <row r="27" spans="1:10" x14ac:dyDescent="0.55000000000000004">
      <c r="A27" s="5">
        <f t="shared" si="0"/>
        <v>5.25</v>
      </c>
      <c r="B27" s="4">
        <f t="shared" si="1"/>
        <v>0</v>
      </c>
      <c r="C27" s="14">
        <v>5.8956217404241371E-3</v>
      </c>
      <c r="D27" s="14">
        <v>1.7283504105856759E-3</v>
      </c>
      <c r="E27" s="14">
        <v>-3.5097553910587091E-3</v>
      </c>
      <c r="F27" s="14">
        <v>-9.1753451831373834E-3</v>
      </c>
      <c r="G27" s="14">
        <v>-1.9732416006464342E-3</v>
      </c>
      <c r="H27" s="16">
        <f t="shared" si="3"/>
        <v>2</v>
      </c>
      <c r="I27" s="16">
        <f t="shared" si="3"/>
        <v>0.5</v>
      </c>
      <c r="J27" s="16">
        <v>-200</v>
      </c>
    </row>
    <row r="28" spans="1:10" x14ac:dyDescent="0.55000000000000004">
      <c r="A28" s="5">
        <f t="shared" si="0"/>
        <v>5.5</v>
      </c>
      <c r="B28" s="4">
        <f t="shared" si="1"/>
        <v>0</v>
      </c>
      <c r="C28" s="14">
        <v>5.283561063017821E-3</v>
      </c>
      <c r="D28" s="14">
        <v>1.5596518392450138E-3</v>
      </c>
      <c r="E28" s="14">
        <v>-3.1355450170485809E-3</v>
      </c>
      <c r="F28" s="14">
        <v>-8.2091954511229678E-3</v>
      </c>
      <c r="G28" s="14">
        <v>-1.7224277122131928E-3</v>
      </c>
      <c r="H28" s="16">
        <f t="shared" si="3"/>
        <v>2</v>
      </c>
      <c r="I28" s="16">
        <f t="shared" si="3"/>
        <v>0.5</v>
      </c>
      <c r="J28" s="16">
        <v>-200</v>
      </c>
    </row>
    <row r="29" spans="1:10" x14ac:dyDescent="0.55000000000000004">
      <c r="A29" s="5">
        <f t="shared" si="0"/>
        <v>5.75</v>
      </c>
      <c r="B29" s="4">
        <f t="shared" si="1"/>
        <v>0</v>
      </c>
      <c r="C29" s="14">
        <v>4.7276153452674103E-3</v>
      </c>
      <c r="D29" s="14">
        <v>1.399074569636551E-3</v>
      </c>
      <c r="E29" s="14">
        <v>-2.8042478008074813E-3</v>
      </c>
      <c r="F29" s="14">
        <v>-7.3444511492546122E-3</v>
      </c>
      <c r="G29" s="14">
        <v>-1.5208390780371106E-3</v>
      </c>
      <c r="H29" s="16">
        <f t="shared" si="3"/>
        <v>2</v>
      </c>
      <c r="I29" s="16">
        <f t="shared" si="3"/>
        <v>0.5</v>
      </c>
      <c r="J29" s="16">
        <v>-200</v>
      </c>
    </row>
    <row r="30" spans="1:10" x14ac:dyDescent="0.55000000000000004">
      <c r="A30" s="5">
        <f t="shared" si="0"/>
        <v>6</v>
      </c>
      <c r="B30" s="4">
        <f t="shared" si="1"/>
        <v>0</v>
      </c>
      <c r="C30" s="14">
        <v>4.2262788085797275E-3</v>
      </c>
      <c r="D30" s="14">
        <v>1.2496774342558789E-3</v>
      </c>
      <c r="E30" s="14">
        <v>-2.5099740487099656E-3</v>
      </c>
      <c r="F30" s="14">
        <v>-6.5709795767386675E-3</v>
      </c>
      <c r="G30" s="14">
        <v>-1.3579741771043551E-3</v>
      </c>
      <c r="H30" s="16">
        <f t="shared" si="3"/>
        <v>2</v>
      </c>
      <c r="I30" s="16">
        <f t="shared" si="3"/>
        <v>0.5</v>
      </c>
      <c r="J30" s="16">
        <v>-200</v>
      </c>
    </row>
    <row r="31" spans="1:10" x14ac:dyDescent="0.55000000000000004">
      <c r="A31" s="5">
        <f t="shared" si="0"/>
        <v>6.25</v>
      </c>
      <c r="B31" s="4">
        <f t="shared" si="1"/>
        <v>0</v>
      </c>
      <c r="C31" s="14">
        <v>3.7771591071942036E-3</v>
      </c>
      <c r="D31" s="14">
        <v>1.1140080169181883E-3</v>
      </c>
      <c r="E31" s="14">
        <v>-2.2474663986113805E-3</v>
      </c>
      <c r="F31" s="14">
        <v>-5.8793306933095507E-3</v>
      </c>
      <c r="G31" s="14">
        <v>-1.2215246253673799E-3</v>
      </c>
      <c r="H31" s="16">
        <f t="shared" si="3"/>
        <v>2</v>
      </c>
      <c r="I31" s="16">
        <f t="shared" si="3"/>
        <v>0.5</v>
      </c>
      <c r="J31" s="16">
        <v>-200</v>
      </c>
    </row>
    <row r="32" spans="1:10" x14ac:dyDescent="0.55000000000000004">
      <c r="A32" s="5">
        <f t="shared" si="0"/>
        <v>6.5</v>
      </c>
      <c r="B32" s="4">
        <f t="shared" si="1"/>
        <v>0</v>
      </c>
      <c r="C32" s="14">
        <v>3.3765276289478424E-3</v>
      </c>
      <c r="D32" s="14">
        <v>9.9304113509351912E-4</v>
      </c>
      <c r="E32" s="14">
        <v>-2.0124653444882636E-3</v>
      </c>
      <c r="F32" s="14">
        <v>-5.2608172287532742E-3</v>
      </c>
      <c r="G32" s="14">
        <v>-1.1017692431067481E-3</v>
      </c>
      <c r="H32" s="16">
        <f t="shared" si="3"/>
        <v>2</v>
      </c>
      <c r="I32" s="16">
        <f t="shared" si="3"/>
        <v>0.5</v>
      </c>
      <c r="J32" s="16">
        <v>-200</v>
      </c>
    </row>
    <row r="33" spans="1:10" x14ac:dyDescent="0.55000000000000004">
      <c r="A33" s="5">
        <f t="shared" si="0"/>
        <v>6.75</v>
      </c>
      <c r="B33" s="4">
        <f t="shared" si="1"/>
        <v>0</v>
      </c>
      <c r="C33" s="14">
        <v>3.0197187977127338E-3</v>
      </c>
      <c r="D33" s="14">
        <v>8.8625044063312785E-4</v>
      </c>
      <c r="E33" s="14">
        <v>-1.8016765541309652E-3</v>
      </c>
      <c r="F33" s="14">
        <v>-4.7075811385084978E-3</v>
      </c>
      <c r="G33" s="14">
        <v>-9.9287601411608413E-4</v>
      </c>
      <c r="H33" s="16">
        <f t="shared" si="3"/>
        <v>2</v>
      </c>
      <c r="I33" s="16">
        <f t="shared" si="3"/>
        <v>0.5</v>
      </c>
      <c r="J33" s="16">
        <v>-200</v>
      </c>
    </row>
    <row r="34" spans="1:10" x14ac:dyDescent="0.55000000000000004">
      <c r="A34" s="5">
        <f t="shared" si="0"/>
        <v>7</v>
      </c>
      <c r="B34" s="4">
        <f t="shared" si="1"/>
        <v>0</v>
      </c>
      <c r="C34" s="14">
        <v>2.7017818677136738E-3</v>
      </c>
      <c r="D34" s="14">
        <v>7.9215256727383269E-4</v>
      </c>
      <c r="E34" s="14">
        <v>-1.6125142579144253E-3</v>
      </c>
      <c r="F34" s="14">
        <v>-4.2126051049880889E-3</v>
      </c>
      <c r="G34" s="14">
        <v>-8.9232572901385906E-4</v>
      </c>
      <c r="H34" s="16">
        <f t="shared" si="3"/>
        <v>2</v>
      </c>
      <c r="I34" s="16">
        <f t="shared" si="3"/>
        <v>0.5</v>
      </c>
      <c r="J34" s="16">
        <v>-200</v>
      </c>
    </row>
    <row r="35" spans="1:10" x14ac:dyDescent="0.55000000000000004">
      <c r="A35" s="5">
        <f t="shared" si="0"/>
        <v>7.25</v>
      </c>
      <c r="B35" s="4">
        <f t="shared" si="1"/>
        <v>0</v>
      </c>
      <c r="C35" s="14">
        <v>2.4180307908794681E-3</v>
      </c>
      <c r="D35" s="14">
        <v>7.0896662553190785E-4</v>
      </c>
      <c r="E35" s="14">
        <v>-1.4428737902038838E-3</v>
      </c>
      <c r="F35" s="14">
        <v>-3.7696636492412891E-3</v>
      </c>
      <c r="G35" s="14">
        <v>-7.9957701647237044E-4</v>
      </c>
      <c r="H35" s="16">
        <f t="shared" si="3"/>
        <v>2</v>
      </c>
      <c r="I35" s="16">
        <f t="shared" si="3"/>
        <v>0.5</v>
      </c>
      <c r="J35" s="16">
        <v>-200</v>
      </c>
    </row>
    <row r="36" spans="1:10" x14ac:dyDescent="0.55000000000000004">
      <c r="A36" s="5">
        <f t="shared" si="0"/>
        <v>7.5</v>
      </c>
      <c r="B36" s="4">
        <f t="shared" si="1"/>
        <v>0</v>
      </c>
      <c r="C36" s="14">
        <v>2.1643397898926647E-3</v>
      </c>
      <c r="D36" s="14">
        <v>6.3497632105012582E-4</v>
      </c>
      <c r="E36" s="14">
        <v>-1.2908665408912859E-3</v>
      </c>
      <c r="F36" s="14">
        <v>-3.3732460519150615E-3</v>
      </c>
      <c r="G36" s="14">
        <v>-7.1488331800278158E-4</v>
      </c>
      <c r="H36" s="16">
        <f t="shared" ref="H36:I51" si="4">H35</f>
        <v>2</v>
      </c>
      <c r="I36" s="16">
        <f t="shared" si="4"/>
        <v>0.5</v>
      </c>
      <c r="J36" s="16">
        <v>-200</v>
      </c>
    </row>
    <row r="37" spans="1:10" x14ac:dyDescent="0.55000000000000004">
      <c r="A37" s="5">
        <f t="shared" si="0"/>
        <v>7.75</v>
      </c>
      <c r="B37" s="4">
        <f t="shared" si="1"/>
        <v>0</v>
      </c>
      <c r="C37" s="14">
        <v>1.937230557975121E-3</v>
      </c>
      <c r="D37" s="14">
        <v>5.6887792851146874E-4</v>
      </c>
      <c r="E37" s="14">
        <v>-1.1548313263833113E-3</v>
      </c>
      <c r="F37" s="14">
        <v>-3.0184548936766742E-3</v>
      </c>
      <c r="G37" s="14">
        <v>-6.3840479420080481E-4</v>
      </c>
      <c r="H37" s="16">
        <f t="shared" si="4"/>
        <v>2</v>
      </c>
      <c r="I37" s="16">
        <f t="shared" si="4"/>
        <v>0.5</v>
      </c>
      <c r="J37" s="16">
        <v>-200</v>
      </c>
    </row>
    <row r="38" spans="1:10" x14ac:dyDescent="0.55000000000000004">
      <c r="A38" s="5">
        <f t="shared" si="0"/>
        <v>8</v>
      </c>
      <c r="B38" s="4">
        <f t="shared" si="1"/>
        <v>0</v>
      </c>
      <c r="C38" s="14">
        <v>1.7337783758262463E-3</v>
      </c>
      <c r="D38" s="14">
        <v>5.0954235045461973E-4</v>
      </c>
      <c r="E38" s="14">
        <v>-1.0330635412754746E-3</v>
      </c>
      <c r="F38" s="14">
        <v>-2.7009351417048577E-3</v>
      </c>
      <c r="G38" s="14">
        <v>-5.7003759812095675E-4</v>
      </c>
      <c r="H38" s="16">
        <f t="shared" si="4"/>
        <v>2</v>
      </c>
      <c r="I38" s="16">
        <f t="shared" si="4"/>
        <v>0.5</v>
      </c>
      <c r="J38" s="16">
        <v>-200</v>
      </c>
    </row>
    <row r="39" spans="1:10" x14ac:dyDescent="0.55000000000000004">
      <c r="A39" s="5">
        <f t="shared" si="0"/>
        <v>8.25</v>
      </c>
      <c r="B39" s="4">
        <f t="shared" si="1"/>
        <v>0</v>
      </c>
      <c r="C39" s="14">
        <v>1.5515288861948303E-3</v>
      </c>
      <c r="D39" s="14">
        <v>4.5643449185268491E-4</v>
      </c>
      <c r="E39" s="14">
        <v>-9.2424014180668467E-4</v>
      </c>
      <c r="F39" s="14">
        <v>-2.4167718746846791E-3</v>
      </c>
      <c r="G39" s="14">
        <v>-5.0909155538769865E-4</v>
      </c>
      <c r="H39" s="16">
        <f t="shared" si="4"/>
        <v>2</v>
      </c>
      <c r="I39" s="16">
        <f t="shared" si="4"/>
        <v>0.5</v>
      </c>
      <c r="J39" s="16">
        <v>-200</v>
      </c>
    </row>
    <row r="40" spans="1:10" x14ac:dyDescent="0.55000000000000004">
      <c r="A40" s="5">
        <f t="shared" si="0"/>
        <v>8.5</v>
      </c>
      <c r="B40" s="4">
        <f t="shared" si="1"/>
        <v>0</v>
      </c>
      <c r="C40" s="14">
        <v>1.3882938646177911E-3</v>
      </c>
      <c r="D40" s="14">
        <v>4.0860477684076361E-4</v>
      </c>
      <c r="E40" s="14">
        <v>-8.2663741022803629E-4</v>
      </c>
      <c r="F40" s="14">
        <v>-2.162487976047389E-3</v>
      </c>
      <c r="G40" s="14">
        <v>-4.5500909455670516E-4</v>
      </c>
      <c r="H40" s="16">
        <f t="shared" si="4"/>
        <v>2</v>
      </c>
      <c r="I40" s="16">
        <f t="shared" si="4"/>
        <v>0.5</v>
      </c>
      <c r="J40" s="16">
        <v>-200</v>
      </c>
    </row>
    <row r="41" spans="1:10" x14ac:dyDescent="0.55000000000000004">
      <c r="A41" s="5">
        <f t="shared" si="0"/>
        <v>8.75</v>
      </c>
      <c r="B41" s="4">
        <f t="shared" si="1"/>
        <v>0</v>
      </c>
      <c r="C41" s="14">
        <v>1.2422141984702465E-3</v>
      </c>
      <c r="D41" s="14">
        <v>3.6630978071997445E-4</v>
      </c>
      <c r="E41" s="14">
        <v>-7.396151881442453E-4</v>
      </c>
      <c r="F41" s="14">
        <v>-1.9348961779383264E-3</v>
      </c>
      <c r="G41" s="14">
        <v>-4.0645690916477241E-4</v>
      </c>
      <c r="H41" s="16">
        <f t="shared" si="4"/>
        <v>2</v>
      </c>
      <c r="I41" s="16">
        <f t="shared" si="4"/>
        <v>0.5</v>
      </c>
      <c r="J41" s="16">
        <v>-200</v>
      </c>
    </row>
    <row r="42" spans="1:10" x14ac:dyDescent="0.55000000000000004">
      <c r="A42" s="5">
        <f t="shared" si="0"/>
        <v>9</v>
      </c>
      <c r="B42" s="4">
        <f t="shared" si="1"/>
        <v>0</v>
      </c>
      <c r="C42" s="14">
        <v>1.1114251084615315E-3</v>
      </c>
      <c r="D42" s="14">
        <v>3.2780944284797864E-4</v>
      </c>
      <c r="E42" s="14">
        <v>-6.6086616122318766E-4</v>
      </c>
      <c r="F42" s="14">
        <v>-1.7312526720675589E-3</v>
      </c>
      <c r="G42" s="14">
        <v>-3.6343963987088714E-4</v>
      </c>
      <c r="H42" s="16">
        <f t="shared" si="4"/>
        <v>2</v>
      </c>
      <c r="I42" s="16">
        <f t="shared" si="4"/>
        <v>0.5</v>
      </c>
      <c r="J42" s="16">
        <v>-200</v>
      </c>
    </row>
    <row r="43" spans="1:10" x14ac:dyDescent="0.55000000000000004">
      <c r="A43" s="5">
        <f t="shared" si="0"/>
        <v>9.25</v>
      </c>
      <c r="B43" s="4">
        <f t="shared" si="1"/>
        <v>0</v>
      </c>
      <c r="C43" s="14">
        <v>9.9455833789269298E-4</v>
      </c>
      <c r="D43" s="14">
        <v>2.9523376903980926E-4</v>
      </c>
      <c r="E43" s="14">
        <v>-5.9151398538213147E-4</v>
      </c>
      <c r="F43" s="14">
        <v>-1.5488688923678956E-3</v>
      </c>
      <c r="G43" s="14">
        <v>-3.2363448142117777E-4</v>
      </c>
      <c r="H43" s="16">
        <f t="shared" si="4"/>
        <v>2</v>
      </c>
      <c r="I43" s="16">
        <f t="shared" si="4"/>
        <v>0.5</v>
      </c>
      <c r="J43" s="16">
        <v>-200</v>
      </c>
    </row>
    <row r="44" spans="1:10" x14ac:dyDescent="0.55000000000000004">
      <c r="A44" s="5">
        <f t="shared" si="0"/>
        <v>9.5</v>
      </c>
      <c r="B44" s="4">
        <f t="shared" si="1"/>
        <v>0</v>
      </c>
      <c r="C44" s="14">
        <v>8.8975348370589269E-4</v>
      </c>
      <c r="D44" s="14">
        <v>2.6365577798789574E-4</v>
      </c>
      <c r="E44" s="14">
        <v>-5.2657946009126392E-4</v>
      </c>
      <c r="F44" s="14">
        <v>-1.3857416720358744E-3</v>
      </c>
      <c r="G44" s="14">
        <v>-2.892978173645809E-4</v>
      </c>
      <c r="H44" s="16">
        <f t="shared" si="4"/>
        <v>2</v>
      </c>
      <c r="I44" s="16">
        <f t="shared" si="4"/>
        <v>0.5</v>
      </c>
      <c r="J44" s="16">
        <v>-200</v>
      </c>
    </row>
    <row r="45" spans="1:10" x14ac:dyDescent="0.55000000000000004">
      <c r="A45" s="5">
        <f t="shared" si="0"/>
        <v>9.75</v>
      </c>
      <c r="B45" s="4">
        <f t="shared" si="1"/>
        <v>0</v>
      </c>
      <c r="C45" s="14">
        <v>7.9647550966075906E-4</v>
      </c>
      <c r="D45" s="14">
        <v>2.4146492051439956E-4</v>
      </c>
      <c r="E45" s="14">
        <v>-4.7265020476774656E-4</v>
      </c>
      <c r="F45" s="14">
        <v>-1.2392930787063498E-3</v>
      </c>
      <c r="G45" s="14">
        <v>-2.5436264175067571E-4</v>
      </c>
      <c r="H45" s="16">
        <f t="shared" si="4"/>
        <v>2</v>
      </c>
      <c r="I45" s="16">
        <f t="shared" si="4"/>
        <v>0.5</v>
      </c>
      <c r="J45" s="16">
        <v>-200</v>
      </c>
    </row>
    <row r="46" spans="1:10" x14ac:dyDescent="0.55000000000000004">
      <c r="A46" s="5">
        <f t="shared" si="0"/>
        <v>10</v>
      </c>
      <c r="B46" s="4">
        <f t="shared" si="1"/>
        <v>0</v>
      </c>
      <c r="C46" s="14">
        <v>7.1211833106328375E-4</v>
      </c>
      <c r="D46" s="14">
        <v>2.1253407769896917E-4</v>
      </c>
      <c r="E46" s="14">
        <v>-4.1491979140851189E-4</v>
      </c>
      <c r="F46" s="14">
        <v>-1.1086286346298712E-3</v>
      </c>
      <c r="G46" s="14">
        <v>-2.2831124743486367E-4</v>
      </c>
      <c r="H46" s="16">
        <f t="shared" si="4"/>
        <v>2</v>
      </c>
      <c r="I46" s="16">
        <f t="shared" si="4"/>
        <v>0.5</v>
      </c>
      <c r="J46" s="16">
        <v>-200</v>
      </c>
    </row>
    <row r="47" spans="1:10" x14ac:dyDescent="0.55000000000000004">
      <c r="A47" s="5">
        <f t="shared" si="0"/>
        <v>10.25</v>
      </c>
      <c r="B47" s="4">
        <f t="shared" si="1"/>
        <v>0</v>
      </c>
      <c r="C47" s="14">
        <v>6.3830405849438004E-4</v>
      </c>
      <c r="D47" s="14">
        <v>2.0670833165313527E-4</v>
      </c>
      <c r="E47" s="14">
        <v>-3.7841494645787495E-4</v>
      </c>
      <c r="F47" s="14">
        <v>-9.9024830766440068E-4</v>
      </c>
      <c r="G47" s="14">
        <v>-1.9158293745325297E-4</v>
      </c>
      <c r="H47" s="16">
        <f t="shared" si="4"/>
        <v>2</v>
      </c>
      <c r="I47" s="16">
        <f t="shared" si="4"/>
        <v>0.5</v>
      </c>
      <c r="J47" s="16">
        <v>-200</v>
      </c>
    </row>
    <row r="48" spans="1:10" x14ac:dyDescent="0.55000000000000004">
      <c r="A48" s="5">
        <f t="shared" si="0"/>
        <v>10.5</v>
      </c>
      <c r="B48" s="4">
        <f t="shared" si="1"/>
        <v>0</v>
      </c>
      <c r="C48" s="14">
        <v>5.6913406420518663E-4</v>
      </c>
      <c r="D48" s="14">
        <v>1.6877660263944487E-4</v>
      </c>
      <c r="E48" s="14">
        <v>-3.139529060730407E-4</v>
      </c>
      <c r="F48" s="14">
        <v>-8.8593606573705451E-4</v>
      </c>
      <c r="G48" s="14">
        <v>-1.7834240208850901E-4</v>
      </c>
      <c r="H48" s="16">
        <f t="shared" si="4"/>
        <v>2</v>
      </c>
      <c r="I48" s="16">
        <f t="shared" si="4"/>
        <v>0.5</v>
      </c>
      <c r="J48" s="16">
        <v>-200</v>
      </c>
    </row>
    <row r="49" spans="1:10" x14ac:dyDescent="0.55000000000000004">
      <c r="A49" s="5">
        <f t="shared" si="0"/>
        <v>10.75</v>
      </c>
      <c r="B49" s="4">
        <f t="shared" si="1"/>
        <v>0</v>
      </c>
      <c r="C49" s="14">
        <v>5.1301486577016086E-4</v>
      </c>
      <c r="D49" s="14">
        <v>2.0243333865907975E-4</v>
      </c>
      <c r="E49" s="14">
        <v>-3.101710958375821E-4</v>
      </c>
      <c r="F49" s="14">
        <v>-7.8798281934140235E-4</v>
      </c>
      <c r="G49" s="14">
        <v>-1.2224193805720934E-4</v>
      </c>
      <c r="H49" s="16">
        <f t="shared" si="4"/>
        <v>2</v>
      </c>
      <c r="I49" s="16">
        <f t="shared" si="4"/>
        <v>0.5</v>
      </c>
      <c r="J49" s="16">
        <v>-200</v>
      </c>
    </row>
    <row r="50" spans="1:10" x14ac:dyDescent="0.55000000000000004">
      <c r="A50" s="5">
        <f t="shared" si="0"/>
        <v>11</v>
      </c>
      <c r="B50" s="4">
        <f t="shared" si="1"/>
        <v>0</v>
      </c>
      <c r="C50" s="14">
        <v>4.5201270425745331E-4</v>
      </c>
      <c r="D50" s="14">
        <v>1.1660431755945803E-4</v>
      </c>
      <c r="E50" s="14">
        <v>-1.9880541013106993E-4</v>
      </c>
      <c r="F50" s="14">
        <v>-7.0656997702032499E-4</v>
      </c>
      <c r="G50" s="14">
        <v>-1.4308891659863403E-4</v>
      </c>
      <c r="H50" s="16">
        <f t="shared" si="4"/>
        <v>2</v>
      </c>
      <c r="I50" s="16">
        <f t="shared" si="4"/>
        <v>0.5</v>
      </c>
      <c r="J50" s="16">
        <v>-200</v>
      </c>
    </row>
    <row r="51" spans="1:10" x14ac:dyDescent="0.55000000000000004">
      <c r="A51" s="5">
        <f t="shared" si="0"/>
        <v>11.25</v>
      </c>
      <c r="B51" s="4">
        <f t="shared" si="1"/>
        <v>0</v>
      </c>
      <c r="C51" s="14">
        <v>4.1744458408882093E-4</v>
      </c>
      <c r="D51" s="14">
        <v>2.6991630553317172E-4</v>
      </c>
      <c r="E51" s="14">
        <v>-2.8880743740439209E-4</v>
      </c>
      <c r="F51" s="14">
        <v>-6.1868621159051032E-4</v>
      </c>
      <c r="G51" s="14">
        <v>-1.3038494003519955E-5</v>
      </c>
      <c r="H51" s="16">
        <f t="shared" si="4"/>
        <v>2</v>
      </c>
      <c r="I51" s="16">
        <f t="shared" si="4"/>
        <v>0.5</v>
      </c>
      <c r="J51" s="16">
        <v>-200</v>
      </c>
    </row>
    <row r="52" spans="1:10" x14ac:dyDescent="0.55000000000000004">
      <c r="A52" s="5">
        <f t="shared" si="0"/>
        <v>11.5</v>
      </c>
      <c r="B52" s="4">
        <f t="shared" si="1"/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6">
        <f t="shared" ref="H52:I53" si="5">H51</f>
        <v>2</v>
      </c>
      <c r="I52" s="16">
        <f t="shared" si="5"/>
        <v>0.5</v>
      </c>
      <c r="J52" s="16">
        <v>-200</v>
      </c>
    </row>
    <row r="53" spans="1:10" hidden="1" x14ac:dyDescent="0.55000000000000004">
      <c r="A53" s="5">
        <f t="shared" si="0"/>
        <v>11.75</v>
      </c>
      <c r="B53" s="4">
        <f t="shared" si="1"/>
        <v>0</v>
      </c>
      <c r="C53" s="14">
        <v>0</v>
      </c>
      <c r="D53" s="14">
        <v>1.5</v>
      </c>
      <c r="E53" s="14">
        <v>1.5</v>
      </c>
      <c r="F53" s="14">
        <v>1.5</v>
      </c>
      <c r="G53" s="14">
        <v>0</v>
      </c>
      <c r="H53" s="16">
        <f t="shared" si="5"/>
        <v>2</v>
      </c>
      <c r="I53" s="16">
        <f t="shared" si="5"/>
        <v>0.5</v>
      </c>
      <c r="J53" s="16">
        <v>-200</v>
      </c>
    </row>
    <row r="54" spans="1:10" hidden="1" x14ac:dyDescent="0.55000000000000004">
      <c r="A54" s="5">
        <f t="shared" si="0"/>
        <v>12</v>
      </c>
      <c r="B54" s="4">
        <f t="shared" si="1"/>
        <v>0</v>
      </c>
      <c r="C54" s="14" t="e">
        <f>#REF!</f>
        <v>#REF!</v>
      </c>
      <c r="D54" s="14" t="e">
        <f>#REF!+1.5</f>
        <v>#REF!</v>
      </c>
      <c r="E54" s="14" t="e">
        <f>#REF!+1.5</f>
        <v>#REF!</v>
      </c>
      <c r="F54" s="14" t="e">
        <f>#REF!+1.5</f>
        <v>#REF!</v>
      </c>
      <c r="G54" s="14" t="e">
        <f>#REF!</f>
        <v>#REF!</v>
      </c>
    </row>
    <row r="55" spans="1:10" hidden="1" x14ac:dyDescent="0.55000000000000004">
      <c r="A55" s="5">
        <f t="shared" si="0"/>
        <v>12.25</v>
      </c>
      <c r="B55" s="4">
        <f t="shared" si="1"/>
        <v>0</v>
      </c>
      <c r="C55" s="14" t="e">
        <f>#REF!</f>
        <v>#REF!</v>
      </c>
      <c r="D55" s="14" t="e">
        <f>#REF!+1.5</f>
        <v>#REF!</v>
      </c>
      <c r="E55" s="14" t="e">
        <f>#REF!+1.5</f>
        <v>#REF!</v>
      </c>
      <c r="F55" s="14" t="e">
        <f>#REF!+1.5</f>
        <v>#REF!</v>
      </c>
      <c r="G55" s="14" t="e">
        <f>#REF!</f>
        <v>#REF!</v>
      </c>
    </row>
    <row r="56" spans="1:10" hidden="1" x14ac:dyDescent="0.55000000000000004">
      <c r="A56" s="5">
        <f t="shared" si="0"/>
        <v>12.5</v>
      </c>
      <c r="B56" s="4">
        <f t="shared" si="1"/>
        <v>0</v>
      </c>
      <c r="C56" s="14" t="e">
        <f>#REF!</f>
        <v>#REF!</v>
      </c>
      <c r="D56" s="14" t="e">
        <f>#REF!+1.5</f>
        <v>#REF!</v>
      </c>
      <c r="E56" s="14" t="e">
        <f>#REF!+1.5</f>
        <v>#REF!</v>
      </c>
      <c r="F56" s="14" t="e">
        <f>#REF!+1.5</f>
        <v>#REF!</v>
      </c>
      <c r="G56" s="14" t="e">
        <f>#REF!</f>
        <v>#REF!</v>
      </c>
    </row>
    <row r="57" spans="1:10" hidden="1" x14ac:dyDescent="0.55000000000000004">
      <c r="A57" s="5">
        <f t="shared" si="0"/>
        <v>12.75</v>
      </c>
      <c r="B57" s="4">
        <f t="shared" si="1"/>
        <v>0</v>
      </c>
      <c r="C57" s="14" t="e">
        <f>#REF!</f>
        <v>#REF!</v>
      </c>
      <c r="D57" s="14" t="e">
        <f>#REF!+1.5</f>
        <v>#REF!</v>
      </c>
      <c r="E57" s="14" t="e">
        <f>#REF!+1.5</f>
        <v>#REF!</v>
      </c>
      <c r="F57" s="14" t="e">
        <f>#REF!+1.5</f>
        <v>#REF!</v>
      </c>
      <c r="G57" s="14" t="e">
        <f>#REF!</f>
        <v>#REF!</v>
      </c>
    </row>
    <row r="58" spans="1:10" hidden="1" x14ac:dyDescent="0.55000000000000004">
      <c r="A58" s="5">
        <f t="shared" si="0"/>
        <v>13</v>
      </c>
      <c r="B58" s="4">
        <f t="shared" si="1"/>
        <v>0</v>
      </c>
      <c r="C58" s="14" t="e">
        <f>#REF!</f>
        <v>#REF!</v>
      </c>
      <c r="D58" s="14" t="e">
        <f>#REF!+1.5</f>
        <v>#REF!</v>
      </c>
      <c r="E58" s="14" t="e">
        <f>#REF!+1.5</f>
        <v>#REF!</v>
      </c>
      <c r="F58" s="14" t="e">
        <f>#REF!+1.5</f>
        <v>#REF!</v>
      </c>
      <c r="G58" s="14" t="e">
        <f>#REF!</f>
        <v>#REF!</v>
      </c>
    </row>
    <row r="59" spans="1:10" hidden="1" x14ac:dyDescent="0.55000000000000004">
      <c r="A59" s="5">
        <f t="shared" si="0"/>
        <v>13.25</v>
      </c>
      <c r="B59" s="4">
        <f t="shared" si="1"/>
        <v>0</v>
      </c>
      <c r="C59" s="14" t="e">
        <f>#REF!</f>
        <v>#REF!</v>
      </c>
      <c r="D59" s="14" t="e">
        <f>#REF!+1.5</f>
        <v>#REF!</v>
      </c>
      <c r="E59" s="14" t="e">
        <f>#REF!+1.5</f>
        <v>#REF!</v>
      </c>
      <c r="F59" s="14" t="e">
        <f>#REF!+1.5</f>
        <v>#REF!</v>
      </c>
      <c r="G59" s="14" t="e">
        <f>#REF!</f>
        <v>#REF!</v>
      </c>
    </row>
    <row r="60" spans="1:10" hidden="1" x14ac:dyDescent="0.55000000000000004">
      <c r="A60" s="5">
        <f t="shared" si="0"/>
        <v>13.5</v>
      </c>
      <c r="B60" s="4">
        <f t="shared" si="1"/>
        <v>0</v>
      </c>
      <c r="C60" s="14" t="e">
        <f>#REF!</f>
        <v>#REF!</v>
      </c>
      <c r="D60" s="14" t="e">
        <f>#REF!+1.5</f>
        <v>#REF!</v>
      </c>
      <c r="E60" s="14" t="e">
        <f>#REF!+1.5</f>
        <v>#REF!</v>
      </c>
      <c r="F60" s="14" t="e">
        <f>#REF!+1.5</f>
        <v>#REF!</v>
      </c>
      <c r="G60" s="14" t="e">
        <f>#REF!</f>
        <v>#REF!</v>
      </c>
    </row>
    <row r="61" spans="1:10" hidden="1" x14ac:dyDescent="0.55000000000000004">
      <c r="A61" s="5">
        <f t="shared" si="0"/>
        <v>13.75</v>
      </c>
      <c r="B61" s="4">
        <f t="shared" si="1"/>
        <v>0</v>
      </c>
      <c r="C61" s="14" t="e">
        <f>#REF!</f>
        <v>#REF!</v>
      </c>
      <c r="D61" s="14" t="e">
        <f>#REF!+1.5</f>
        <v>#REF!</v>
      </c>
      <c r="E61" s="14" t="e">
        <f>#REF!+1.5</f>
        <v>#REF!</v>
      </c>
      <c r="F61" s="14" t="e">
        <f>#REF!+1.5</f>
        <v>#REF!</v>
      </c>
      <c r="G61" s="14" t="e">
        <f>#REF!</f>
        <v>#REF!</v>
      </c>
    </row>
    <row r="62" spans="1:10" hidden="1" x14ac:dyDescent="0.55000000000000004">
      <c r="A62" s="5">
        <f t="shared" si="0"/>
        <v>14</v>
      </c>
      <c r="B62" s="4">
        <f t="shared" si="1"/>
        <v>0</v>
      </c>
      <c r="C62" s="14" t="e">
        <f>#REF!</f>
        <v>#REF!</v>
      </c>
      <c r="D62" s="14" t="e">
        <f>#REF!+1.5</f>
        <v>#REF!</v>
      </c>
      <c r="E62" s="14" t="e">
        <f>#REF!+1.5</f>
        <v>#REF!</v>
      </c>
      <c r="F62" s="14" t="e">
        <f>#REF!+1.5</f>
        <v>#REF!</v>
      </c>
      <c r="G62" s="14" t="e">
        <f>#REF!</f>
        <v>#REF!</v>
      </c>
    </row>
    <row r="63" spans="1:10" hidden="1" x14ac:dyDescent="0.55000000000000004">
      <c r="A63" s="5">
        <f t="shared" si="0"/>
        <v>14.25</v>
      </c>
      <c r="B63" s="4">
        <f t="shared" si="1"/>
        <v>0</v>
      </c>
      <c r="C63" s="14" t="e">
        <f>#REF!</f>
        <v>#REF!</v>
      </c>
      <c r="D63" s="14" t="e">
        <f>#REF!+1.5</f>
        <v>#REF!</v>
      </c>
      <c r="E63" s="14" t="e">
        <f>#REF!+1.5</f>
        <v>#REF!</v>
      </c>
      <c r="F63" s="14" t="e">
        <f>#REF!+1.5</f>
        <v>#REF!</v>
      </c>
      <c r="G63" s="14" t="e">
        <f>#REF!</f>
        <v>#REF!</v>
      </c>
    </row>
    <row r="64" spans="1:10" hidden="1" x14ac:dyDescent="0.55000000000000004">
      <c r="A64" s="5">
        <f t="shared" si="0"/>
        <v>14.5</v>
      </c>
      <c r="B64" s="4">
        <f t="shared" si="1"/>
        <v>0</v>
      </c>
      <c r="C64" s="14" t="e">
        <f>#REF!</f>
        <v>#REF!</v>
      </c>
      <c r="D64" s="14" t="e">
        <f>#REF!+1.5</f>
        <v>#REF!</v>
      </c>
      <c r="E64" s="14" t="e">
        <f>#REF!+1.5</f>
        <v>#REF!</v>
      </c>
      <c r="F64" s="14" t="e">
        <f>#REF!+1.5</f>
        <v>#REF!</v>
      </c>
      <c r="G64" s="14" t="e">
        <f>#REF!</f>
        <v>#REF!</v>
      </c>
    </row>
    <row r="65" spans="1:7" hidden="1" x14ac:dyDescent="0.55000000000000004">
      <c r="A65" s="5">
        <f t="shared" si="0"/>
        <v>14.75</v>
      </c>
      <c r="B65" s="4">
        <f t="shared" si="1"/>
        <v>0</v>
      </c>
      <c r="C65" s="14" t="e">
        <f>#REF!</f>
        <v>#REF!</v>
      </c>
      <c r="D65" s="14" t="e">
        <f>#REF!+1.5</f>
        <v>#REF!</v>
      </c>
      <c r="E65" s="14" t="e">
        <f>#REF!+1.5</f>
        <v>#REF!</v>
      </c>
      <c r="F65" s="14" t="e">
        <f>#REF!+1.5</f>
        <v>#REF!</v>
      </c>
      <c r="G65" s="14" t="e">
        <f>#REF!</f>
        <v>#REF!</v>
      </c>
    </row>
    <row r="66" spans="1:7" hidden="1" x14ac:dyDescent="0.55000000000000004">
      <c r="A66" s="5">
        <f t="shared" si="0"/>
        <v>15</v>
      </c>
      <c r="B66" s="4">
        <f t="shared" si="1"/>
        <v>0</v>
      </c>
      <c r="C66" s="14" t="e">
        <f>#REF!</f>
        <v>#REF!</v>
      </c>
      <c r="D66" s="14" t="e">
        <f>#REF!+1.5</f>
        <v>#REF!</v>
      </c>
      <c r="E66" s="14" t="e">
        <f>#REF!+1.5</f>
        <v>#REF!</v>
      </c>
      <c r="F66" s="14" t="e">
        <f>#REF!+1.5</f>
        <v>#REF!</v>
      </c>
      <c r="G66" s="14" t="e">
        <f>#REF!</f>
        <v>#REF!</v>
      </c>
    </row>
    <row r="67" spans="1:7" hidden="1" x14ac:dyDescent="0.55000000000000004">
      <c r="A67" s="5">
        <f t="shared" si="0"/>
        <v>15.25</v>
      </c>
      <c r="B67" s="4">
        <f t="shared" si="1"/>
        <v>0</v>
      </c>
      <c r="C67" s="14" t="e">
        <f>#REF!</f>
        <v>#REF!</v>
      </c>
      <c r="D67" s="14" t="e">
        <f>#REF!+1.5</f>
        <v>#REF!</v>
      </c>
      <c r="E67" s="14" t="e">
        <f>#REF!+1.5</f>
        <v>#REF!</v>
      </c>
      <c r="F67" s="14" t="e">
        <f>#REF!+1.5</f>
        <v>#REF!</v>
      </c>
      <c r="G67" s="14" t="e">
        <f>#REF!</f>
        <v>#REF!</v>
      </c>
    </row>
    <row r="68" spans="1:7" hidden="1" x14ac:dyDescent="0.55000000000000004">
      <c r="A68" s="5">
        <f t="shared" ref="A68:A131" si="6">A67+0.25</f>
        <v>15.5</v>
      </c>
      <c r="B68" s="4">
        <f t="shared" ref="B68:B131" si="7">B67</f>
        <v>0</v>
      </c>
      <c r="C68" s="14" t="e">
        <f>#REF!</f>
        <v>#REF!</v>
      </c>
      <c r="D68" s="14" t="e">
        <f>#REF!+1.5</f>
        <v>#REF!</v>
      </c>
      <c r="E68" s="14" t="e">
        <f>#REF!+1.5</f>
        <v>#REF!</v>
      </c>
      <c r="F68" s="14" t="e">
        <f>#REF!+1.5</f>
        <v>#REF!</v>
      </c>
      <c r="G68" s="14" t="e">
        <f>#REF!</f>
        <v>#REF!</v>
      </c>
    </row>
    <row r="69" spans="1:7" hidden="1" x14ac:dyDescent="0.55000000000000004">
      <c r="A69" s="5">
        <f t="shared" si="6"/>
        <v>15.75</v>
      </c>
      <c r="B69" s="4">
        <f t="shared" si="7"/>
        <v>0</v>
      </c>
      <c r="C69" s="14" t="e">
        <f>#REF!</f>
        <v>#REF!</v>
      </c>
      <c r="D69" s="14" t="e">
        <f>#REF!+1.5</f>
        <v>#REF!</v>
      </c>
      <c r="E69" s="14" t="e">
        <f>#REF!+1.5</f>
        <v>#REF!</v>
      </c>
      <c r="F69" s="14" t="e">
        <f>#REF!+1.5</f>
        <v>#REF!</v>
      </c>
      <c r="G69" s="14" t="e">
        <f>#REF!</f>
        <v>#REF!</v>
      </c>
    </row>
    <row r="70" spans="1:7" hidden="1" x14ac:dyDescent="0.55000000000000004">
      <c r="A70" s="5">
        <f t="shared" si="6"/>
        <v>16</v>
      </c>
      <c r="B70" s="4">
        <f t="shared" si="7"/>
        <v>0</v>
      </c>
      <c r="C70" s="14" t="e">
        <f>#REF!</f>
        <v>#REF!</v>
      </c>
      <c r="D70" s="14" t="e">
        <f>#REF!+1.5</f>
        <v>#REF!</v>
      </c>
      <c r="E70" s="14" t="e">
        <f>#REF!+1.5</f>
        <v>#REF!</v>
      </c>
      <c r="F70" s="14" t="e">
        <f>#REF!+1.5</f>
        <v>#REF!</v>
      </c>
      <c r="G70" s="14" t="e">
        <f>#REF!</f>
        <v>#REF!</v>
      </c>
    </row>
    <row r="71" spans="1:7" hidden="1" x14ac:dyDescent="0.55000000000000004">
      <c r="A71" s="5">
        <f t="shared" si="6"/>
        <v>16.25</v>
      </c>
      <c r="B71" s="4">
        <f t="shared" si="7"/>
        <v>0</v>
      </c>
      <c r="C71" s="14" t="e">
        <f>#REF!</f>
        <v>#REF!</v>
      </c>
      <c r="D71" s="14" t="e">
        <f>#REF!+1.5</f>
        <v>#REF!</v>
      </c>
      <c r="E71" s="14" t="e">
        <f>#REF!+1.5</f>
        <v>#REF!</v>
      </c>
      <c r="F71" s="14" t="e">
        <f>#REF!+1.5</f>
        <v>#REF!</v>
      </c>
      <c r="G71" s="14" t="e">
        <f>#REF!</f>
        <v>#REF!</v>
      </c>
    </row>
    <row r="72" spans="1:7" hidden="1" x14ac:dyDescent="0.55000000000000004">
      <c r="A72" s="5">
        <f t="shared" si="6"/>
        <v>16.5</v>
      </c>
      <c r="B72" s="4">
        <f t="shared" si="7"/>
        <v>0</v>
      </c>
      <c r="C72" s="14" t="e">
        <f>#REF!</f>
        <v>#REF!</v>
      </c>
      <c r="D72" s="14" t="e">
        <f>#REF!+1.5</f>
        <v>#REF!</v>
      </c>
      <c r="E72" s="14" t="e">
        <f>#REF!+1.5</f>
        <v>#REF!</v>
      </c>
      <c r="F72" s="14" t="e">
        <f>#REF!+1.5</f>
        <v>#REF!</v>
      </c>
      <c r="G72" s="14" t="e">
        <f>#REF!</f>
        <v>#REF!</v>
      </c>
    </row>
    <row r="73" spans="1:7" hidden="1" x14ac:dyDescent="0.55000000000000004">
      <c r="A73" s="5">
        <f t="shared" si="6"/>
        <v>16.75</v>
      </c>
      <c r="B73" s="4">
        <f t="shared" si="7"/>
        <v>0</v>
      </c>
      <c r="C73" s="14" t="e">
        <f>#REF!</f>
        <v>#REF!</v>
      </c>
      <c r="D73" s="14" t="e">
        <f>#REF!+1.5</f>
        <v>#REF!</v>
      </c>
      <c r="E73" s="14" t="e">
        <f>#REF!+1.5</f>
        <v>#REF!</v>
      </c>
      <c r="F73" s="14" t="e">
        <f>#REF!+1.5</f>
        <v>#REF!</v>
      </c>
      <c r="G73" s="14" t="e">
        <f>#REF!</f>
        <v>#REF!</v>
      </c>
    </row>
    <row r="74" spans="1:7" hidden="1" x14ac:dyDescent="0.55000000000000004">
      <c r="A74" s="5">
        <f t="shared" si="6"/>
        <v>17</v>
      </c>
      <c r="B74" s="4">
        <f t="shared" si="7"/>
        <v>0</v>
      </c>
      <c r="C74" s="14" t="e">
        <f>#REF!</f>
        <v>#REF!</v>
      </c>
      <c r="D74" s="14" t="e">
        <f>#REF!+1.5</f>
        <v>#REF!</v>
      </c>
      <c r="E74" s="14" t="e">
        <f>#REF!+1.5</f>
        <v>#REF!</v>
      </c>
      <c r="F74" s="14" t="e">
        <f>#REF!+1.5</f>
        <v>#REF!</v>
      </c>
      <c r="G74" s="14" t="e">
        <f>#REF!</f>
        <v>#REF!</v>
      </c>
    </row>
    <row r="75" spans="1:7" hidden="1" x14ac:dyDescent="0.55000000000000004">
      <c r="A75" s="5">
        <f t="shared" si="6"/>
        <v>17.25</v>
      </c>
      <c r="B75" s="4">
        <f t="shared" si="7"/>
        <v>0</v>
      </c>
      <c r="C75" s="14" t="e">
        <f>#REF!</f>
        <v>#REF!</v>
      </c>
      <c r="D75" s="14" t="e">
        <f>#REF!+1.5</f>
        <v>#REF!</v>
      </c>
      <c r="E75" s="14" t="e">
        <f>#REF!+1.5</f>
        <v>#REF!</v>
      </c>
      <c r="F75" s="14" t="e">
        <f>#REF!+1.5</f>
        <v>#REF!</v>
      </c>
      <c r="G75" s="14" t="e">
        <f>#REF!</f>
        <v>#REF!</v>
      </c>
    </row>
    <row r="76" spans="1:7" hidden="1" x14ac:dyDescent="0.55000000000000004">
      <c r="A76" s="5">
        <f t="shared" si="6"/>
        <v>17.5</v>
      </c>
      <c r="B76" s="4">
        <f t="shared" si="7"/>
        <v>0</v>
      </c>
      <c r="C76" s="14" t="e">
        <f>#REF!</f>
        <v>#REF!</v>
      </c>
      <c r="D76" s="14" t="e">
        <f>#REF!+1.5</f>
        <v>#REF!</v>
      </c>
      <c r="E76" s="14" t="e">
        <f>#REF!+1.5</f>
        <v>#REF!</v>
      </c>
      <c r="F76" s="14" t="e">
        <f>#REF!+1.5</f>
        <v>#REF!</v>
      </c>
      <c r="G76" s="14" t="e">
        <f>#REF!</f>
        <v>#REF!</v>
      </c>
    </row>
    <row r="77" spans="1:7" hidden="1" x14ac:dyDescent="0.55000000000000004">
      <c r="A77" s="5">
        <f t="shared" si="6"/>
        <v>17.75</v>
      </c>
      <c r="B77" s="4">
        <f t="shared" si="7"/>
        <v>0</v>
      </c>
      <c r="C77" s="14" t="e">
        <f>#REF!</f>
        <v>#REF!</v>
      </c>
      <c r="D77" s="14" t="e">
        <f>#REF!+1.5</f>
        <v>#REF!</v>
      </c>
      <c r="E77" s="14" t="e">
        <f>#REF!+1.5</f>
        <v>#REF!</v>
      </c>
      <c r="F77" s="14" t="e">
        <f>#REF!+1.5</f>
        <v>#REF!</v>
      </c>
      <c r="G77" s="14" t="e">
        <f>#REF!</f>
        <v>#REF!</v>
      </c>
    </row>
    <row r="78" spans="1:7" hidden="1" x14ac:dyDescent="0.55000000000000004">
      <c r="A78" s="5">
        <f t="shared" si="6"/>
        <v>18</v>
      </c>
      <c r="B78" s="4">
        <f t="shared" si="7"/>
        <v>0</v>
      </c>
      <c r="C78" s="14" t="e">
        <f>#REF!</f>
        <v>#REF!</v>
      </c>
      <c r="D78" s="14" t="e">
        <f>#REF!+1.5</f>
        <v>#REF!</v>
      </c>
      <c r="E78" s="14" t="e">
        <f>#REF!+1.5</f>
        <v>#REF!</v>
      </c>
      <c r="F78" s="14" t="e">
        <f>#REF!+1.5</f>
        <v>#REF!</v>
      </c>
      <c r="G78" s="14" t="e">
        <f>#REF!</f>
        <v>#REF!</v>
      </c>
    </row>
    <row r="79" spans="1:7" hidden="1" x14ac:dyDescent="0.55000000000000004">
      <c r="A79" s="5">
        <f t="shared" si="6"/>
        <v>18.25</v>
      </c>
      <c r="B79" s="4">
        <f t="shared" si="7"/>
        <v>0</v>
      </c>
      <c r="C79" s="14" t="e">
        <f>#REF!</f>
        <v>#REF!</v>
      </c>
      <c r="D79" s="14" t="e">
        <f>#REF!+1.5</f>
        <v>#REF!</v>
      </c>
      <c r="E79" s="14" t="e">
        <f>#REF!+1.5</f>
        <v>#REF!</v>
      </c>
      <c r="F79" s="14" t="e">
        <f>#REF!+1.5</f>
        <v>#REF!</v>
      </c>
      <c r="G79" s="14" t="e">
        <f>#REF!</f>
        <v>#REF!</v>
      </c>
    </row>
    <row r="80" spans="1:7" hidden="1" x14ac:dyDescent="0.55000000000000004">
      <c r="A80" s="5">
        <f t="shared" si="6"/>
        <v>18.5</v>
      </c>
      <c r="B80" s="4">
        <f t="shared" si="7"/>
        <v>0</v>
      </c>
      <c r="C80" s="14" t="e">
        <f>#REF!</f>
        <v>#REF!</v>
      </c>
      <c r="D80" s="14" t="e">
        <f>#REF!+1.5</f>
        <v>#REF!</v>
      </c>
      <c r="E80" s="14" t="e">
        <f>#REF!+1.5</f>
        <v>#REF!</v>
      </c>
      <c r="F80" s="14" t="e">
        <f>#REF!+1.5</f>
        <v>#REF!</v>
      </c>
      <c r="G80" s="14" t="e">
        <f>#REF!</f>
        <v>#REF!</v>
      </c>
    </row>
    <row r="81" spans="1:7" hidden="1" x14ac:dyDescent="0.55000000000000004">
      <c r="A81" s="5">
        <f t="shared" si="6"/>
        <v>18.75</v>
      </c>
      <c r="B81" s="4">
        <f t="shared" si="7"/>
        <v>0</v>
      </c>
      <c r="C81" s="14" t="e">
        <f>#REF!</f>
        <v>#REF!</v>
      </c>
      <c r="D81" s="14" t="e">
        <f>#REF!+1.5</f>
        <v>#REF!</v>
      </c>
      <c r="E81" s="14" t="e">
        <f>#REF!+1.5</f>
        <v>#REF!</v>
      </c>
      <c r="F81" s="14" t="e">
        <f>#REF!+1.5</f>
        <v>#REF!</v>
      </c>
      <c r="G81" s="14" t="e">
        <f>#REF!</f>
        <v>#REF!</v>
      </c>
    </row>
    <row r="82" spans="1:7" hidden="1" x14ac:dyDescent="0.55000000000000004">
      <c r="A82" s="5">
        <f t="shared" si="6"/>
        <v>19</v>
      </c>
      <c r="B82" s="4">
        <f t="shared" si="7"/>
        <v>0</v>
      </c>
      <c r="C82" s="14" t="e">
        <f>#REF!</f>
        <v>#REF!</v>
      </c>
      <c r="D82" s="14" t="e">
        <f>#REF!+1.5</f>
        <v>#REF!</v>
      </c>
      <c r="E82" s="14" t="e">
        <f>#REF!+1.5</f>
        <v>#REF!</v>
      </c>
      <c r="F82" s="14" t="e">
        <f>#REF!+1.5</f>
        <v>#REF!</v>
      </c>
      <c r="G82" s="14" t="e">
        <f>#REF!</f>
        <v>#REF!</v>
      </c>
    </row>
    <row r="83" spans="1:7" hidden="1" x14ac:dyDescent="0.55000000000000004">
      <c r="A83" s="5">
        <f t="shared" si="6"/>
        <v>19.25</v>
      </c>
      <c r="B83" s="4">
        <f t="shared" si="7"/>
        <v>0</v>
      </c>
      <c r="C83" s="14" t="e">
        <f>#REF!</f>
        <v>#REF!</v>
      </c>
      <c r="D83" s="14" t="e">
        <f>#REF!+1.5</f>
        <v>#REF!</v>
      </c>
      <c r="E83" s="14" t="e">
        <f>#REF!+1.5</f>
        <v>#REF!</v>
      </c>
      <c r="F83" s="14" t="e">
        <f>#REF!+1.5</f>
        <v>#REF!</v>
      </c>
      <c r="G83" s="14" t="e">
        <f>#REF!</f>
        <v>#REF!</v>
      </c>
    </row>
    <row r="84" spans="1:7" hidden="1" x14ac:dyDescent="0.55000000000000004">
      <c r="A84" s="5">
        <f t="shared" si="6"/>
        <v>19.5</v>
      </c>
      <c r="B84" s="4">
        <f t="shared" si="7"/>
        <v>0</v>
      </c>
      <c r="C84" s="14" t="e">
        <f>#REF!</f>
        <v>#REF!</v>
      </c>
      <c r="D84" s="14" t="e">
        <f>#REF!+1.5</f>
        <v>#REF!</v>
      </c>
      <c r="E84" s="14" t="e">
        <f>#REF!+1.5</f>
        <v>#REF!</v>
      </c>
      <c r="F84" s="14" t="e">
        <f>#REF!+1.5</f>
        <v>#REF!</v>
      </c>
      <c r="G84" s="14" t="e">
        <f>#REF!</f>
        <v>#REF!</v>
      </c>
    </row>
    <row r="85" spans="1:7" hidden="1" x14ac:dyDescent="0.55000000000000004">
      <c r="A85" s="5">
        <f t="shared" si="6"/>
        <v>19.75</v>
      </c>
      <c r="B85" s="4">
        <f t="shared" si="7"/>
        <v>0</v>
      </c>
      <c r="C85" s="14" t="e">
        <f>#REF!</f>
        <v>#REF!</v>
      </c>
      <c r="D85" s="14" t="e">
        <f>#REF!+1.5</f>
        <v>#REF!</v>
      </c>
      <c r="E85" s="14" t="e">
        <f>#REF!+1.5</f>
        <v>#REF!</v>
      </c>
      <c r="F85" s="14" t="e">
        <f>#REF!+1.5</f>
        <v>#REF!</v>
      </c>
      <c r="G85" s="14" t="e">
        <f>#REF!</f>
        <v>#REF!</v>
      </c>
    </row>
    <row r="86" spans="1:7" hidden="1" x14ac:dyDescent="0.55000000000000004">
      <c r="A86" s="5">
        <f t="shared" si="6"/>
        <v>20</v>
      </c>
      <c r="B86" s="4">
        <f t="shared" si="7"/>
        <v>0</v>
      </c>
      <c r="C86" s="14" t="e">
        <f>#REF!</f>
        <v>#REF!</v>
      </c>
      <c r="D86" s="14" t="e">
        <f>#REF!+1.5</f>
        <v>#REF!</v>
      </c>
      <c r="E86" s="14" t="e">
        <f>#REF!+1.5</f>
        <v>#REF!</v>
      </c>
      <c r="F86" s="14" t="e">
        <f>#REF!+1.5</f>
        <v>#REF!</v>
      </c>
      <c r="G86" s="14" t="e">
        <f>#REF!</f>
        <v>#REF!</v>
      </c>
    </row>
    <row r="87" spans="1:7" hidden="1" x14ac:dyDescent="0.55000000000000004">
      <c r="A87" s="5">
        <f t="shared" si="6"/>
        <v>20.25</v>
      </c>
      <c r="B87" s="4">
        <f t="shared" si="7"/>
        <v>0</v>
      </c>
      <c r="C87" s="14" t="e">
        <f>#REF!</f>
        <v>#REF!</v>
      </c>
      <c r="D87" s="14" t="e">
        <f>#REF!+1.5</f>
        <v>#REF!</v>
      </c>
      <c r="E87" s="14" t="e">
        <f>#REF!+1.5</f>
        <v>#REF!</v>
      </c>
      <c r="F87" s="14" t="e">
        <f>#REF!+1.5</f>
        <v>#REF!</v>
      </c>
      <c r="G87" s="14" t="e">
        <f>#REF!</f>
        <v>#REF!</v>
      </c>
    </row>
    <row r="88" spans="1:7" hidden="1" x14ac:dyDescent="0.55000000000000004">
      <c r="A88" s="5">
        <f t="shared" si="6"/>
        <v>20.5</v>
      </c>
      <c r="B88" s="4">
        <f t="shared" si="7"/>
        <v>0</v>
      </c>
      <c r="C88" s="14" t="e">
        <f>#REF!</f>
        <v>#REF!</v>
      </c>
      <c r="D88" s="14" t="e">
        <f>#REF!+1.5</f>
        <v>#REF!</v>
      </c>
      <c r="E88" s="14" t="e">
        <f>#REF!+1.5</f>
        <v>#REF!</v>
      </c>
      <c r="F88" s="14" t="e">
        <f>#REF!+1.5</f>
        <v>#REF!</v>
      </c>
      <c r="G88" s="14" t="e">
        <f>#REF!</f>
        <v>#REF!</v>
      </c>
    </row>
    <row r="89" spans="1:7" hidden="1" x14ac:dyDescent="0.55000000000000004">
      <c r="A89" s="5">
        <f t="shared" si="6"/>
        <v>20.75</v>
      </c>
      <c r="B89" s="4">
        <f t="shared" si="7"/>
        <v>0</v>
      </c>
      <c r="C89" s="14" t="e">
        <f>#REF!</f>
        <v>#REF!</v>
      </c>
      <c r="D89" s="14" t="e">
        <f>#REF!+1.5</f>
        <v>#REF!</v>
      </c>
      <c r="E89" s="14" t="e">
        <f>#REF!+1.5</f>
        <v>#REF!</v>
      </c>
      <c r="F89" s="14" t="e">
        <f>#REF!+1.5</f>
        <v>#REF!</v>
      </c>
      <c r="G89" s="14" t="e">
        <f>#REF!</f>
        <v>#REF!</v>
      </c>
    </row>
    <row r="90" spans="1:7" hidden="1" x14ac:dyDescent="0.55000000000000004">
      <c r="A90" s="5">
        <f t="shared" si="6"/>
        <v>21</v>
      </c>
      <c r="B90" s="4">
        <f t="shared" si="7"/>
        <v>0</v>
      </c>
      <c r="C90" s="14" t="e">
        <f>#REF!</f>
        <v>#REF!</v>
      </c>
      <c r="D90" s="14" t="e">
        <f>#REF!+1.5</f>
        <v>#REF!</v>
      </c>
      <c r="E90" s="14" t="e">
        <f>#REF!+1.5</f>
        <v>#REF!</v>
      </c>
      <c r="F90" s="14" t="e">
        <f>#REF!+1.5</f>
        <v>#REF!</v>
      </c>
      <c r="G90" s="14" t="e">
        <f>#REF!</f>
        <v>#REF!</v>
      </c>
    </row>
    <row r="91" spans="1:7" hidden="1" x14ac:dyDescent="0.55000000000000004">
      <c r="A91" s="5">
        <f t="shared" si="6"/>
        <v>21.25</v>
      </c>
      <c r="B91" s="4">
        <f t="shared" si="7"/>
        <v>0</v>
      </c>
      <c r="C91" s="14" t="e">
        <f>#REF!</f>
        <v>#REF!</v>
      </c>
      <c r="D91" s="14" t="e">
        <f>#REF!+1.5</f>
        <v>#REF!</v>
      </c>
      <c r="E91" s="14" t="e">
        <f>#REF!+1.5</f>
        <v>#REF!</v>
      </c>
      <c r="F91" s="14" t="e">
        <f>#REF!+1.5</f>
        <v>#REF!</v>
      </c>
      <c r="G91" s="14" t="e">
        <f>#REF!</f>
        <v>#REF!</v>
      </c>
    </row>
    <row r="92" spans="1:7" hidden="1" x14ac:dyDescent="0.55000000000000004">
      <c r="A92" s="5">
        <f t="shared" si="6"/>
        <v>21.5</v>
      </c>
      <c r="B92" s="4">
        <f t="shared" si="7"/>
        <v>0</v>
      </c>
      <c r="C92" s="14" t="e">
        <f>#REF!</f>
        <v>#REF!</v>
      </c>
      <c r="D92" s="14" t="e">
        <f>#REF!+1.5</f>
        <v>#REF!</v>
      </c>
      <c r="E92" s="14" t="e">
        <f>#REF!+1.5</f>
        <v>#REF!</v>
      </c>
      <c r="F92" s="14" t="e">
        <f>#REF!+1.5</f>
        <v>#REF!</v>
      </c>
      <c r="G92" s="14" t="e">
        <f>#REF!</f>
        <v>#REF!</v>
      </c>
    </row>
    <row r="93" spans="1:7" hidden="1" x14ac:dyDescent="0.55000000000000004">
      <c r="A93" s="5">
        <f t="shared" si="6"/>
        <v>21.75</v>
      </c>
      <c r="B93" s="4">
        <f t="shared" si="7"/>
        <v>0</v>
      </c>
      <c r="C93" s="14" t="e">
        <f>#REF!</f>
        <v>#REF!</v>
      </c>
      <c r="D93" s="14" t="e">
        <f>#REF!+1.5</f>
        <v>#REF!</v>
      </c>
      <c r="E93" s="14" t="e">
        <f>#REF!+1.5</f>
        <v>#REF!</v>
      </c>
      <c r="F93" s="14" t="e">
        <f>#REF!+1.5</f>
        <v>#REF!</v>
      </c>
      <c r="G93" s="14" t="e">
        <f>#REF!</f>
        <v>#REF!</v>
      </c>
    </row>
    <row r="94" spans="1:7" hidden="1" x14ac:dyDescent="0.55000000000000004">
      <c r="A94" s="5">
        <f t="shared" si="6"/>
        <v>22</v>
      </c>
      <c r="B94" s="4">
        <f t="shared" si="7"/>
        <v>0</v>
      </c>
      <c r="C94" s="14" t="e">
        <f>#REF!</f>
        <v>#REF!</v>
      </c>
      <c r="D94" s="14" t="e">
        <f>#REF!+1.5</f>
        <v>#REF!</v>
      </c>
      <c r="E94" s="14" t="e">
        <f>#REF!+1.5</f>
        <v>#REF!</v>
      </c>
      <c r="F94" s="14" t="e">
        <f>#REF!+1.5</f>
        <v>#REF!</v>
      </c>
      <c r="G94" s="14" t="e">
        <f>#REF!</f>
        <v>#REF!</v>
      </c>
    </row>
    <row r="95" spans="1:7" hidden="1" x14ac:dyDescent="0.55000000000000004">
      <c r="A95" s="5">
        <f t="shared" si="6"/>
        <v>22.25</v>
      </c>
      <c r="B95" s="4">
        <f t="shared" si="7"/>
        <v>0</v>
      </c>
      <c r="C95" s="14" t="e">
        <f>#REF!</f>
        <v>#REF!</v>
      </c>
      <c r="D95" s="14" t="e">
        <f>#REF!+1.5</f>
        <v>#REF!</v>
      </c>
      <c r="E95" s="14" t="e">
        <f>#REF!+1.5</f>
        <v>#REF!</v>
      </c>
      <c r="F95" s="14" t="e">
        <f>#REF!+1.5</f>
        <v>#REF!</v>
      </c>
      <c r="G95" s="14" t="e">
        <f>#REF!</f>
        <v>#REF!</v>
      </c>
    </row>
    <row r="96" spans="1:7" hidden="1" x14ac:dyDescent="0.55000000000000004">
      <c r="A96" s="5">
        <f t="shared" si="6"/>
        <v>22.5</v>
      </c>
      <c r="B96" s="4">
        <f t="shared" si="7"/>
        <v>0</v>
      </c>
      <c r="C96" s="14" t="e">
        <f>#REF!</f>
        <v>#REF!</v>
      </c>
      <c r="D96" s="14" t="e">
        <f>#REF!+1.5</f>
        <v>#REF!</v>
      </c>
      <c r="E96" s="14" t="e">
        <f>#REF!+1.5</f>
        <v>#REF!</v>
      </c>
      <c r="F96" s="14" t="e">
        <f>#REF!+1.5</f>
        <v>#REF!</v>
      </c>
      <c r="G96" s="14" t="e">
        <f>#REF!</f>
        <v>#REF!</v>
      </c>
    </row>
    <row r="97" spans="1:7" hidden="1" x14ac:dyDescent="0.55000000000000004">
      <c r="A97" s="5">
        <f t="shared" si="6"/>
        <v>22.75</v>
      </c>
      <c r="B97" s="4">
        <f t="shared" si="7"/>
        <v>0</v>
      </c>
      <c r="C97" s="14" t="e">
        <f>#REF!</f>
        <v>#REF!</v>
      </c>
      <c r="D97" s="14" t="e">
        <f>#REF!+1.5</f>
        <v>#REF!</v>
      </c>
      <c r="E97" s="14" t="e">
        <f>#REF!+1.5</f>
        <v>#REF!</v>
      </c>
      <c r="F97" s="14" t="e">
        <f>#REF!+1.5</f>
        <v>#REF!</v>
      </c>
      <c r="G97" s="14" t="e">
        <f>#REF!</f>
        <v>#REF!</v>
      </c>
    </row>
    <row r="98" spans="1:7" hidden="1" x14ac:dyDescent="0.55000000000000004">
      <c r="A98" s="5">
        <f t="shared" si="6"/>
        <v>23</v>
      </c>
      <c r="B98" s="4">
        <f t="shared" si="7"/>
        <v>0</v>
      </c>
      <c r="C98" s="14" t="e">
        <f>#REF!</f>
        <v>#REF!</v>
      </c>
      <c r="D98" s="14" t="e">
        <f>#REF!+1.5</f>
        <v>#REF!</v>
      </c>
      <c r="E98" s="14" t="e">
        <f>#REF!+1.5</f>
        <v>#REF!</v>
      </c>
      <c r="F98" s="14" t="e">
        <f>#REF!+1.5</f>
        <v>#REF!</v>
      </c>
      <c r="G98" s="14" t="e">
        <f>#REF!</f>
        <v>#REF!</v>
      </c>
    </row>
    <row r="99" spans="1:7" hidden="1" x14ac:dyDescent="0.55000000000000004">
      <c r="A99" s="5">
        <f t="shared" si="6"/>
        <v>23.25</v>
      </c>
      <c r="B99" s="4">
        <f t="shared" si="7"/>
        <v>0</v>
      </c>
      <c r="C99" s="14" t="e">
        <f>#REF!</f>
        <v>#REF!</v>
      </c>
      <c r="D99" s="14" t="e">
        <f>#REF!+1.5</f>
        <v>#REF!</v>
      </c>
      <c r="E99" s="14" t="e">
        <f>#REF!+1.5</f>
        <v>#REF!</v>
      </c>
      <c r="F99" s="14" t="e">
        <f>#REF!+1.5</f>
        <v>#REF!</v>
      </c>
      <c r="G99" s="14" t="e">
        <f>#REF!</f>
        <v>#REF!</v>
      </c>
    </row>
    <row r="100" spans="1:7" hidden="1" x14ac:dyDescent="0.55000000000000004">
      <c r="A100" s="5">
        <f t="shared" si="6"/>
        <v>23.5</v>
      </c>
      <c r="B100" s="4">
        <f t="shared" si="7"/>
        <v>0</v>
      </c>
      <c r="C100" s="14" t="e">
        <f>#REF!</f>
        <v>#REF!</v>
      </c>
      <c r="D100" s="14" t="e">
        <f>#REF!+1.5</f>
        <v>#REF!</v>
      </c>
      <c r="E100" s="14" t="e">
        <f>#REF!+1.5</f>
        <v>#REF!</v>
      </c>
      <c r="F100" s="14" t="e">
        <f>#REF!+1.5</f>
        <v>#REF!</v>
      </c>
      <c r="G100" s="14" t="e">
        <f>#REF!</f>
        <v>#REF!</v>
      </c>
    </row>
    <row r="101" spans="1:7" hidden="1" x14ac:dyDescent="0.55000000000000004">
      <c r="A101" s="5">
        <f t="shared" si="6"/>
        <v>23.75</v>
      </c>
      <c r="B101" s="4">
        <f t="shared" si="7"/>
        <v>0</v>
      </c>
      <c r="C101" s="14" t="e">
        <f>#REF!</f>
        <v>#REF!</v>
      </c>
      <c r="D101" s="14" t="e">
        <f>#REF!+1.5</f>
        <v>#REF!</v>
      </c>
      <c r="E101" s="14" t="e">
        <f>#REF!+1.5</f>
        <v>#REF!</v>
      </c>
      <c r="F101" s="14" t="e">
        <f>#REF!+1.5</f>
        <v>#REF!</v>
      </c>
      <c r="G101" s="14" t="e">
        <f>#REF!</f>
        <v>#REF!</v>
      </c>
    </row>
    <row r="102" spans="1:7" hidden="1" x14ac:dyDescent="0.55000000000000004">
      <c r="A102" s="5">
        <f t="shared" si="6"/>
        <v>24</v>
      </c>
      <c r="B102" s="4">
        <f t="shared" si="7"/>
        <v>0</v>
      </c>
      <c r="C102" s="14" t="e">
        <f>#REF!</f>
        <v>#REF!</v>
      </c>
      <c r="D102" s="14" t="e">
        <f>#REF!+1.5</f>
        <v>#REF!</v>
      </c>
      <c r="E102" s="14" t="e">
        <f>#REF!+1.5</f>
        <v>#REF!</v>
      </c>
      <c r="F102" s="14" t="e">
        <f>#REF!+1.5</f>
        <v>#REF!</v>
      </c>
      <c r="G102" s="14" t="e">
        <f>#REF!</f>
        <v>#REF!</v>
      </c>
    </row>
    <row r="103" spans="1:7" hidden="1" x14ac:dyDescent="0.55000000000000004">
      <c r="A103" s="5">
        <f t="shared" si="6"/>
        <v>24.25</v>
      </c>
      <c r="B103" s="4">
        <f t="shared" si="7"/>
        <v>0</v>
      </c>
      <c r="C103" s="14" t="e">
        <f>#REF!</f>
        <v>#REF!</v>
      </c>
      <c r="D103" s="14" t="e">
        <f>#REF!+1.5</f>
        <v>#REF!</v>
      </c>
      <c r="E103" s="14" t="e">
        <f>#REF!+1.5</f>
        <v>#REF!</v>
      </c>
      <c r="F103" s="14" t="e">
        <f>#REF!+1.5</f>
        <v>#REF!</v>
      </c>
      <c r="G103" s="14" t="e">
        <f>#REF!</f>
        <v>#REF!</v>
      </c>
    </row>
    <row r="104" spans="1:7" hidden="1" x14ac:dyDescent="0.55000000000000004">
      <c r="A104" s="5">
        <f t="shared" si="6"/>
        <v>24.5</v>
      </c>
      <c r="B104" s="4">
        <f t="shared" si="7"/>
        <v>0</v>
      </c>
      <c r="C104" s="14" t="e">
        <f>#REF!</f>
        <v>#REF!</v>
      </c>
      <c r="D104" s="14" t="e">
        <f>#REF!+1.5</f>
        <v>#REF!</v>
      </c>
      <c r="E104" s="14" t="e">
        <f>#REF!+1.5</f>
        <v>#REF!</v>
      </c>
      <c r="F104" s="14" t="e">
        <f>#REF!+1.5</f>
        <v>#REF!</v>
      </c>
      <c r="G104" s="14" t="e">
        <f>#REF!</f>
        <v>#REF!</v>
      </c>
    </row>
    <row r="105" spans="1:7" hidden="1" x14ac:dyDescent="0.55000000000000004">
      <c r="A105" s="5">
        <f t="shared" si="6"/>
        <v>24.75</v>
      </c>
      <c r="B105" s="4">
        <f t="shared" si="7"/>
        <v>0</v>
      </c>
      <c r="C105" s="14" t="e">
        <f>#REF!</f>
        <v>#REF!</v>
      </c>
      <c r="D105" s="14" t="e">
        <f>#REF!+1.5</f>
        <v>#REF!</v>
      </c>
      <c r="E105" s="14" t="e">
        <f>#REF!+1.5</f>
        <v>#REF!</v>
      </c>
      <c r="F105" s="14" t="e">
        <f>#REF!+1.5</f>
        <v>#REF!</v>
      </c>
      <c r="G105" s="14" t="e">
        <f>#REF!</f>
        <v>#REF!</v>
      </c>
    </row>
    <row r="106" spans="1:7" hidden="1" x14ac:dyDescent="0.55000000000000004">
      <c r="A106" s="5">
        <f t="shared" si="6"/>
        <v>25</v>
      </c>
      <c r="B106" s="4">
        <f t="shared" si="7"/>
        <v>0</v>
      </c>
      <c r="C106" s="14" t="e">
        <f>#REF!</f>
        <v>#REF!</v>
      </c>
      <c r="D106" s="14" t="e">
        <f>#REF!+1.5</f>
        <v>#REF!</v>
      </c>
      <c r="E106" s="14" t="e">
        <f>#REF!+1.5</f>
        <v>#REF!</v>
      </c>
      <c r="F106" s="14" t="e">
        <f>#REF!+1.5</f>
        <v>#REF!</v>
      </c>
      <c r="G106" s="14" t="e">
        <f>#REF!</f>
        <v>#REF!</v>
      </c>
    </row>
    <row r="107" spans="1:7" hidden="1" x14ac:dyDescent="0.55000000000000004">
      <c r="A107" s="5">
        <f t="shared" si="6"/>
        <v>25.25</v>
      </c>
      <c r="B107" s="4">
        <f t="shared" si="7"/>
        <v>0</v>
      </c>
      <c r="C107" s="14" t="e">
        <f>#REF!</f>
        <v>#REF!</v>
      </c>
      <c r="D107" s="14" t="e">
        <f>#REF!+1.5</f>
        <v>#REF!</v>
      </c>
      <c r="E107" s="14" t="e">
        <f>#REF!+1.5</f>
        <v>#REF!</v>
      </c>
      <c r="F107" s="14" t="e">
        <f>#REF!+1.5</f>
        <v>#REF!</v>
      </c>
      <c r="G107" s="14" t="e">
        <f>#REF!</f>
        <v>#REF!</v>
      </c>
    </row>
    <row r="108" spans="1:7" hidden="1" x14ac:dyDescent="0.55000000000000004">
      <c r="A108" s="5">
        <f t="shared" si="6"/>
        <v>25.5</v>
      </c>
      <c r="B108" s="4">
        <f t="shared" si="7"/>
        <v>0</v>
      </c>
      <c r="C108" s="14" t="e">
        <f>#REF!</f>
        <v>#REF!</v>
      </c>
      <c r="D108" s="14" t="e">
        <f>#REF!+1.5</f>
        <v>#REF!</v>
      </c>
      <c r="E108" s="14" t="e">
        <f>#REF!+1.5</f>
        <v>#REF!</v>
      </c>
      <c r="F108" s="14" t="e">
        <f>#REF!+1.5</f>
        <v>#REF!</v>
      </c>
      <c r="G108" s="14" t="e">
        <f>#REF!</f>
        <v>#REF!</v>
      </c>
    </row>
    <row r="109" spans="1:7" hidden="1" x14ac:dyDescent="0.55000000000000004">
      <c r="A109" s="5">
        <f t="shared" si="6"/>
        <v>25.75</v>
      </c>
      <c r="B109" s="4">
        <f t="shared" si="7"/>
        <v>0</v>
      </c>
      <c r="C109" s="14" t="e">
        <f>#REF!</f>
        <v>#REF!</v>
      </c>
      <c r="D109" s="14" t="e">
        <f>#REF!+1.5</f>
        <v>#REF!</v>
      </c>
      <c r="E109" s="14" t="e">
        <f>#REF!+1.5</f>
        <v>#REF!</v>
      </c>
      <c r="F109" s="14" t="e">
        <f>#REF!+1.5</f>
        <v>#REF!</v>
      </c>
      <c r="G109" s="14" t="e">
        <f>#REF!</f>
        <v>#REF!</v>
      </c>
    </row>
    <row r="110" spans="1:7" hidden="1" x14ac:dyDescent="0.55000000000000004">
      <c r="A110" s="5">
        <f t="shared" si="6"/>
        <v>26</v>
      </c>
      <c r="B110" s="4">
        <f t="shared" si="7"/>
        <v>0</v>
      </c>
      <c r="C110" s="14" t="e">
        <f>#REF!</f>
        <v>#REF!</v>
      </c>
      <c r="D110" s="14" t="e">
        <f>#REF!+1.5</f>
        <v>#REF!</v>
      </c>
      <c r="E110" s="14" t="e">
        <f>#REF!+1.5</f>
        <v>#REF!</v>
      </c>
      <c r="F110" s="14" t="e">
        <f>#REF!+1.5</f>
        <v>#REF!</v>
      </c>
      <c r="G110" s="14" t="e">
        <f>#REF!</f>
        <v>#REF!</v>
      </c>
    </row>
    <row r="111" spans="1:7" hidden="1" x14ac:dyDescent="0.55000000000000004">
      <c r="A111" s="5">
        <f t="shared" si="6"/>
        <v>26.25</v>
      </c>
      <c r="B111" s="4">
        <f t="shared" si="7"/>
        <v>0</v>
      </c>
      <c r="C111" s="14" t="e">
        <f>#REF!</f>
        <v>#REF!</v>
      </c>
      <c r="D111" s="14" t="e">
        <f>#REF!+1.5</f>
        <v>#REF!</v>
      </c>
      <c r="E111" s="14" t="e">
        <f>#REF!+1.5</f>
        <v>#REF!</v>
      </c>
      <c r="F111" s="14" t="e">
        <f>#REF!+1.5</f>
        <v>#REF!</v>
      </c>
      <c r="G111" s="14" t="e">
        <f>#REF!</f>
        <v>#REF!</v>
      </c>
    </row>
    <row r="112" spans="1:7" hidden="1" x14ac:dyDescent="0.55000000000000004">
      <c r="A112" s="5">
        <f t="shared" si="6"/>
        <v>26.5</v>
      </c>
      <c r="B112" s="4">
        <f t="shared" si="7"/>
        <v>0</v>
      </c>
      <c r="C112" s="14" t="e">
        <f>#REF!</f>
        <v>#REF!</v>
      </c>
      <c r="D112" s="14" t="e">
        <f>#REF!+1.5</f>
        <v>#REF!</v>
      </c>
      <c r="E112" s="14" t="e">
        <f>#REF!+1.5</f>
        <v>#REF!</v>
      </c>
      <c r="F112" s="14" t="e">
        <f>#REF!+1.5</f>
        <v>#REF!</v>
      </c>
      <c r="G112" s="14" t="e">
        <f>#REF!</f>
        <v>#REF!</v>
      </c>
    </row>
    <row r="113" spans="1:7" hidden="1" x14ac:dyDescent="0.55000000000000004">
      <c r="A113" s="5">
        <f t="shared" si="6"/>
        <v>26.75</v>
      </c>
      <c r="B113" s="4">
        <f t="shared" si="7"/>
        <v>0</v>
      </c>
      <c r="C113" s="14" t="e">
        <f>#REF!</f>
        <v>#REF!</v>
      </c>
      <c r="D113" s="14" t="e">
        <f>#REF!+1.5</f>
        <v>#REF!</v>
      </c>
      <c r="E113" s="14" t="e">
        <f>#REF!+1.5</f>
        <v>#REF!</v>
      </c>
      <c r="F113" s="14" t="e">
        <f>#REF!+1.5</f>
        <v>#REF!</v>
      </c>
      <c r="G113" s="14" t="e">
        <f>#REF!</f>
        <v>#REF!</v>
      </c>
    </row>
    <row r="114" spans="1:7" hidden="1" x14ac:dyDescent="0.55000000000000004">
      <c r="A114" s="5">
        <f t="shared" si="6"/>
        <v>27</v>
      </c>
      <c r="B114" s="4">
        <f t="shared" si="7"/>
        <v>0</v>
      </c>
      <c r="C114" s="14" t="e">
        <f>#REF!</f>
        <v>#REF!</v>
      </c>
      <c r="D114" s="14" t="e">
        <f>#REF!+1.5</f>
        <v>#REF!</v>
      </c>
      <c r="E114" s="14" t="e">
        <f>#REF!+1.5</f>
        <v>#REF!</v>
      </c>
      <c r="F114" s="14" t="e">
        <f>#REF!+1.5</f>
        <v>#REF!</v>
      </c>
      <c r="G114" s="14" t="e">
        <f>#REF!</f>
        <v>#REF!</v>
      </c>
    </row>
    <row r="115" spans="1:7" hidden="1" x14ac:dyDescent="0.55000000000000004">
      <c r="A115" s="5">
        <f t="shared" si="6"/>
        <v>27.25</v>
      </c>
      <c r="B115" s="4">
        <f t="shared" si="7"/>
        <v>0</v>
      </c>
      <c r="C115" s="14" t="e">
        <f>#REF!</f>
        <v>#REF!</v>
      </c>
      <c r="D115" s="14" t="e">
        <f>#REF!+1.5</f>
        <v>#REF!</v>
      </c>
      <c r="E115" s="14" t="e">
        <f>#REF!+1.5</f>
        <v>#REF!</v>
      </c>
      <c r="F115" s="14" t="e">
        <f>#REF!+1.5</f>
        <v>#REF!</v>
      </c>
      <c r="G115" s="14" t="e">
        <f>#REF!</f>
        <v>#REF!</v>
      </c>
    </row>
    <row r="116" spans="1:7" hidden="1" x14ac:dyDescent="0.55000000000000004">
      <c r="A116" s="5">
        <f t="shared" si="6"/>
        <v>27.5</v>
      </c>
      <c r="B116" s="4">
        <f t="shared" si="7"/>
        <v>0</v>
      </c>
      <c r="C116" s="14" t="e">
        <f>#REF!</f>
        <v>#REF!</v>
      </c>
      <c r="D116" s="14" t="e">
        <f>#REF!+1.5</f>
        <v>#REF!</v>
      </c>
      <c r="E116" s="14" t="e">
        <f>#REF!+1.5</f>
        <v>#REF!</v>
      </c>
      <c r="F116" s="14" t="e">
        <f>#REF!+1.5</f>
        <v>#REF!</v>
      </c>
      <c r="G116" s="14" t="e">
        <f>#REF!</f>
        <v>#REF!</v>
      </c>
    </row>
    <row r="117" spans="1:7" hidden="1" x14ac:dyDescent="0.55000000000000004">
      <c r="A117" s="5">
        <f t="shared" si="6"/>
        <v>27.75</v>
      </c>
      <c r="B117" s="4">
        <f t="shared" si="7"/>
        <v>0</v>
      </c>
      <c r="C117" s="14" t="e">
        <f>#REF!</f>
        <v>#REF!</v>
      </c>
      <c r="D117" s="14" t="e">
        <f>#REF!+1.5</f>
        <v>#REF!</v>
      </c>
      <c r="E117" s="14" t="e">
        <f>#REF!+1.5</f>
        <v>#REF!</v>
      </c>
      <c r="F117" s="14" t="e">
        <f>#REF!+1.5</f>
        <v>#REF!</v>
      </c>
      <c r="G117" s="14" t="e">
        <f>#REF!</f>
        <v>#REF!</v>
      </c>
    </row>
    <row r="118" spans="1:7" hidden="1" x14ac:dyDescent="0.55000000000000004">
      <c r="A118" s="5">
        <f t="shared" si="6"/>
        <v>28</v>
      </c>
      <c r="B118" s="4">
        <f t="shared" si="7"/>
        <v>0</v>
      </c>
      <c r="C118" s="14" t="e">
        <f>#REF!</f>
        <v>#REF!</v>
      </c>
      <c r="D118" s="14" t="e">
        <f>#REF!+1.5</f>
        <v>#REF!</v>
      </c>
      <c r="E118" s="14" t="e">
        <f>#REF!+1.5</f>
        <v>#REF!</v>
      </c>
      <c r="F118" s="14" t="e">
        <f>#REF!+1.5</f>
        <v>#REF!</v>
      </c>
      <c r="G118" s="14" t="e">
        <f>#REF!</f>
        <v>#REF!</v>
      </c>
    </row>
    <row r="119" spans="1:7" hidden="1" x14ac:dyDescent="0.55000000000000004">
      <c r="A119" s="5">
        <f t="shared" si="6"/>
        <v>28.25</v>
      </c>
      <c r="B119" s="4">
        <f t="shared" si="7"/>
        <v>0</v>
      </c>
      <c r="C119" s="14" t="e">
        <f>#REF!</f>
        <v>#REF!</v>
      </c>
      <c r="D119" s="14" t="e">
        <f>#REF!+1.5</f>
        <v>#REF!</v>
      </c>
      <c r="E119" s="14" t="e">
        <f>#REF!+1.5</f>
        <v>#REF!</v>
      </c>
      <c r="F119" s="14" t="e">
        <f>#REF!+1.5</f>
        <v>#REF!</v>
      </c>
      <c r="G119" s="14" t="e">
        <f>#REF!</f>
        <v>#REF!</v>
      </c>
    </row>
    <row r="120" spans="1:7" hidden="1" x14ac:dyDescent="0.55000000000000004">
      <c r="A120" s="5">
        <f t="shared" si="6"/>
        <v>28.5</v>
      </c>
      <c r="B120" s="4">
        <f t="shared" si="7"/>
        <v>0</v>
      </c>
      <c r="C120" s="14" t="e">
        <f>#REF!</f>
        <v>#REF!</v>
      </c>
      <c r="D120" s="14" t="e">
        <f>#REF!+1.5</f>
        <v>#REF!</v>
      </c>
      <c r="E120" s="14" t="e">
        <f>#REF!+1.5</f>
        <v>#REF!</v>
      </c>
      <c r="F120" s="14" t="e">
        <f>#REF!+1.5</f>
        <v>#REF!</v>
      </c>
      <c r="G120" s="14" t="e">
        <f>#REF!</f>
        <v>#REF!</v>
      </c>
    </row>
    <row r="121" spans="1:7" hidden="1" x14ac:dyDescent="0.55000000000000004">
      <c r="A121" s="5">
        <f t="shared" si="6"/>
        <v>28.75</v>
      </c>
      <c r="B121" s="4">
        <f t="shared" si="7"/>
        <v>0</v>
      </c>
      <c r="C121" s="14" t="e">
        <f>#REF!</f>
        <v>#REF!</v>
      </c>
      <c r="D121" s="14" t="e">
        <f>#REF!+1.5</f>
        <v>#REF!</v>
      </c>
      <c r="E121" s="14" t="e">
        <f>#REF!+1.5</f>
        <v>#REF!</v>
      </c>
      <c r="F121" s="14" t="e">
        <f>#REF!+1.5</f>
        <v>#REF!</v>
      </c>
      <c r="G121" s="14" t="e">
        <f>#REF!</f>
        <v>#REF!</v>
      </c>
    </row>
    <row r="122" spans="1:7" hidden="1" x14ac:dyDescent="0.55000000000000004">
      <c r="A122" s="5">
        <f t="shared" si="6"/>
        <v>29</v>
      </c>
      <c r="B122" s="4">
        <f t="shared" si="7"/>
        <v>0</v>
      </c>
      <c r="C122" s="14" t="e">
        <f>#REF!</f>
        <v>#REF!</v>
      </c>
      <c r="D122" s="14" t="e">
        <f>#REF!+1.5</f>
        <v>#REF!</v>
      </c>
      <c r="E122" s="14" t="e">
        <f>#REF!+1.5</f>
        <v>#REF!</v>
      </c>
      <c r="F122" s="14" t="e">
        <f>#REF!+1.5</f>
        <v>#REF!</v>
      </c>
      <c r="G122" s="14" t="e">
        <f>#REF!</f>
        <v>#REF!</v>
      </c>
    </row>
    <row r="123" spans="1:7" hidden="1" x14ac:dyDescent="0.55000000000000004">
      <c r="A123" s="5">
        <f t="shared" si="6"/>
        <v>29.25</v>
      </c>
      <c r="B123" s="4">
        <f t="shared" si="7"/>
        <v>0</v>
      </c>
      <c r="C123" s="14" t="e">
        <f>#REF!</f>
        <v>#REF!</v>
      </c>
      <c r="D123" s="14" t="e">
        <f>#REF!+1.5</f>
        <v>#REF!</v>
      </c>
      <c r="E123" s="14" t="e">
        <f>#REF!+1.5</f>
        <v>#REF!</v>
      </c>
      <c r="F123" s="14" t="e">
        <f>#REF!+1.5</f>
        <v>#REF!</v>
      </c>
      <c r="G123" s="14" t="e">
        <f>#REF!</f>
        <v>#REF!</v>
      </c>
    </row>
    <row r="124" spans="1:7" hidden="1" x14ac:dyDescent="0.55000000000000004">
      <c r="A124" s="5">
        <f t="shared" si="6"/>
        <v>29.5</v>
      </c>
      <c r="B124" s="4">
        <f t="shared" si="7"/>
        <v>0</v>
      </c>
      <c r="C124" s="14" t="e">
        <f>#REF!</f>
        <v>#REF!</v>
      </c>
      <c r="D124" s="14" t="e">
        <f>#REF!+1.5</f>
        <v>#REF!</v>
      </c>
      <c r="E124" s="14" t="e">
        <f>#REF!+1.5</f>
        <v>#REF!</v>
      </c>
      <c r="F124" s="14" t="e">
        <f>#REF!+1.5</f>
        <v>#REF!</v>
      </c>
      <c r="G124" s="14" t="e">
        <f>#REF!</f>
        <v>#REF!</v>
      </c>
    </row>
    <row r="125" spans="1:7" hidden="1" x14ac:dyDescent="0.55000000000000004">
      <c r="A125" s="5">
        <f t="shared" si="6"/>
        <v>29.75</v>
      </c>
      <c r="B125" s="4">
        <f t="shared" si="7"/>
        <v>0</v>
      </c>
      <c r="C125" s="14" t="e">
        <f>#REF!</f>
        <v>#REF!</v>
      </c>
      <c r="D125" s="14" t="e">
        <f>#REF!+1.5</f>
        <v>#REF!</v>
      </c>
      <c r="E125" s="14" t="e">
        <f>#REF!+1.5</f>
        <v>#REF!</v>
      </c>
      <c r="F125" s="14" t="e">
        <f>#REF!+1.5</f>
        <v>#REF!</v>
      </c>
      <c r="G125" s="14" t="e">
        <f>#REF!</f>
        <v>#REF!</v>
      </c>
    </row>
    <row r="126" spans="1:7" hidden="1" x14ac:dyDescent="0.55000000000000004">
      <c r="A126" s="5">
        <f t="shared" si="6"/>
        <v>30</v>
      </c>
      <c r="B126" s="4">
        <f t="shared" si="7"/>
        <v>0</v>
      </c>
      <c r="C126" s="14" t="e">
        <f>#REF!</f>
        <v>#REF!</v>
      </c>
      <c r="D126" s="14" t="e">
        <f>#REF!+1.5</f>
        <v>#REF!</v>
      </c>
      <c r="E126" s="14" t="e">
        <f>#REF!+1.5</f>
        <v>#REF!</v>
      </c>
      <c r="F126" s="14" t="e">
        <f>#REF!+1.5</f>
        <v>#REF!</v>
      </c>
      <c r="G126" s="14" t="e">
        <f>#REF!</f>
        <v>#REF!</v>
      </c>
    </row>
    <row r="127" spans="1:7" hidden="1" x14ac:dyDescent="0.55000000000000004">
      <c r="A127" s="5">
        <f t="shared" si="6"/>
        <v>30.25</v>
      </c>
      <c r="B127" s="4">
        <f t="shared" si="7"/>
        <v>0</v>
      </c>
      <c r="C127" s="14" t="e">
        <f>#REF!</f>
        <v>#REF!</v>
      </c>
      <c r="D127" s="14" t="e">
        <f>#REF!+1.5</f>
        <v>#REF!</v>
      </c>
      <c r="E127" s="14" t="e">
        <f>#REF!+1.5</f>
        <v>#REF!</v>
      </c>
      <c r="F127" s="14" t="e">
        <f>#REF!+1.5</f>
        <v>#REF!</v>
      </c>
      <c r="G127" s="14" t="e">
        <f>#REF!</f>
        <v>#REF!</v>
      </c>
    </row>
    <row r="128" spans="1:7" hidden="1" x14ac:dyDescent="0.55000000000000004">
      <c r="A128" s="5">
        <f t="shared" si="6"/>
        <v>30.5</v>
      </c>
      <c r="B128" s="4">
        <f t="shared" si="7"/>
        <v>0</v>
      </c>
      <c r="C128" s="14" t="e">
        <f>#REF!</f>
        <v>#REF!</v>
      </c>
      <c r="D128" s="14" t="e">
        <f>#REF!+1.5</f>
        <v>#REF!</v>
      </c>
      <c r="E128" s="14" t="e">
        <f>#REF!+1.5</f>
        <v>#REF!</v>
      </c>
      <c r="F128" s="14" t="e">
        <f>#REF!+1.5</f>
        <v>#REF!</v>
      </c>
      <c r="G128" s="14" t="e">
        <f>#REF!</f>
        <v>#REF!</v>
      </c>
    </row>
    <row r="129" spans="1:7" hidden="1" x14ac:dyDescent="0.55000000000000004">
      <c r="A129" s="5">
        <f t="shared" si="6"/>
        <v>30.75</v>
      </c>
      <c r="B129" s="4">
        <f t="shared" si="7"/>
        <v>0</v>
      </c>
      <c r="C129" s="14" t="e">
        <f>#REF!</f>
        <v>#REF!</v>
      </c>
      <c r="D129" s="14" t="e">
        <f>#REF!+1.5</f>
        <v>#REF!</v>
      </c>
      <c r="E129" s="14" t="e">
        <f>#REF!+1.5</f>
        <v>#REF!</v>
      </c>
      <c r="F129" s="14" t="e">
        <f>#REF!+1.5</f>
        <v>#REF!</v>
      </c>
      <c r="G129" s="14" t="e">
        <f>#REF!</f>
        <v>#REF!</v>
      </c>
    </row>
    <row r="130" spans="1:7" hidden="1" x14ac:dyDescent="0.55000000000000004">
      <c r="A130" s="5">
        <f t="shared" si="6"/>
        <v>31</v>
      </c>
      <c r="B130" s="4">
        <f t="shared" si="7"/>
        <v>0</v>
      </c>
      <c r="C130" s="14" t="e">
        <f>#REF!</f>
        <v>#REF!</v>
      </c>
      <c r="D130" s="14" t="e">
        <f>#REF!+1.5</f>
        <v>#REF!</v>
      </c>
      <c r="E130" s="14" t="e">
        <f>#REF!+1.5</f>
        <v>#REF!</v>
      </c>
      <c r="F130" s="14" t="e">
        <f>#REF!+1.5</f>
        <v>#REF!</v>
      </c>
      <c r="G130" s="14" t="e">
        <f>#REF!</f>
        <v>#REF!</v>
      </c>
    </row>
    <row r="131" spans="1:7" hidden="1" x14ac:dyDescent="0.55000000000000004">
      <c r="A131" s="5">
        <f t="shared" si="6"/>
        <v>31.25</v>
      </c>
      <c r="B131" s="4">
        <f t="shared" si="7"/>
        <v>0</v>
      </c>
      <c r="C131" s="14" t="e">
        <f>#REF!</f>
        <v>#REF!</v>
      </c>
      <c r="D131" s="14" t="e">
        <f>#REF!+1.5</f>
        <v>#REF!</v>
      </c>
      <c r="E131" s="14" t="e">
        <f>#REF!+1.5</f>
        <v>#REF!</v>
      </c>
      <c r="F131" s="14" t="e">
        <f>#REF!+1.5</f>
        <v>#REF!</v>
      </c>
      <c r="G131" s="14" t="e">
        <f>#REF!</f>
        <v>#REF!</v>
      </c>
    </row>
    <row r="132" spans="1:7" hidden="1" x14ac:dyDescent="0.55000000000000004">
      <c r="A132" s="5">
        <f t="shared" ref="A132:A195" si="8">A131+0.25</f>
        <v>31.5</v>
      </c>
      <c r="B132" s="4">
        <f t="shared" ref="B132:B195" si="9">B131</f>
        <v>0</v>
      </c>
      <c r="C132" s="14" t="e">
        <f>#REF!</f>
        <v>#REF!</v>
      </c>
      <c r="D132" s="14" t="e">
        <f>#REF!+1.5</f>
        <v>#REF!</v>
      </c>
      <c r="E132" s="14" t="e">
        <f>#REF!+1.5</f>
        <v>#REF!</v>
      </c>
      <c r="F132" s="14" t="e">
        <f>#REF!+1.5</f>
        <v>#REF!</v>
      </c>
      <c r="G132" s="14" t="e">
        <f>#REF!</f>
        <v>#REF!</v>
      </c>
    </row>
    <row r="133" spans="1:7" hidden="1" x14ac:dyDescent="0.55000000000000004">
      <c r="A133" s="5">
        <f t="shared" si="8"/>
        <v>31.75</v>
      </c>
      <c r="B133" s="4">
        <f t="shared" si="9"/>
        <v>0</v>
      </c>
      <c r="C133" s="14" t="e">
        <f>#REF!</f>
        <v>#REF!</v>
      </c>
      <c r="D133" s="14" t="e">
        <f>#REF!+1.5</f>
        <v>#REF!</v>
      </c>
      <c r="E133" s="14" t="e">
        <f>#REF!+1.5</f>
        <v>#REF!</v>
      </c>
      <c r="F133" s="14" t="e">
        <f>#REF!+1.5</f>
        <v>#REF!</v>
      </c>
      <c r="G133" s="14" t="e">
        <f>#REF!</f>
        <v>#REF!</v>
      </c>
    </row>
    <row r="134" spans="1:7" hidden="1" x14ac:dyDescent="0.55000000000000004">
      <c r="A134" s="5">
        <f t="shared" si="8"/>
        <v>32</v>
      </c>
      <c r="B134" s="4">
        <f t="shared" si="9"/>
        <v>0</v>
      </c>
      <c r="C134" s="14" t="e">
        <f>#REF!</f>
        <v>#REF!</v>
      </c>
      <c r="D134" s="14" t="e">
        <f>#REF!+1.5</f>
        <v>#REF!</v>
      </c>
      <c r="E134" s="14" t="e">
        <f>#REF!+1.5</f>
        <v>#REF!</v>
      </c>
      <c r="F134" s="14" t="e">
        <f>#REF!+1.5</f>
        <v>#REF!</v>
      </c>
      <c r="G134" s="14" t="e">
        <f>#REF!</f>
        <v>#REF!</v>
      </c>
    </row>
    <row r="135" spans="1:7" hidden="1" x14ac:dyDescent="0.55000000000000004">
      <c r="A135" s="5">
        <f t="shared" si="8"/>
        <v>32.25</v>
      </c>
      <c r="B135" s="4">
        <f t="shared" si="9"/>
        <v>0</v>
      </c>
      <c r="C135" s="14" t="e">
        <f>#REF!</f>
        <v>#REF!</v>
      </c>
      <c r="D135" s="14" t="e">
        <f>#REF!+1.5</f>
        <v>#REF!</v>
      </c>
      <c r="E135" s="14" t="e">
        <f>#REF!+1.5</f>
        <v>#REF!</v>
      </c>
      <c r="F135" s="14" t="e">
        <f>#REF!+1.5</f>
        <v>#REF!</v>
      </c>
      <c r="G135" s="14" t="e">
        <f>#REF!</f>
        <v>#REF!</v>
      </c>
    </row>
    <row r="136" spans="1:7" hidden="1" x14ac:dyDescent="0.55000000000000004">
      <c r="A136" s="5">
        <f t="shared" si="8"/>
        <v>32.5</v>
      </c>
      <c r="B136" s="4">
        <f t="shared" si="9"/>
        <v>0</v>
      </c>
      <c r="C136" s="14" t="e">
        <f>#REF!</f>
        <v>#REF!</v>
      </c>
      <c r="D136" s="14" t="e">
        <f>#REF!+1.5</f>
        <v>#REF!</v>
      </c>
      <c r="E136" s="14" t="e">
        <f>#REF!+1.5</f>
        <v>#REF!</v>
      </c>
      <c r="F136" s="14" t="e">
        <f>#REF!+1.5</f>
        <v>#REF!</v>
      </c>
      <c r="G136" s="14" t="e">
        <f>#REF!</f>
        <v>#REF!</v>
      </c>
    </row>
    <row r="137" spans="1:7" hidden="1" x14ac:dyDescent="0.55000000000000004">
      <c r="A137" s="5">
        <f t="shared" si="8"/>
        <v>32.75</v>
      </c>
      <c r="B137" s="4">
        <f t="shared" si="9"/>
        <v>0</v>
      </c>
      <c r="C137" s="14" t="e">
        <f>#REF!</f>
        <v>#REF!</v>
      </c>
      <c r="D137" s="14" t="e">
        <f>#REF!+1.5</f>
        <v>#REF!</v>
      </c>
      <c r="E137" s="14" t="e">
        <f>#REF!+1.5</f>
        <v>#REF!</v>
      </c>
      <c r="F137" s="14" t="e">
        <f>#REF!+1.5</f>
        <v>#REF!</v>
      </c>
      <c r="G137" s="14" t="e">
        <f>#REF!</f>
        <v>#REF!</v>
      </c>
    </row>
    <row r="138" spans="1:7" hidden="1" x14ac:dyDescent="0.55000000000000004">
      <c r="A138" s="5">
        <f t="shared" si="8"/>
        <v>33</v>
      </c>
      <c r="B138" s="4">
        <f t="shared" si="9"/>
        <v>0</v>
      </c>
      <c r="C138" s="14" t="e">
        <f>#REF!</f>
        <v>#REF!</v>
      </c>
      <c r="D138" s="14" t="e">
        <f>#REF!+1.5</f>
        <v>#REF!</v>
      </c>
      <c r="E138" s="14" t="e">
        <f>#REF!+1.5</f>
        <v>#REF!</v>
      </c>
      <c r="F138" s="14" t="e">
        <f>#REF!+1.5</f>
        <v>#REF!</v>
      </c>
      <c r="G138" s="14" t="e">
        <f>#REF!</f>
        <v>#REF!</v>
      </c>
    </row>
    <row r="139" spans="1:7" hidden="1" x14ac:dyDescent="0.55000000000000004">
      <c r="A139" s="5">
        <f t="shared" si="8"/>
        <v>33.25</v>
      </c>
      <c r="B139" s="4">
        <f t="shared" si="9"/>
        <v>0</v>
      </c>
      <c r="C139" s="14" t="e">
        <f>#REF!</f>
        <v>#REF!</v>
      </c>
      <c r="D139" s="14" t="e">
        <f>#REF!+1.5</f>
        <v>#REF!</v>
      </c>
      <c r="E139" s="14" t="e">
        <f>#REF!+1.5</f>
        <v>#REF!</v>
      </c>
      <c r="F139" s="14" t="e">
        <f>#REF!+1.5</f>
        <v>#REF!</v>
      </c>
      <c r="G139" s="14" t="e">
        <f>#REF!</f>
        <v>#REF!</v>
      </c>
    </row>
    <row r="140" spans="1:7" hidden="1" x14ac:dyDescent="0.55000000000000004">
      <c r="A140" s="5">
        <f t="shared" si="8"/>
        <v>33.5</v>
      </c>
      <c r="B140" s="4">
        <f t="shared" si="9"/>
        <v>0</v>
      </c>
      <c r="C140" s="14" t="e">
        <f>#REF!</f>
        <v>#REF!</v>
      </c>
      <c r="D140" s="14" t="e">
        <f>#REF!+1.5</f>
        <v>#REF!</v>
      </c>
      <c r="E140" s="14" t="e">
        <f>#REF!+1.5</f>
        <v>#REF!</v>
      </c>
      <c r="F140" s="14" t="e">
        <f>#REF!+1.5</f>
        <v>#REF!</v>
      </c>
      <c r="G140" s="14" t="e">
        <f>#REF!</f>
        <v>#REF!</v>
      </c>
    </row>
    <row r="141" spans="1:7" hidden="1" x14ac:dyDescent="0.55000000000000004">
      <c r="A141" s="5">
        <f t="shared" si="8"/>
        <v>33.75</v>
      </c>
      <c r="B141" s="4">
        <f t="shared" si="9"/>
        <v>0</v>
      </c>
      <c r="C141" s="14" t="e">
        <f>#REF!</f>
        <v>#REF!</v>
      </c>
      <c r="D141" s="14" t="e">
        <f>#REF!+1.5</f>
        <v>#REF!</v>
      </c>
      <c r="E141" s="14" t="e">
        <f>#REF!+1.5</f>
        <v>#REF!</v>
      </c>
      <c r="F141" s="14" t="e">
        <f>#REF!+1.5</f>
        <v>#REF!</v>
      </c>
      <c r="G141" s="14" t="e">
        <f>#REF!</f>
        <v>#REF!</v>
      </c>
    </row>
    <row r="142" spans="1:7" hidden="1" x14ac:dyDescent="0.55000000000000004">
      <c r="A142" s="5">
        <f t="shared" si="8"/>
        <v>34</v>
      </c>
      <c r="B142" s="4">
        <f t="shared" si="9"/>
        <v>0</v>
      </c>
      <c r="C142" s="14" t="e">
        <f>#REF!</f>
        <v>#REF!</v>
      </c>
      <c r="D142" s="14" t="e">
        <f>#REF!+1.5</f>
        <v>#REF!</v>
      </c>
      <c r="E142" s="14" t="e">
        <f>#REF!+1.5</f>
        <v>#REF!</v>
      </c>
      <c r="F142" s="14" t="e">
        <f>#REF!+1.5</f>
        <v>#REF!</v>
      </c>
      <c r="G142" s="14" t="e">
        <f>#REF!</f>
        <v>#REF!</v>
      </c>
    </row>
    <row r="143" spans="1:7" hidden="1" x14ac:dyDescent="0.55000000000000004">
      <c r="A143" s="5">
        <f t="shared" si="8"/>
        <v>34.25</v>
      </c>
      <c r="B143" s="4">
        <f t="shared" si="9"/>
        <v>0</v>
      </c>
      <c r="C143" s="14" t="e">
        <f>#REF!</f>
        <v>#REF!</v>
      </c>
      <c r="D143" s="14" t="e">
        <f>#REF!+1.5</f>
        <v>#REF!</v>
      </c>
      <c r="E143" s="14" t="e">
        <f>#REF!+1.5</f>
        <v>#REF!</v>
      </c>
      <c r="F143" s="14" t="e">
        <f>#REF!+1.5</f>
        <v>#REF!</v>
      </c>
      <c r="G143" s="14" t="e">
        <f>#REF!</f>
        <v>#REF!</v>
      </c>
    </row>
    <row r="144" spans="1:7" hidden="1" x14ac:dyDescent="0.55000000000000004">
      <c r="A144" s="5">
        <f t="shared" si="8"/>
        <v>34.5</v>
      </c>
      <c r="B144" s="4">
        <f t="shared" si="9"/>
        <v>0</v>
      </c>
      <c r="C144" s="14" t="e">
        <f>#REF!</f>
        <v>#REF!</v>
      </c>
      <c r="D144" s="14" t="e">
        <f>#REF!+1.5</f>
        <v>#REF!</v>
      </c>
      <c r="E144" s="14" t="e">
        <f>#REF!+1.5</f>
        <v>#REF!</v>
      </c>
      <c r="F144" s="14" t="e">
        <f>#REF!+1.5</f>
        <v>#REF!</v>
      </c>
      <c r="G144" s="14" t="e">
        <f>#REF!</f>
        <v>#REF!</v>
      </c>
    </row>
    <row r="145" spans="1:7" hidden="1" x14ac:dyDescent="0.55000000000000004">
      <c r="A145" s="5">
        <f t="shared" si="8"/>
        <v>34.75</v>
      </c>
      <c r="B145" s="4">
        <f t="shared" si="9"/>
        <v>0</v>
      </c>
      <c r="C145" s="14" t="e">
        <f>#REF!</f>
        <v>#REF!</v>
      </c>
      <c r="D145" s="14" t="e">
        <f>#REF!+1.5</f>
        <v>#REF!</v>
      </c>
      <c r="E145" s="14" t="e">
        <f>#REF!+1.5</f>
        <v>#REF!</v>
      </c>
      <c r="F145" s="14" t="e">
        <f>#REF!+1.5</f>
        <v>#REF!</v>
      </c>
      <c r="G145" s="14" t="e">
        <f>#REF!</f>
        <v>#REF!</v>
      </c>
    </row>
    <row r="146" spans="1:7" hidden="1" x14ac:dyDescent="0.55000000000000004">
      <c r="A146" s="5">
        <f t="shared" si="8"/>
        <v>35</v>
      </c>
      <c r="B146" s="4">
        <f t="shared" si="9"/>
        <v>0</v>
      </c>
      <c r="C146" s="14" t="e">
        <f>#REF!</f>
        <v>#REF!</v>
      </c>
      <c r="D146" s="14" t="e">
        <f>#REF!+1.5</f>
        <v>#REF!</v>
      </c>
      <c r="E146" s="14" t="e">
        <f>#REF!+1.5</f>
        <v>#REF!</v>
      </c>
      <c r="F146" s="14" t="e">
        <f>#REF!+1.5</f>
        <v>#REF!</v>
      </c>
      <c r="G146" s="14" t="e">
        <f>#REF!</f>
        <v>#REF!</v>
      </c>
    </row>
    <row r="147" spans="1:7" hidden="1" x14ac:dyDescent="0.55000000000000004">
      <c r="A147" s="5">
        <f t="shared" si="8"/>
        <v>35.25</v>
      </c>
      <c r="B147" s="4">
        <f t="shared" si="9"/>
        <v>0</v>
      </c>
      <c r="C147" s="14" t="e">
        <f>#REF!</f>
        <v>#REF!</v>
      </c>
      <c r="D147" s="14" t="e">
        <f>#REF!+1.5</f>
        <v>#REF!</v>
      </c>
      <c r="E147" s="14" t="e">
        <f>#REF!+1.5</f>
        <v>#REF!</v>
      </c>
      <c r="F147" s="14" t="e">
        <f>#REF!+1.5</f>
        <v>#REF!</v>
      </c>
      <c r="G147" s="14" t="e">
        <f>#REF!</f>
        <v>#REF!</v>
      </c>
    </row>
    <row r="148" spans="1:7" hidden="1" x14ac:dyDescent="0.55000000000000004">
      <c r="A148" s="5">
        <f t="shared" si="8"/>
        <v>35.5</v>
      </c>
      <c r="B148" s="4">
        <f t="shared" si="9"/>
        <v>0</v>
      </c>
      <c r="C148" s="14" t="e">
        <f>#REF!</f>
        <v>#REF!</v>
      </c>
      <c r="D148" s="14" t="e">
        <f>#REF!+1.5</f>
        <v>#REF!</v>
      </c>
      <c r="E148" s="14" t="e">
        <f>#REF!+1.5</f>
        <v>#REF!</v>
      </c>
      <c r="F148" s="14" t="e">
        <f>#REF!+1.5</f>
        <v>#REF!</v>
      </c>
      <c r="G148" s="14" t="e">
        <f>#REF!</f>
        <v>#REF!</v>
      </c>
    </row>
    <row r="149" spans="1:7" hidden="1" x14ac:dyDescent="0.55000000000000004">
      <c r="A149" s="5">
        <f t="shared" si="8"/>
        <v>35.75</v>
      </c>
      <c r="B149" s="4">
        <f t="shared" si="9"/>
        <v>0</v>
      </c>
      <c r="C149" s="14" t="e">
        <f>#REF!</f>
        <v>#REF!</v>
      </c>
      <c r="D149" s="14" t="e">
        <f>#REF!+1.5</f>
        <v>#REF!</v>
      </c>
      <c r="E149" s="14" t="e">
        <f>#REF!+1.5</f>
        <v>#REF!</v>
      </c>
      <c r="F149" s="14" t="e">
        <f>#REF!+1.5</f>
        <v>#REF!</v>
      </c>
      <c r="G149" s="14" t="e">
        <f>#REF!</f>
        <v>#REF!</v>
      </c>
    </row>
    <row r="150" spans="1:7" hidden="1" x14ac:dyDescent="0.55000000000000004">
      <c r="A150" s="5">
        <f t="shared" si="8"/>
        <v>36</v>
      </c>
      <c r="B150" s="4">
        <f t="shared" si="9"/>
        <v>0</v>
      </c>
      <c r="C150" s="14" t="e">
        <f>#REF!</f>
        <v>#REF!</v>
      </c>
      <c r="D150" s="14" t="e">
        <f>#REF!+1.5</f>
        <v>#REF!</v>
      </c>
      <c r="E150" s="14" t="e">
        <f>#REF!+1.5</f>
        <v>#REF!</v>
      </c>
      <c r="F150" s="14" t="e">
        <f>#REF!+1.5</f>
        <v>#REF!</v>
      </c>
      <c r="G150" s="14" t="e">
        <f>#REF!</f>
        <v>#REF!</v>
      </c>
    </row>
    <row r="151" spans="1:7" hidden="1" x14ac:dyDescent="0.55000000000000004">
      <c r="A151" s="5">
        <f t="shared" si="8"/>
        <v>36.25</v>
      </c>
      <c r="B151" s="4">
        <f t="shared" si="9"/>
        <v>0</v>
      </c>
      <c r="C151" s="14" t="e">
        <f>#REF!</f>
        <v>#REF!</v>
      </c>
      <c r="D151" s="14" t="e">
        <f>#REF!+1.5</f>
        <v>#REF!</v>
      </c>
      <c r="E151" s="14" t="e">
        <f>#REF!+1.5</f>
        <v>#REF!</v>
      </c>
      <c r="F151" s="14" t="e">
        <f>#REF!+1.5</f>
        <v>#REF!</v>
      </c>
      <c r="G151" s="14" t="e">
        <f>#REF!</f>
        <v>#REF!</v>
      </c>
    </row>
    <row r="152" spans="1:7" hidden="1" x14ac:dyDescent="0.55000000000000004">
      <c r="A152" s="5">
        <f t="shared" si="8"/>
        <v>36.5</v>
      </c>
      <c r="B152" s="4">
        <f t="shared" si="9"/>
        <v>0</v>
      </c>
      <c r="C152" s="14" t="e">
        <f>#REF!</f>
        <v>#REF!</v>
      </c>
      <c r="D152" s="14" t="e">
        <f>#REF!+1.5</f>
        <v>#REF!</v>
      </c>
      <c r="E152" s="14" t="e">
        <f>#REF!+1.5</f>
        <v>#REF!</v>
      </c>
      <c r="F152" s="14" t="e">
        <f>#REF!+1.5</f>
        <v>#REF!</v>
      </c>
      <c r="G152" s="14" t="e">
        <f>#REF!</f>
        <v>#REF!</v>
      </c>
    </row>
    <row r="153" spans="1:7" hidden="1" x14ac:dyDescent="0.55000000000000004">
      <c r="A153" s="5">
        <f t="shared" si="8"/>
        <v>36.75</v>
      </c>
      <c r="B153" s="4">
        <f t="shared" si="9"/>
        <v>0</v>
      </c>
      <c r="C153" s="14" t="e">
        <f>#REF!</f>
        <v>#REF!</v>
      </c>
      <c r="D153" s="14" t="e">
        <f>#REF!+1.5</f>
        <v>#REF!</v>
      </c>
      <c r="E153" s="14" t="e">
        <f>#REF!+1.5</f>
        <v>#REF!</v>
      </c>
      <c r="F153" s="14" t="e">
        <f>#REF!+1.5</f>
        <v>#REF!</v>
      </c>
      <c r="G153" s="14" t="e">
        <f>#REF!</f>
        <v>#REF!</v>
      </c>
    </row>
    <row r="154" spans="1:7" hidden="1" x14ac:dyDescent="0.55000000000000004">
      <c r="A154" s="5">
        <f t="shared" si="8"/>
        <v>37</v>
      </c>
      <c r="B154" s="4">
        <f t="shared" si="9"/>
        <v>0</v>
      </c>
      <c r="C154" s="14" t="e">
        <f>#REF!</f>
        <v>#REF!</v>
      </c>
      <c r="D154" s="14" t="e">
        <f>#REF!+1.5</f>
        <v>#REF!</v>
      </c>
      <c r="E154" s="14" t="e">
        <f>#REF!+1.5</f>
        <v>#REF!</v>
      </c>
      <c r="F154" s="14" t="e">
        <f>#REF!+1.5</f>
        <v>#REF!</v>
      </c>
      <c r="G154" s="14" t="e">
        <f>#REF!</f>
        <v>#REF!</v>
      </c>
    </row>
    <row r="155" spans="1:7" hidden="1" x14ac:dyDescent="0.55000000000000004">
      <c r="A155" s="5">
        <f t="shared" si="8"/>
        <v>37.25</v>
      </c>
      <c r="B155" s="4">
        <f t="shared" si="9"/>
        <v>0</v>
      </c>
      <c r="C155" s="14" t="e">
        <f>#REF!</f>
        <v>#REF!</v>
      </c>
      <c r="D155" s="14" t="e">
        <f>#REF!+1.5</f>
        <v>#REF!</v>
      </c>
      <c r="E155" s="14" t="e">
        <f>#REF!+1.5</f>
        <v>#REF!</v>
      </c>
      <c r="F155" s="14" t="e">
        <f>#REF!+1.5</f>
        <v>#REF!</v>
      </c>
      <c r="G155" s="14" t="e">
        <f>#REF!</f>
        <v>#REF!</v>
      </c>
    </row>
    <row r="156" spans="1:7" hidden="1" x14ac:dyDescent="0.55000000000000004">
      <c r="A156" s="5">
        <f t="shared" si="8"/>
        <v>37.5</v>
      </c>
      <c r="B156" s="4">
        <f t="shared" si="9"/>
        <v>0</v>
      </c>
      <c r="C156" s="14" t="e">
        <f>#REF!</f>
        <v>#REF!</v>
      </c>
      <c r="D156" s="14" t="e">
        <f>#REF!+1.5</f>
        <v>#REF!</v>
      </c>
      <c r="E156" s="14" t="e">
        <f>#REF!+1.5</f>
        <v>#REF!</v>
      </c>
      <c r="F156" s="14" t="e">
        <f>#REF!+1.5</f>
        <v>#REF!</v>
      </c>
      <c r="G156" s="14" t="e">
        <f>#REF!</f>
        <v>#REF!</v>
      </c>
    </row>
    <row r="157" spans="1:7" hidden="1" x14ac:dyDescent="0.55000000000000004">
      <c r="A157" s="5">
        <f t="shared" si="8"/>
        <v>37.75</v>
      </c>
      <c r="B157" s="4">
        <f t="shared" si="9"/>
        <v>0</v>
      </c>
      <c r="C157" s="14" t="e">
        <f>#REF!</f>
        <v>#REF!</v>
      </c>
      <c r="D157" s="14" t="e">
        <f>#REF!+1.5</f>
        <v>#REF!</v>
      </c>
      <c r="E157" s="14" t="e">
        <f>#REF!+1.5</f>
        <v>#REF!</v>
      </c>
      <c r="F157" s="14" t="e">
        <f>#REF!+1.5</f>
        <v>#REF!</v>
      </c>
      <c r="G157" s="14" t="e">
        <f>#REF!</f>
        <v>#REF!</v>
      </c>
    </row>
    <row r="158" spans="1:7" hidden="1" x14ac:dyDescent="0.55000000000000004">
      <c r="A158" s="5">
        <f t="shared" si="8"/>
        <v>38</v>
      </c>
      <c r="B158" s="4">
        <f t="shared" si="9"/>
        <v>0</v>
      </c>
      <c r="C158" s="14" t="e">
        <f>#REF!</f>
        <v>#REF!</v>
      </c>
      <c r="D158" s="14" t="e">
        <f>#REF!+1.5</f>
        <v>#REF!</v>
      </c>
      <c r="E158" s="14" t="e">
        <f>#REF!+1.5</f>
        <v>#REF!</v>
      </c>
      <c r="F158" s="14" t="e">
        <f>#REF!+1.5</f>
        <v>#REF!</v>
      </c>
      <c r="G158" s="14" t="e">
        <f>#REF!</f>
        <v>#REF!</v>
      </c>
    </row>
    <row r="159" spans="1:7" hidden="1" x14ac:dyDescent="0.55000000000000004">
      <c r="A159" s="5">
        <f t="shared" si="8"/>
        <v>38.25</v>
      </c>
      <c r="B159" s="4">
        <f t="shared" si="9"/>
        <v>0</v>
      </c>
      <c r="C159" s="14" t="e">
        <f>#REF!</f>
        <v>#REF!</v>
      </c>
      <c r="D159" s="14" t="e">
        <f>#REF!+1.5</f>
        <v>#REF!</v>
      </c>
      <c r="E159" s="14" t="e">
        <f>#REF!+1.5</f>
        <v>#REF!</v>
      </c>
      <c r="F159" s="14" t="e">
        <f>#REF!+1.5</f>
        <v>#REF!</v>
      </c>
      <c r="G159" s="14" t="e">
        <f>#REF!</f>
        <v>#REF!</v>
      </c>
    </row>
    <row r="160" spans="1:7" hidden="1" x14ac:dyDescent="0.55000000000000004">
      <c r="A160" s="5">
        <f t="shared" si="8"/>
        <v>38.5</v>
      </c>
      <c r="B160" s="4">
        <f t="shared" si="9"/>
        <v>0</v>
      </c>
      <c r="C160" s="14" t="e">
        <f>#REF!</f>
        <v>#REF!</v>
      </c>
      <c r="D160" s="14" t="e">
        <f>#REF!+1.5</f>
        <v>#REF!</v>
      </c>
      <c r="E160" s="14" t="e">
        <f>#REF!+1.5</f>
        <v>#REF!</v>
      </c>
      <c r="F160" s="14" t="e">
        <f>#REF!+1.5</f>
        <v>#REF!</v>
      </c>
      <c r="G160" s="14" t="e">
        <f>#REF!</f>
        <v>#REF!</v>
      </c>
    </row>
    <row r="161" spans="1:7" hidden="1" x14ac:dyDescent="0.55000000000000004">
      <c r="A161" s="5">
        <f t="shared" si="8"/>
        <v>38.75</v>
      </c>
      <c r="B161" s="4">
        <f t="shared" si="9"/>
        <v>0</v>
      </c>
      <c r="C161" s="14" t="e">
        <f>#REF!</f>
        <v>#REF!</v>
      </c>
      <c r="D161" s="14" t="e">
        <f>#REF!+1.5</f>
        <v>#REF!</v>
      </c>
      <c r="E161" s="14" t="e">
        <f>#REF!+1.5</f>
        <v>#REF!</v>
      </c>
      <c r="F161" s="14" t="e">
        <f>#REF!+1.5</f>
        <v>#REF!</v>
      </c>
      <c r="G161" s="14" t="e">
        <f>#REF!</f>
        <v>#REF!</v>
      </c>
    </row>
    <row r="162" spans="1:7" hidden="1" x14ac:dyDescent="0.55000000000000004">
      <c r="A162" s="5">
        <f t="shared" si="8"/>
        <v>39</v>
      </c>
      <c r="B162" s="4">
        <f t="shared" si="9"/>
        <v>0</v>
      </c>
      <c r="C162" s="14" t="e">
        <f>#REF!</f>
        <v>#REF!</v>
      </c>
      <c r="D162" s="14" t="e">
        <f>#REF!+1.5</f>
        <v>#REF!</v>
      </c>
      <c r="E162" s="14" t="e">
        <f>#REF!+1.5</f>
        <v>#REF!</v>
      </c>
      <c r="F162" s="14" t="e">
        <f>#REF!+1.5</f>
        <v>#REF!</v>
      </c>
      <c r="G162" s="14" t="e">
        <f>#REF!</f>
        <v>#REF!</v>
      </c>
    </row>
    <row r="163" spans="1:7" hidden="1" x14ac:dyDescent="0.55000000000000004">
      <c r="A163" s="5">
        <f t="shared" si="8"/>
        <v>39.25</v>
      </c>
      <c r="B163" s="4">
        <f t="shared" si="9"/>
        <v>0</v>
      </c>
      <c r="C163" s="14" t="e">
        <f>#REF!</f>
        <v>#REF!</v>
      </c>
      <c r="D163" s="14" t="e">
        <f>#REF!+1.5</f>
        <v>#REF!</v>
      </c>
      <c r="E163" s="14" t="e">
        <f>#REF!+1.5</f>
        <v>#REF!</v>
      </c>
      <c r="F163" s="14" t="e">
        <f>#REF!+1.5</f>
        <v>#REF!</v>
      </c>
      <c r="G163" s="14" t="e">
        <f>#REF!</f>
        <v>#REF!</v>
      </c>
    </row>
    <row r="164" spans="1:7" hidden="1" x14ac:dyDescent="0.55000000000000004">
      <c r="A164" s="5">
        <f t="shared" si="8"/>
        <v>39.5</v>
      </c>
      <c r="B164" s="4">
        <f t="shared" si="9"/>
        <v>0</v>
      </c>
      <c r="C164" s="14" t="e">
        <f>#REF!</f>
        <v>#REF!</v>
      </c>
      <c r="D164" s="14" t="e">
        <f>#REF!+1.5</f>
        <v>#REF!</v>
      </c>
      <c r="E164" s="14" t="e">
        <f>#REF!+1.5</f>
        <v>#REF!</v>
      </c>
      <c r="F164" s="14" t="e">
        <f>#REF!+1.5</f>
        <v>#REF!</v>
      </c>
      <c r="G164" s="14" t="e">
        <f>#REF!</f>
        <v>#REF!</v>
      </c>
    </row>
    <row r="165" spans="1:7" hidden="1" x14ac:dyDescent="0.55000000000000004">
      <c r="A165" s="5">
        <f t="shared" si="8"/>
        <v>39.75</v>
      </c>
      <c r="B165" s="4">
        <f t="shared" si="9"/>
        <v>0</v>
      </c>
      <c r="C165" s="14" t="e">
        <f>#REF!</f>
        <v>#REF!</v>
      </c>
      <c r="D165" s="14" t="e">
        <f>#REF!+1.5</f>
        <v>#REF!</v>
      </c>
      <c r="E165" s="14" t="e">
        <f>#REF!+1.5</f>
        <v>#REF!</v>
      </c>
      <c r="F165" s="14" t="e">
        <f>#REF!+1.5</f>
        <v>#REF!</v>
      </c>
      <c r="G165" s="14" t="e">
        <f>#REF!</f>
        <v>#REF!</v>
      </c>
    </row>
    <row r="166" spans="1:7" hidden="1" x14ac:dyDescent="0.55000000000000004">
      <c r="A166" s="5">
        <f t="shared" si="8"/>
        <v>40</v>
      </c>
      <c r="B166" s="4">
        <f t="shared" si="9"/>
        <v>0</v>
      </c>
      <c r="C166" s="14" t="e">
        <f>#REF!</f>
        <v>#REF!</v>
      </c>
      <c r="D166" s="14" t="e">
        <f>#REF!+1.5</f>
        <v>#REF!</v>
      </c>
      <c r="E166" s="14" t="e">
        <f>#REF!+1.5</f>
        <v>#REF!</v>
      </c>
      <c r="F166" s="14" t="e">
        <f>#REF!+1.5</f>
        <v>#REF!</v>
      </c>
      <c r="G166" s="14" t="e">
        <f>#REF!</f>
        <v>#REF!</v>
      </c>
    </row>
    <row r="167" spans="1:7" hidden="1" x14ac:dyDescent="0.55000000000000004">
      <c r="A167" s="5">
        <f t="shared" si="8"/>
        <v>40.25</v>
      </c>
      <c r="B167" s="4">
        <f t="shared" si="9"/>
        <v>0</v>
      </c>
      <c r="C167" s="14" t="e">
        <f>#REF!</f>
        <v>#REF!</v>
      </c>
      <c r="D167" s="14" t="e">
        <f>#REF!+1.5</f>
        <v>#REF!</v>
      </c>
      <c r="E167" s="14" t="e">
        <f>#REF!+1.5</f>
        <v>#REF!</v>
      </c>
      <c r="F167" s="14" t="e">
        <f>#REF!+1.5</f>
        <v>#REF!</v>
      </c>
      <c r="G167" s="14" t="e">
        <f>#REF!</f>
        <v>#REF!</v>
      </c>
    </row>
    <row r="168" spans="1:7" hidden="1" x14ac:dyDescent="0.55000000000000004">
      <c r="A168" s="5">
        <f t="shared" si="8"/>
        <v>40.5</v>
      </c>
      <c r="B168" s="4">
        <f t="shared" si="9"/>
        <v>0</v>
      </c>
      <c r="C168" s="14" t="e">
        <f>#REF!</f>
        <v>#REF!</v>
      </c>
      <c r="D168" s="14" t="e">
        <f>#REF!+1.5</f>
        <v>#REF!</v>
      </c>
      <c r="E168" s="14" t="e">
        <f>#REF!+1.5</f>
        <v>#REF!</v>
      </c>
      <c r="F168" s="14" t="e">
        <f>#REF!+1.5</f>
        <v>#REF!</v>
      </c>
      <c r="G168" s="14" t="e">
        <f>#REF!</f>
        <v>#REF!</v>
      </c>
    </row>
    <row r="169" spans="1:7" hidden="1" x14ac:dyDescent="0.55000000000000004">
      <c r="A169" s="5">
        <f t="shared" si="8"/>
        <v>40.75</v>
      </c>
      <c r="B169" s="4">
        <f t="shared" si="9"/>
        <v>0</v>
      </c>
      <c r="C169" s="14" t="e">
        <f>#REF!</f>
        <v>#REF!</v>
      </c>
      <c r="D169" s="14" t="e">
        <f>#REF!+1.5</f>
        <v>#REF!</v>
      </c>
      <c r="E169" s="14" t="e">
        <f>#REF!+1.5</f>
        <v>#REF!</v>
      </c>
      <c r="F169" s="14" t="e">
        <f>#REF!+1.5</f>
        <v>#REF!</v>
      </c>
      <c r="G169" s="14" t="e">
        <f>#REF!</f>
        <v>#REF!</v>
      </c>
    </row>
    <row r="170" spans="1:7" hidden="1" x14ac:dyDescent="0.55000000000000004">
      <c r="A170" s="5">
        <f t="shared" si="8"/>
        <v>41</v>
      </c>
      <c r="B170" s="4">
        <f t="shared" si="9"/>
        <v>0</v>
      </c>
      <c r="C170" s="14" t="e">
        <f>#REF!</f>
        <v>#REF!</v>
      </c>
      <c r="D170" s="14" t="e">
        <f>#REF!+1.5</f>
        <v>#REF!</v>
      </c>
      <c r="E170" s="14" t="e">
        <f>#REF!+1.5</f>
        <v>#REF!</v>
      </c>
      <c r="F170" s="14" t="e">
        <f>#REF!+1.5</f>
        <v>#REF!</v>
      </c>
      <c r="G170" s="14" t="e">
        <f>#REF!</f>
        <v>#REF!</v>
      </c>
    </row>
    <row r="171" spans="1:7" hidden="1" x14ac:dyDescent="0.55000000000000004">
      <c r="A171" s="5">
        <f t="shared" si="8"/>
        <v>41.25</v>
      </c>
      <c r="B171" s="4">
        <f t="shared" si="9"/>
        <v>0</v>
      </c>
      <c r="C171" s="14" t="e">
        <f>#REF!</f>
        <v>#REF!</v>
      </c>
      <c r="D171" s="14" t="e">
        <f>#REF!+1.5</f>
        <v>#REF!</v>
      </c>
      <c r="E171" s="14" t="e">
        <f>#REF!+1.5</f>
        <v>#REF!</v>
      </c>
      <c r="F171" s="14" t="e">
        <f>#REF!+1.5</f>
        <v>#REF!</v>
      </c>
      <c r="G171" s="14" t="e">
        <f>#REF!</f>
        <v>#REF!</v>
      </c>
    </row>
    <row r="172" spans="1:7" hidden="1" x14ac:dyDescent="0.55000000000000004">
      <c r="A172" s="5">
        <f t="shared" si="8"/>
        <v>41.5</v>
      </c>
      <c r="B172" s="4">
        <f t="shared" si="9"/>
        <v>0</v>
      </c>
      <c r="C172" s="14" t="e">
        <f>#REF!</f>
        <v>#REF!</v>
      </c>
      <c r="D172" s="14" t="e">
        <f>#REF!+1.5</f>
        <v>#REF!</v>
      </c>
      <c r="E172" s="14" t="e">
        <f>#REF!+1.5</f>
        <v>#REF!</v>
      </c>
      <c r="F172" s="14" t="e">
        <f>#REF!+1.5</f>
        <v>#REF!</v>
      </c>
      <c r="G172" s="14" t="e">
        <f>#REF!</f>
        <v>#REF!</v>
      </c>
    </row>
    <row r="173" spans="1:7" hidden="1" x14ac:dyDescent="0.55000000000000004">
      <c r="A173" s="5">
        <f t="shared" si="8"/>
        <v>41.75</v>
      </c>
      <c r="B173" s="4">
        <f t="shared" si="9"/>
        <v>0</v>
      </c>
      <c r="C173" s="14" t="e">
        <f>#REF!</f>
        <v>#REF!</v>
      </c>
      <c r="D173" s="14" t="e">
        <f>#REF!+1.5</f>
        <v>#REF!</v>
      </c>
      <c r="E173" s="14" t="e">
        <f>#REF!+1.5</f>
        <v>#REF!</v>
      </c>
      <c r="F173" s="14" t="e">
        <f>#REF!+1.5</f>
        <v>#REF!</v>
      </c>
      <c r="G173" s="14" t="e">
        <f>#REF!</f>
        <v>#REF!</v>
      </c>
    </row>
    <row r="174" spans="1:7" hidden="1" x14ac:dyDescent="0.55000000000000004">
      <c r="A174" s="5">
        <f t="shared" si="8"/>
        <v>42</v>
      </c>
      <c r="B174" s="4">
        <f t="shared" si="9"/>
        <v>0</v>
      </c>
      <c r="C174" s="14" t="e">
        <f>#REF!</f>
        <v>#REF!</v>
      </c>
      <c r="D174" s="14" t="e">
        <f>#REF!+1.5</f>
        <v>#REF!</v>
      </c>
      <c r="E174" s="14" t="e">
        <f>#REF!+1.5</f>
        <v>#REF!</v>
      </c>
      <c r="F174" s="14" t="e">
        <f>#REF!+1.5</f>
        <v>#REF!</v>
      </c>
      <c r="G174" s="14" t="e">
        <f>#REF!</f>
        <v>#REF!</v>
      </c>
    </row>
    <row r="175" spans="1:7" hidden="1" x14ac:dyDescent="0.55000000000000004">
      <c r="A175" s="5">
        <f t="shared" si="8"/>
        <v>42.25</v>
      </c>
      <c r="B175" s="4">
        <f t="shared" si="9"/>
        <v>0</v>
      </c>
      <c r="C175" s="14" t="e">
        <f>#REF!</f>
        <v>#REF!</v>
      </c>
      <c r="D175" s="14" t="e">
        <f>#REF!+1.5</f>
        <v>#REF!</v>
      </c>
      <c r="E175" s="14" t="e">
        <f>#REF!+1.5</f>
        <v>#REF!</v>
      </c>
      <c r="F175" s="14" t="e">
        <f>#REF!+1.5</f>
        <v>#REF!</v>
      </c>
      <c r="G175" s="14" t="e">
        <f>#REF!</f>
        <v>#REF!</v>
      </c>
    </row>
    <row r="176" spans="1:7" hidden="1" x14ac:dyDescent="0.55000000000000004">
      <c r="A176" s="5">
        <f t="shared" si="8"/>
        <v>42.5</v>
      </c>
      <c r="B176" s="4">
        <f t="shared" si="9"/>
        <v>0</v>
      </c>
      <c r="C176" s="14" t="e">
        <f>#REF!</f>
        <v>#REF!</v>
      </c>
      <c r="D176" s="14" t="e">
        <f>#REF!+1.5</f>
        <v>#REF!</v>
      </c>
      <c r="E176" s="14" t="e">
        <f>#REF!+1.5</f>
        <v>#REF!</v>
      </c>
      <c r="F176" s="14" t="e">
        <f>#REF!+1.5</f>
        <v>#REF!</v>
      </c>
      <c r="G176" s="14" t="e">
        <f>#REF!</f>
        <v>#REF!</v>
      </c>
    </row>
    <row r="177" spans="1:7" hidden="1" x14ac:dyDescent="0.55000000000000004">
      <c r="A177" s="5">
        <f t="shared" si="8"/>
        <v>42.75</v>
      </c>
      <c r="B177" s="4">
        <f t="shared" si="9"/>
        <v>0</v>
      </c>
      <c r="C177" s="14" t="e">
        <f>#REF!</f>
        <v>#REF!</v>
      </c>
      <c r="D177" s="14" t="e">
        <f>#REF!+1.5</f>
        <v>#REF!</v>
      </c>
      <c r="E177" s="14" t="e">
        <f>#REF!+1.5</f>
        <v>#REF!</v>
      </c>
      <c r="F177" s="14" t="e">
        <f>#REF!+1.5</f>
        <v>#REF!</v>
      </c>
      <c r="G177" s="14" t="e">
        <f>#REF!</f>
        <v>#REF!</v>
      </c>
    </row>
    <row r="178" spans="1:7" hidden="1" x14ac:dyDescent="0.55000000000000004">
      <c r="A178" s="5">
        <f t="shared" si="8"/>
        <v>43</v>
      </c>
      <c r="B178" s="4">
        <f t="shared" si="9"/>
        <v>0</v>
      </c>
      <c r="C178" s="14" t="e">
        <f>#REF!</f>
        <v>#REF!</v>
      </c>
      <c r="D178" s="14" t="e">
        <f>#REF!+1.5</f>
        <v>#REF!</v>
      </c>
      <c r="E178" s="14" t="e">
        <f>#REF!+1.5</f>
        <v>#REF!</v>
      </c>
      <c r="F178" s="14" t="e">
        <f>#REF!+1.5</f>
        <v>#REF!</v>
      </c>
      <c r="G178" s="14" t="e">
        <f>#REF!</f>
        <v>#REF!</v>
      </c>
    </row>
    <row r="179" spans="1:7" hidden="1" x14ac:dyDescent="0.55000000000000004">
      <c r="A179" s="5">
        <f t="shared" si="8"/>
        <v>43.25</v>
      </c>
      <c r="B179" s="4">
        <f t="shared" si="9"/>
        <v>0</v>
      </c>
      <c r="C179" s="14" t="e">
        <f>#REF!</f>
        <v>#REF!</v>
      </c>
      <c r="D179" s="14" t="e">
        <f>#REF!+1.5</f>
        <v>#REF!</v>
      </c>
      <c r="E179" s="14" t="e">
        <f>#REF!+1.5</f>
        <v>#REF!</v>
      </c>
      <c r="F179" s="14" t="e">
        <f>#REF!+1.5</f>
        <v>#REF!</v>
      </c>
      <c r="G179" s="14" t="e">
        <f>#REF!</f>
        <v>#REF!</v>
      </c>
    </row>
    <row r="180" spans="1:7" hidden="1" x14ac:dyDescent="0.55000000000000004">
      <c r="A180" s="5">
        <f t="shared" si="8"/>
        <v>43.5</v>
      </c>
      <c r="B180" s="4">
        <f t="shared" si="9"/>
        <v>0</v>
      </c>
      <c r="C180" s="14" t="e">
        <f>#REF!</f>
        <v>#REF!</v>
      </c>
      <c r="D180" s="14" t="e">
        <f>#REF!+1.5</f>
        <v>#REF!</v>
      </c>
      <c r="E180" s="14" t="e">
        <f>#REF!+1.5</f>
        <v>#REF!</v>
      </c>
      <c r="F180" s="14" t="e">
        <f>#REF!+1.5</f>
        <v>#REF!</v>
      </c>
      <c r="G180" s="14" t="e">
        <f>#REF!</f>
        <v>#REF!</v>
      </c>
    </row>
    <row r="181" spans="1:7" hidden="1" x14ac:dyDescent="0.55000000000000004">
      <c r="A181" s="5">
        <f t="shared" si="8"/>
        <v>43.75</v>
      </c>
      <c r="B181" s="4">
        <f t="shared" si="9"/>
        <v>0</v>
      </c>
      <c r="C181" s="14" t="e">
        <f>#REF!</f>
        <v>#REF!</v>
      </c>
      <c r="D181" s="14" t="e">
        <f>#REF!+1.5</f>
        <v>#REF!</v>
      </c>
      <c r="E181" s="14" t="e">
        <f>#REF!+1.5</f>
        <v>#REF!</v>
      </c>
      <c r="F181" s="14" t="e">
        <f>#REF!+1.5</f>
        <v>#REF!</v>
      </c>
      <c r="G181" s="14" t="e">
        <f>#REF!</f>
        <v>#REF!</v>
      </c>
    </row>
    <row r="182" spans="1:7" hidden="1" x14ac:dyDescent="0.55000000000000004">
      <c r="A182" s="5">
        <f t="shared" si="8"/>
        <v>44</v>
      </c>
      <c r="B182" s="4">
        <f t="shared" si="9"/>
        <v>0</v>
      </c>
      <c r="C182" s="14" t="e">
        <f>#REF!</f>
        <v>#REF!</v>
      </c>
      <c r="D182" s="14" t="e">
        <f>#REF!+1.5</f>
        <v>#REF!</v>
      </c>
      <c r="E182" s="14" t="e">
        <f>#REF!+1.5</f>
        <v>#REF!</v>
      </c>
      <c r="F182" s="14" t="e">
        <f>#REF!+1.5</f>
        <v>#REF!</v>
      </c>
      <c r="G182" s="14" t="e">
        <f>#REF!</f>
        <v>#REF!</v>
      </c>
    </row>
    <row r="183" spans="1:7" hidden="1" x14ac:dyDescent="0.55000000000000004">
      <c r="A183" s="5">
        <f t="shared" si="8"/>
        <v>44.25</v>
      </c>
      <c r="B183" s="4">
        <f t="shared" si="9"/>
        <v>0</v>
      </c>
      <c r="C183" s="14" t="e">
        <f>#REF!</f>
        <v>#REF!</v>
      </c>
      <c r="D183" s="14" t="e">
        <f>#REF!+1.5</f>
        <v>#REF!</v>
      </c>
      <c r="E183" s="14" t="e">
        <f>#REF!+1.5</f>
        <v>#REF!</v>
      </c>
      <c r="F183" s="14" t="e">
        <f>#REF!+1.5</f>
        <v>#REF!</v>
      </c>
      <c r="G183" s="14" t="e">
        <f>#REF!</f>
        <v>#REF!</v>
      </c>
    </row>
    <row r="184" spans="1:7" hidden="1" x14ac:dyDescent="0.55000000000000004">
      <c r="A184" s="5">
        <f t="shared" si="8"/>
        <v>44.5</v>
      </c>
      <c r="B184" s="4">
        <f t="shared" si="9"/>
        <v>0</v>
      </c>
      <c r="C184" s="14" t="e">
        <f>#REF!</f>
        <v>#REF!</v>
      </c>
      <c r="D184" s="14" t="e">
        <f>#REF!+1.5</f>
        <v>#REF!</v>
      </c>
      <c r="E184" s="14" t="e">
        <f>#REF!+1.5</f>
        <v>#REF!</v>
      </c>
      <c r="F184" s="14" t="e">
        <f>#REF!+1.5</f>
        <v>#REF!</v>
      </c>
      <c r="G184" s="14" t="e">
        <f>#REF!</f>
        <v>#REF!</v>
      </c>
    </row>
    <row r="185" spans="1:7" hidden="1" x14ac:dyDescent="0.55000000000000004">
      <c r="A185" s="5">
        <f t="shared" si="8"/>
        <v>44.75</v>
      </c>
      <c r="B185" s="4">
        <f t="shared" si="9"/>
        <v>0</v>
      </c>
      <c r="C185" s="14" t="e">
        <f>#REF!</f>
        <v>#REF!</v>
      </c>
      <c r="D185" s="14" t="e">
        <f>#REF!+1.5</f>
        <v>#REF!</v>
      </c>
      <c r="E185" s="14" t="e">
        <f>#REF!+1.5</f>
        <v>#REF!</v>
      </c>
      <c r="F185" s="14" t="e">
        <f>#REF!+1.5</f>
        <v>#REF!</v>
      </c>
      <c r="G185" s="14" t="e">
        <f>#REF!</f>
        <v>#REF!</v>
      </c>
    </row>
    <row r="186" spans="1:7" hidden="1" x14ac:dyDescent="0.55000000000000004">
      <c r="A186" s="5">
        <f t="shared" si="8"/>
        <v>45</v>
      </c>
      <c r="B186" s="4">
        <f t="shared" si="9"/>
        <v>0</v>
      </c>
      <c r="C186" s="14" t="e">
        <f>#REF!</f>
        <v>#REF!</v>
      </c>
      <c r="D186" s="14" t="e">
        <f>#REF!+1.5</f>
        <v>#REF!</v>
      </c>
      <c r="E186" s="14" t="e">
        <f>#REF!+1.5</f>
        <v>#REF!</v>
      </c>
      <c r="F186" s="14" t="e">
        <f>#REF!+1.5</f>
        <v>#REF!</v>
      </c>
      <c r="G186" s="14" t="e">
        <f>#REF!</f>
        <v>#REF!</v>
      </c>
    </row>
    <row r="187" spans="1:7" hidden="1" x14ac:dyDescent="0.55000000000000004">
      <c r="A187" s="5">
        <f t="shared" si="8"/>
        <v>45.25</v>
      </c>
      <c r="B187" s="4">
        <f t="shared" si="9"/>
        <v>0</v>
      </c>
      <c r="C187" s="14" t="e">
        <f>#REF!</f>
        <v>#REF!</v>
      </c>
      <c r="D187" s="14" t="e">
        <f>#REF!+1.5</f>
        <v>#REF!</v>
      </c>
      <c r="E187" s="14" t="e">
        <f>#REF!+1.5</f>
        <v>#REF!</v>
      </c>
      <c r="F187" s="14" t="e">
        <f>#REF!+1.5</f>
        <v>#REF!</v>
      </c>
      <c r="G187" s="14" t="e">
        <f>#REF!</f>
        <v>#REF!</v>
      </c>
    </row>
    <row r="188" spans="1:7" hidden="1" x14ac:dyDescent="0.55000000000000004">
      <c r="A188" s="5">
        <f t="shared" si="8"/>
        <v>45.5</v>
      </c>
      <c r="B188" s="4">
        <f t="shared" si="9"/>
        <v>0</v>
      </c>
      <c r="C188" s="14" t="e">
        <f>#REF!</f>
        <v>#REF!</v>
      </c>
      <c r="D188" s="14" t="e">
        <f>#REF!+1.5</f>
        <v>#REF!</v>
      </c>
      <c r="E188" s="14" t="e">
        <f>#REF!+1.5</f>
        <v>#REF!</v>
      </c>
      <c r="F188" s="14" t="e">
        <f>#REF!+1.5</f>
        <v>#REF!</v>
      </c>
      <c r="G188" s="14" t="e">
        <f>#REF!</f>
        <v>#REF!</v>
      </c>
    </row>
    <row r="189" spans="1:7" hidden="1" x14ac:dyDescent="0.55000000000000004">
      <c r="A189" s="5">
        <f t="shared" si="8"/>
        <v>45.75</v>
      </c>
      <c r="B189" s="4">
        <f t="shared" si="9"/>
        <v>0</v>
      </c>
      <c r="C189" s="14" t="e">
        <f>#REF!</f>
        <v>#REF!</v>
      </c>
      <c r="D189" s="14" t="e">
        <f>#REF!+1.5</f>
        <v>#REF!</v>
      </c>
      <c r="E189" s="14" t="e">
        <f>#REF!+1.5</f>
        <v>#REF!</v>
      </c>
      <c r="F189" s="14" t="e">
        <f>#REF!+1.5</f>
        <v>#REF!</v>
      </c>
      <c r="G189" s="14" t="e">
        <f>#REF!</f>
        <v>#REF!</v>
      </c>
    </row>
    <row r="190" spans="1:7" hidden="1" x14ac:dyDescent="0.55000000000000004">
      <c r="A190" s="5">
        <f t="shared" si="8"/>
        <v>46</v>
      </c>
      <c r="B190" s="4">
        <f t="shared" si="9"/>
        <v>0</v>
      </c>
      <c r="C190" s="14" t="e">
        <f>#REF!</f>
        <v>#REF!</v>
      </c>
      <c r="D190" s="14" t="e">
        <f>#REF!+1.5</f>
        <v>#REF!</v>
      </c>
      <c r="E190" s="14" t="e">
        <f>#REF!+1.5</f>
        <v>#REF!</v>
      </c>
      <c r="F190" s="14" t="e">
        <f>#REF!+1.5</f>
        <v>#REF!</v>
      </c>
      <c r="G190" s="14" t="e">
        <f>#REF!</f>
        <v>#REF!</v>
      </c>
    </row>
    <row r="191" spans="1:7" hidden="1" x14ac:dyDescent="0.55000000000000004">
      <c r="A191" s="5">
        <f t="shared" si="8"/>
        <v>46.25</v>
      </c>
      <c r="B191" s="4">
        <f t="shared" si="9"/>
        <v>0</v>
      </c>
      <c r="C191" s="14" t="e">
        <f>#REF!</f>
        <v>#REF!</v>
      </c>
      <c r="D191" s="14" t="e">
        <f>#REF!+1.5</f>
        <v>#REF!</v>
      </c>
      <c r="E191" s="14" t="e">
        <f>#REF!+1.5</f>
        <v>#REF!</v>
      </c>
      <c r="F191" s="14" t="e">
        <f>#REF!+1.5</f>
        <v>#REF!</v>
      </c>
      <c r="G191" s="14" t="e">
        <f>#REF!</f>
        <v>#REF!</v>
      </c>
    </row>
    <row r="192" spans="1:7" hidden="1" x14ac:dyDescent="0.55000000000000004">
      <c r="A192" s="5">
        <f t="shared" si="8"/>
        <v>46.5</v>
      </c>
      <c r="B192" s="4">
        <f t="shared" si="9"/>
        <v>0</v>
      </c>
      <c r="C192" s="14" t="e">
        <f>#REF!</f>
        <v>#REF!</v>
      </c>
      <c r="D192" s="14" t="e">
        <f>#REF!+1.5</f>
        <v>#REF!</v>
      </c>
      <c r="E192" s="14" t="e">
        <f>#REF!+1.5</f>
        <v>#REF!</v>
      </c>
      <c r="F192" s="14" t="e">
        <f>#REF!+1.5</f>
        <v>#REF!</v>
      </c>
      <c r="G192" s="14" t="e">
        <f>#REF!</f>
        <v>#REF!</v>
      </c>
    </row>
    <row r="193" spans="1:7" hidden="1" x14ac:dyDescent="0.55000000000000004">
      <c r="A193" s="5">
        <f t="shared" si="8"/>
        <v>46.75</v>
      </c>
      <c r="B193" s="4">
        <f t="shared" si="9"/>
        <v>0</v>
      </c>
      <c r="C193" s="14" t="e">
        <f>#REF!</f>
        <v>#REF!</v>
      </c>
      <c r="D193" s="14" t="e">
        <f>#REF!+1.5</f>
        <v>#REF!</v>
      </c>
      <c r="E193" s="14" t="e">
        <f>#REF!+1.5</f>
        <v>#REF!</v>
      </c>
      <c r="F193" s="14" t="e">
        <f>#REF!+1.5</f>
        <v>#REF!</v>
      </c>
      <c r="G193" s="14" t="e">
        <f>#REF!</f>
        <v>#REF!</v>
      </c>
    </row>
    <row r="194" spans="1:7" hidden="1" x14ac:dyDescent="0.55000000000000004">
      <c r="A194" s="5">
        <f t="shared" si="8"/>
        <v>47</v>
      </c>
      <c r="B194" s="4">
        <f t="shared" si="9"/>
        <v>0</v>
      </c>
      <c r="C194" s="14" t="e">
        <f>#REF!</f>
        <v>#REF!</v>
      </c>
      <c r="D194" s="14" t="e">
        <f>#REF!+1.5</f>
        <v>#REF!</v>
      </c>
      <c r="E194" s="14" t="e">
        <f>#REF!+1.5</f>
        <v>#REF!</v>
      </c>
      <c r="F194" s="14" t="e">
        <f>#REF!+1.5</f>
        <v>#REF!</v>
      </c>
      <c r="G194" s="14" t="e">
        <f>#REF!</f>
        <v>#REF!</v>
      </c>
    </row>
    <row r="195" spans="1:7" hidden="1" x14ac:dyDescent="0.55000000000000004">
      <c r="A195" s="5">
        <f t="shared" si="8"/>
        <v>47.25</v>
      </c>
      <c r="B195" s="4">
        <f t="shared" si="9"/>
        <v>0</v>
      </c>
      <c r="C195" s="14" t="e">
        <f>#REF!</f>
        <v>#REF!</v>
      </c>
      <c r="D195" s="14" t="e">
        <f>#REF!+1.5</f>
        <v>#REF!</v>
      </c>
      <c r="E195" s="14" t="e">
        <f>#REF!+1.5</f>
        <v>#REF!</v>
      </c>
      <c r="F195" s="14" t="e">
        <f>#REF!+1.5</f>
        <v>#REF!</v>
      </c>
      <c r="G195" s="14" t="e">
        <f>#REF!</f>
        <v>#REF!</v>
      </c>
    </row>
    <row r="196" spans="1:7" hidden="1" x14ac:dyDescent="0.55000000000000004">
      <c r="A196" s="5">
        <f t="shared" ref="A196:A200" si="10">A195+0.25</f>
        <v>47.5</v>
      </c>
      <c r="B196" s="4">
        <f t="shared" ref="B196:B200" si="11">B195</f>
        <v>0</v>
      </c>
      <c r="C196" s="14" t="e">
        <f>#REF!</f>
        <v>#REF!</v>
      </c>
      <c r="D196" s="14" t="e">
        <f>#REF!+1.5</f>
        <v>#REF!</v>
      </c>
      <c r="E196" s="14" t="e">
        <f>#REF!+1.5</f>
        <v>#REF!</v>
      </c>
      <c r="F196" s="14" t="e">
        <f>#REF!+1.5</f>
        <v>#REF!</v>
      </c>
      <c r="G196" s="14" t="e">
        <f>#REF!</f>
        <v>#REF!</v>
      </c>
    </row>
    <row r="197" spans="1:7" hidden="1" x14ac:dyDescent="0.55000000000000004">
      <c r="A197" s="5">
        <f t="shared" si="10"/>
        <v>47.75</v>
      </c>
      <c r="B197" s="4">
        <f t="shared" si="11"/>
        <v>0</v>
      </c>
      <c r="C197" s="14" t="e">
        <f>#REF!</f>
        <v>#REF!</v>
      </c>
      <c r="D197" s="14" t="e">
        <f>#REF!+1.5</f>
        <v>#REF!</v>
      </c>
      <c r="E197" s="14" t="e">
        <f>#REF!+1.5</f>
        <v>#REF!</v>
      </c>
      <c r="F197" s="14" t="e">
        <f>#REF!+1.5</f>
        <v>#REF!</v>
      </c>
      <c r="G197" s="14" t="e">
        <f>#REF!</f>
        <v>#REF!</v>
      </c>
    </row>
    <row r="198" spans="1:7" hidden="1" x14ac:dyDescent="0.55000000000000004">
      <c r="A198" s="5">
        <f t="shared" si="10"/>
        <v>48</v>
      </c>
      <c r="B198" s="4">
        <f t="shared" si="11"/>
        <v>0</v>
      </c>
      <c r="C198" s="14" t="e">
        <f>#REF!</f>
        <v>#REF!</v>
      </c>
      <c r="D198" s="14" t="e">
        <f>#REF!+1.5</f>
        <v>#REF!</v>
      </c>
      <c r="E198" s="14" t="e">
        <f>#REF!+1.5</f>
        <v>#REF!</v>
      </c>
      <c r="F198" s="14" t="e">
        <f>#REF!+1.5</f>
        <v>#REF!</v>
      </c>
      <c r="G198" s="14" t="e">
        <f>#REF!</f>
        <v>#REF!</v>
      </c>
    </row>
    <row r="199" spans="1:7" hidden="1" x14ac:dyDescent="0.55000000000000004">
      <c r="A199" s="5">
        <f t="shared" si="10"/>
        <v>48.25</v>
      </c>
      <c r="B199" s="4">
        <f t="shared" si="11"/>
        <v>0</v>
      </c>
      <c r="C199" s="14" t="e">
        <f>#REF!</f>
        <v>#REF!</v>
      </c>
      <c r="D199" s="14" t="e">
        <f>#REF!+1.5</f>
        <v>#REF!</v>
      </c>
      <c r="E199" s="14" t="e">
        <f>#REF!+1.5</f>
        <v>#REF!</v>
      </c>
      <c r="F199" s="14" t="e">
        <f>#REF!+1.5</f>
        <v>#REF!</v>
      </c>
      <c r="G199" s="14" t="e">
        <f>#REF!</f>
        <v>#REF!</v>
      </c>
    </row>
    <row r="200" spans="1:7" hidden="1" x14ac:dyDescent="0.55000000000000004">
      <c r="A200" s="5">
        <f t="shared" si="10"/>
        <v>48.5</v>
      </c>
      <c r="B200" s="4">
        <f t="shared" si="11"/>
        <v>0</v>
      </c>
      <c r="C200" s="14" t="e">
        <f>#REF!</f>
        <v>#REF!</v>
      </c>
      <c r="D200" s="14" t="e">
        <f>#REF!+1.5</f>
        <v>#REF!</v>
      </c>
      <c r="E200" s="14" t="e">
        <f>#REF!+1.5</f>
        <v>#REF!</v>
      </c>
      <c r="F200" s="14" t="e">
        <f>#REF!+1.5</f>
        <v>#REF!</v>
      </c>
      <c r="G200" s="14" t="e">
        <f>#REF!</f>
        <v>#REF!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G</vt:lpstr>
      <vt:lpstr>RdMe</vt:lpstr>
      <vt:lpstr>benchmark</vt:lpstr>
      <vt:lpstr>25hike</vt:lpstr>
      <vt:lpstr>IPIzero</vt:lpstr>
      <vt:lpstr>25hike_IPInear</vt:lpstr>
      <vt:lpstr>25hike_IPIfar</vt:lpstr>
      <vt:lpstr>25hike_IPIminus</vt:lpstr>
      <vt:lpstr>IPI_plus</vt:lpstr>
      <vt:lpstr>IPI_minus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2024-08-01T12:15:59Z</dcterms:modified>
</cp:coreProperties>
</file>