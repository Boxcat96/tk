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ml.chartshape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.xml" ContentType="application/vnd.openxmlformats-officedocument.drawingml.chartshape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ml.chartshape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ml.chartshape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1.xml" ContentType="application/vnd.openxmlformats-officedocument.drawingml.chartshapes+xml"/>
  <Override PartName="/xl/drawings/drawing12.xml" ContentType="application/vnd.openxmlformats-officedocument.drawing+xml"/>
  <Override PartName="/xl/ctrlProps/ctrlProp2.xml" ContentType="application/vnd.ms-excel.controlproperties+xml"/>
  <Override PartName="/xl/drawings/drawing13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4.xml" ContentType="application/vnd.openxmlformats-officedocument.drawingml.chartshapes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5.xml" ContentType="application/vnd.openxmlformats-officedocument.drawingml.chartshapes+xml"/>
  <Override PartName="/xl/drawings/drawing1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7.xml" ContentType="application/vnd.openxmlformats-officedocument.drawingml.chartshapes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8.xml" ContentType="application/vnd.openxmlformats-officedocument.drawingml.chartshapes+xml"/>
  <Override PartName="/xl/drawings/drawing1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20.xml" ContentType="application/vnd.openxmlformats-officedocument.drawingml.chartshapes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21.xml" ContentType="application/vnd.openxmlformats-officedocument.drawingml.chartshapes+xml"/>
  <Override PartName="/xl/drawings/drawing22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23.xml" ContentType="application/vnd.openxmlformats-officedocument.drawingml.chartshapes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24.xml" ContentType="application/vnd.openxmlformats-officedocument.drawingml.chartshapes+xml"/>
  <Override PartName="/xl/drawings/drawing25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6.xml" ContentType="application/vnd.openxmlformats-officedocument.drawingml.chartshapes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7.xml" ContentType="application/vnd.openxmlformats-officedocument.drawingml.chartshapes+xml"/>
  <Override PartName="/xl/drawings/drawing28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9.xml" ContentType="application/vnd.openxmlformats-officedocument.drawingml.chartshapes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30.xml" ContentType="application/vnd.openxmlformats-officedocument.drawingml.chartshapes+xml"/>
  <Override PartName="/xl/drawings/drawing31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32.xml" ContentType="application/vnd.openxmlformats-officedocument.drawingml.chartshapes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33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db8eac9eaa5b2f1d/経済ファイル/02_分析/08_点検/"/>
    </mc:Choice>
  </mc:AlternateContent>
  <xr:revisionPtr revIDLastSave="373" documentId="8_{108EACA5-E0C3-4559-93A9-CC978F73EBD8}" xr6:coauthVersionLast="47" xr6:coauthVersionMax="47" xr10:uidLastSave="{52C8B2BD-6F67-4199-986B-62BAE2AB68FC}"/>
  <bookViews>
    <workbookView xWindow="28680" yWindow="-120" windowWidth="29040" windowHeight="15720" xr2:uid="{342424D5-392E-421C-BB2D-F16C5D781F66}"/>
  </bookViews>
  <sheets>
    <sheet name="G" sheetId="2" r:id="rId1"/>
    <sheet name="RdMe" sheetId="8" r:id="rId2"/>
    <sheet name="benchmark" sheetId="1" r:id="rId3"/>
    <sheet name="25hike" sheetId="9" r:id="rId4"/>
    <sheet name="25hike_IPInear" sheetId="10" r:id="rId5"/>
    <sheet name="25hike_IPIfar" sheetId="12" r:id="rId6"/>
    <sheet name="25hike_IPIminus" sheetId="15" r:id="rId7"/>
    <sheet name="IPI_plus" sheetId="11" r:id="rId8"/>
    <sheet name="IPI_minus" sheetId="13" r:id="rId9"/>
  </sheets>
  <definedNames>
    <definedName name="_xlnm.Print_Area" localSheetId="0">G!$A$1:$N$124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53" i="15" l="1"/>
  <c r="F53" i="15"/>
  <c r="E53" i="15"/>
  <c r="D53" i="15"/>
  <c r="C53" i="15"/>
  <c r="G52" i="15"/>
  <c r="F52" i="15"/>
  <c r="E52" i="15"/>
  <c r="D52" i="15"/>
  <c r="C52" i="15"/>
  <c r="G51" i="15"/>
  <c r="F51" i="15"/>
  <c r="E51" i="15"/>
  <c r="D51" i="15"/>
  <c r="C51" i="15"/>
  <c r="G50" i="15"/>
  <c r="F50" i="15"/>
  <c r="E50" i="15"/>
  <c r="D50" i="15"/>
  <c r="C50" i="15"/>
  <c r="G49" i="15"/>
  <c r="F49" i="15"/>
  <c r="E49" i="15"/>
  <c r="D49" i="15"/>
  <c r="C49" i="15"/>
  <c r="G48" i="15"/>
  <c r="F48" i="15"/>
  <c r="E48" i="15"/>
  <c r="D48" i="15"/>
  <c r="C48" i="15"/>
  <c r="G47" i="15"/>
  <c r="F47" i="15"/>
  <c r="E47" i="15"/>
  <c r="D47" i="15"/>
  <c r="C47" i="15"/>
  <c r="G46" i="15"/>
  <c r="F46" i="15"/>
  <c r="E46" i="15"/>
  <c r="D46" i="15"/>
  <c r="C46" i="15"/>
  <c r="G45" i="15"/>
  <c r="F45" i="15"/>
  <c r="E45" i="15"/>
  <c r="D45" i="15"/>
  <c r="C45" i="15"/>
  <c r="G44" i="15"/>
  <c r="F44" i="15"/>
  <c r="E44" i="15"/>
  <c r="D44" i="15"/>
  <c r="C44" i="15"/>
  <c r="G43" i="15"/>
  <c r="F43" i="15"/>
  <c r="E43" i="15"/>
  <c r="D43" i="15"/>
  <c r="C43" i="15"/>
  <c r="G42" i="15"/>
  <c r="F42" i="15"/>
  <c r="E42" i="15"/>
  <c r="D42" i="15"/>
  <c r="C42" i="15"/>
  <c r="G41" i="15"/>
  <c r="F41" i="15"/>
  <c r="E41" i="15"/>
  <c r="D41" i="15"/>
  <c r="C41" i="15"/>
  <c r="G40" i="15"/>
  <c r="F40" i="15"/>
  <c r="E40" i="15"/>
  <c r="D40" i="15"/>
  <c r="C40" i="15"/>
  <c r="G39" i="15"/>
  <c r="F39" i="15"/>
  <c r="E39" i="15"/>
  <c r="D39" i="15"/>
  <c r="C39" i="15"/>
  <c r="G38" i="15"/>
  <c r="F38" i="15"/>
  <c r="E38" i="15"/>
  <c r="D38" i="15"/>
  <c r="C38" i="15"/>
  <c r="G37" i="15"/>
  <c r="F37" i="15"/>
  <c r="E37" i="15"/>
  <c r="D37" i="15"/>
  <c r="C37" i="15"/>
  <c r="G36" i="15"/>
  <c r="F36" i="15"/>
  <c r="E36" i="15"/>
  <c r="D36" i="15"/>
  <c r="C36" i="15"/>
  <c r="G35" i="15"/>
  <c r="F35" i="15"/>
  <c r="E35" i="15"/>
  <c r="D35" i="15"/>
  <c r="C35" i="15"/>
  <c r="G34" i="15"/>
  <c r="F34" i="15"/>
  <c r="E34" i="15"/>
  <c r="D34" i="15"/>
  <c r="C34" i="15"/>
  <c r="G33" i="15"/>
  <c r="F33" i="15"/>
  <c r="E33" i="15"/>
  <c r="D33" i="15"/>
  <c r="C33" i="15"/>
  <c r="G32" i="15"/>
  <c r="F32" i="15"/>
  <c r="E32" i="15"/>
  <c r="D32" i="15"/>
  <c r="C32" i="15"/>
  <c r="G31" i="15"/>
  <c r="F31" i="15"/>
  <c r="E31" i="15"/>
  <c r="D31" i="15"/>
  <c r="C31" i="15"/>
  <c r="G30" i="15"/>
  <c r="F30" i="15"/>
  <c r="E30" i="15"/>
  <c r="D30" i="15"/>
  <c r="C30" i="15"/>
  <c r="G29" i="15"/>
  <c r="F29" i="15"/>
  <c r="E29" i="15"/>
  <c r="D29" i="15"/>
  <c r="C29" i="15"/>
  <c r="G28" i="15"/>
  <c r="F28" i="15"/>
  <c r="E28" i="15"/>
  <c r="D28" i="15"/>
  <c r="C28" i="15"/>
  <c r="G27" i="15"/>
  <c r="F27" i="15"/>
  <c r="E27" i="15"/>
  <c r="D27" i="15"/>
  <c r="C27" i="15"/>
  <c r="G26" i="15"/>
  <c r="F26" i="15"/>
  <c r="E26" i="15"/>
  <c r="D26" i="15"/>
  <c r="C26" i="15"/>
  <c r="G25" i="15"/>
  <c r="F25" i="15"/>
  <c r="E25" i="15"/>
  <c r="D25" i="15"/>
  <c r="C25" i="15"/>
  <c r="G24" i="15"/>
  <c r="F24" i="15"/>
  <c r="E24" i="15"/>
  <c r="D24" i="15"/>
  <c r="C24" i="15"/>
  <c r="G23" i="15"/>
  <c r="F23" i="15"/>
  <c r="E23" i="15"/>
  <c r="D23" i="15"/>
  <c r="C23" i="15"/>
  <c r="G22" i="15"/>
  <c r="F22" i="15"/>
  <c r="E22" i="15"/>
  <c r="D22" i="15"/>
  <c r="C22" i="15"/>
  <c r="G21" i="15"/>
  <c r="F21" i="15"/>
  <c r="E21" i="15"/>
  <c r="D21" i="15"/>
  <c r="C21" i="15"/>
  <c r="G20" i="15"/>
  <c r="F20" i="15"/>
  <c r="E20" i="15"/>
  <c r="D20" i="15"/>
  <c r="C20" i="15"/>
  <c r="G19" i="15"/>
  <c r="F19" i="15"/>
  <c r="E19" i="15"/>
  <c r="D19" i="15"/>
  <c r="C19" i="15"/>
  <c r="G18" i="15"/>
  <c r="F18" i="15"/>
  <c r="E18" i="15"/>
  <c r="D18" i="15"/>
  <c r="C18" i="15"/>
  <c r="G17" i="15"/>
  <c r="F17" i="15"/>
  <c r="E17" i="15"/>
  <c r="D17" i="15"/>
  <c r="C17" i="15"/>
  <c r="G16" i="15"/>
  <c r="F16" i="15"/>
  <c r="E16" i="15"/>
  <c r="D16" i="15"/>
  <c r="C16" i="15"/>
  <c r="G15" i="15"/>
  <c r="F15" i="15"/>
  <c r="E15" i="15"/>
  <c r="D15" i="15"/>
  <c r="C15" i="15"/>
  <c r="G14" i="15"/>
  <c r="F14" i="15"/>
  <c r="E14" i="15"/>
  <c r="D14" i="15"/>
  <c r="C14" i="15"/>
  <c r="G13" i="15"/>
  <c r="F13" i="15"/>
  <c r="E13" i="15"/>
  <c r="D13" i="15"/>
  <c r="C13" i="15"/>
  <c r="G12" i="15"/>
  <c r="F12" i="15"/>
  <c r="E12" i="15"/>
  <c r="D12" i="15"/>
  <c r="C12" i="15"/>
  <c r="G11" i="15"/>
  <c r="F11" i="15"/>
  <c r="E11" i="15"/>
  <c r="D11" i="15"/>
  <c r="C11" i="15"/>
  <c r="G10" i="15"/>
  <c r="F10" i="15"/>
  <c r="E10" i="15"/>
  <c r="D10" i="15"/>
  <c r="C10" i="15"/>
  <c r="G9" i="15"/>
  <c r="F9" i="15"/>
  <c r="E9" i="15"/>
  <c r="D9" i="15"/>
  <c r="C9" i="15"/>
  <c r="G8" i="15"/>
  <c r="F8" i="15"/>
  <c r="E8" i="15"/>
  <c r="D8" i="15"/>
  <c r="C8" i="15"/>
  <c r="G7" i="15"/>
  <c r="F7" i="15"/>
  <c r="E7" i="15"/>
  <c r="D7" i="15"/>
  <c r="C7" i="15"/>
  <c r="G200" i="15"/>
  <c r="F200" i="15"/>
  <c r="E200" i="15"/>
  <c r="D200" i="15"/>
  <c r="C200" i="15"/>
  <c r="G199" i="15"/>
  <c r="F199" i="15"/>
  <c r="E199" i="15"/>
  <c r="D199" i="15"/>
  <c r="C199" i="15"/>
  <c r="G198" i="15"/>
  <c r="F198" i="15"/>
  <c r="E198" i="15"/>
  <c r="D198" i="15"/>
  <c r="C198" i="15"/>
  <c r="G197" i="15"/>
  <c r="F197" i="15"/>
  <c r="E197" i="15"/>
  <c r="D197" i="15"/>
  <c r="C197" i="15"/>
  <c r="G196" i="15"/>
  <c r="F196" i="15"/>
  <c r="E196" i="15"/>
  <c r="D196" i="15"/>
  <c r="C196" i="15"/>
  <c r="G195" i="15"/>
  <c r="F195" i="15"/>
  <c r="E195" i="15"/>
  <c r="D195" i="15"/>
  <c r="C195" i="15"/>
  <c r="G194" i="15"/>
  <c r="F194" i="15"/>
  <c r="E194" i="15"/>
  <c r="D194" i="15"/>
  <c r="C194" i="15"/>
  <c r="G193" i="15"/>
  <c r="F193" i="15"/>
  <c r="E193" i="15"/>
  <c r="D193" i="15"/>
  <c r="C193" i="15"/>
  <c r="G192" i="15"/>
  <c r="F192" i="15"/>
  <c r="E192" i="15"/>
  <c r="D192" i="15"/>
  <c r="C192" i="15"/>
  <c r="G191" i="15"/>
  <c r="F191" i="15"/>
  <c r="E191" i="15"/>
  <c r="D191" i="15"/>
  <c r="C191" i="15"/>
  <c r="G190" i="15"/>
  <c r="F190" i="15"/>
  <c r="E190" i="15"/>
  <c r="D190" i="15"/>
  <c r="C190" i="15"/>
  <c r="G189" i="15"/>
  <c r="F189" i="15"/>
  <c r="E189" i="15"/>
  <c r="D189" i="15"/>
  <c r="C189" i="15"/>
  <c r="G188" i="15"/>
  <c r="F188" i="15"/>
  <c r="E188" i="15"/>
  <c r="D188" i="15"/>
  <c r="C188" i="15"/>
  <c r="G187" i="15"/>
  <c r="F187" i="15"/>
  <c r="E187" i="15"/>
  <c r="D187" i="15"/>
  <c r="C187" i="15"/>
  <c r="G186" i="15"/>
  <c r="F186" i="15"/>
  <c r="E186" i="15"/>
  <c r="D186" i="15"/>
  <c r="C186" i="15"/>
  <c r="G185" i="15"/>
  <c r="F185" i="15"/>
  <c r="E185" i="15"/>
  <c r="D185" i="15"/>
  <c r="C185" i="15"/>
  <c r="G184" i="15"/>
  <c r="F184" i="15"/>
  <c r="E184" i="15"/>
  <c r="D184" i="15"/>
  <c r="C184" i="15"/>
  <c r="G183" i="15"/>
  <c r="F183" i="15"/>
  <c r="E183" i="15"/>
  <c r="D183" i="15"/>
  <c r="C183" i="15"/>
  <c r="G182" i="15"/>
  <c r="F182" i="15"/>
  <c r="E182" i="15"/>
  <c r="D182" i="15"/>
  <c r="C182" i="15"/>
  <c r="G181" i="15"/>
  <c r="F181" i="15"/>
  <c r="E181" i="15"/>
  <c r="D181" i="15"/>
  <c r="C181" i="15"/>
  <c r="G180" i="15"/>
  <c r="F180" i="15"/>
  <c r="E180" i="15"/>
  <c r="D180" i="15"/>
  <c r="C180" i="15"/>
  <c r="G179" i="15"/>
  <c r="F179" i="15"/>
  <c r="E179" i="15"/>
  <c r="D179" i="15"/>
  <c r="C179" i="15"/>
  <c r="G178" i="15"/>
  <c r="F178" i="15"/>
  <c r="E178" i="15"/>
  <c r="D178" i="15"/>
  <c r="C178" i="15"/>
  <c r="G177" i="15"/>
  <c r="F177" i="15"/>
  <c r="E177" i="15"/>
  <c r="D177" i="15"/>
  <c r="C177" i="15"/>
  <c r="G176" i="15"/>
  <c r="F176" i="15"/>
  <c r="E176" i="15"/>
  <c r="D176" i="15"/>
  <c r="C176" i="15"/>
  <c r="G175" i="15"/>
  <c r="F175" i="15"/>
  <c r="E175" i="15"/>
  <c r="D175" i="15"/>
  <c r="C175" i="15"/>
  <c r="G174" i="15"/>
  <c r="F174" i="15"/>
  <c r="E174" i="15"/>
  <c r="D174" i="15"/>
  <c r="C174" i="15"/>
  <c r="G173" i="15"/>
  <c r="F173" i="15"/>
  <c r="E173" i="15"/>
  <c r="D173" i="15"/>
  <c r="C173" i="15"/>
  <c r="G172" i="15"/>
  <c r="F172" i="15"/>
  <c r="E172" i="15"/>
  <c r="D172" i="15"/>
  <c r="C172" i="15"/>
  <c r="G171" i="15"/>
  <c r="F171" i="15"/>
  <c r="E171" i="15"/>
  <c r="D171" i="15"/>
  <c r="C171" i="15"/>
  <c r="G170" i="15"/>
  <c r="F170" i="15"/>
  <c r="E170" i="15"/>
  <c r="D170" i="15"/>
  <c r="C170" i="15"/>
  <c r="G169" i="15"/>
  <c r="F169" i="15"/>
  <c r="E169" i="15"/>
  <c r="D169" i="15"/>
  <c r="C169" i="15"/>
  <c r="G168" i="15"/>
  <c r="F168" i="15"/>
  <c r="E168" i="15"/>
  <c r="D168" i="15"/>
  <c r="C168" i="15"/>
  <c r="G167" i="15"/>
  <c r="F167" i="15"/>
  <c r="E167" i="15"/>
  <c r="D167" i="15"/>
  <c r="C167" i="15"/>
  <c r="G166" i="15"/>
  <c r="F166" i="15"/>
  <c r="E166" i="15"/>
  <c r="D166" i="15"/>
  <c r="C166" i="15"/>
  <c r="G165" i="15"/>
  <c r="F165" i="15"/>
  <c r="E165" i="15"/>
  <c r="D165" i="15"/>
  <c r="C165" i="15"/>
  <c r="G164" i="15"/>
  <c r="F164" i="15"/>
  <c r="E164" i="15"/>
  <c r="D164" i="15"/>
  <c r="C164" i="15"/>
  <c r="G163" i="15"/>
  <c r="F163" i="15"/>
  <c r="E163" i="15"/>
  <c r="D163" i="15"/>
  <c r="C163" i="15"/>
  <c r="G162" i="15"/>
  <c r="F162" i="15"/>
  <c r="E162" i="15"/>
  <c r="D162" i="15"/>
  <c r="C162" i="15"/>
  <c r="G161" i="15"/>
  <c r="F161" i="15"/>
  <c r="E161" i="15"/>
  <c r="D161" i="15"/>
  <c r="C161" i="15"/>
  <c r="G160" i="15"/>
  <c r="F160" i="15"/>
  <c r="E160" i="15"/>
  <c r="D160" i="15"/>
  <c r="C160" i="15"/>
  <c r="G159" i="15"/>
  <c r="F159" i="15"/>
  <c r="E159" i="15"/>
  <c r="D159" i="15"/>
  <c r="C159" i="15"/>
  <c r="G158" i="15"/>
  <c r="F158" i="15"/>
  <c r="E158" i="15"/>
  <c r="D158" i="15"/>
  <c r="C158" i="15"/>
  <c r="G157" i="15"/>
  <c r="F157" i="15"/>
  <c r="E157" i="15"/>
  <c r="D157" i="15"/>
  <c r="C157" i="15"/>
  <c r="G156" i="15"/>
  <c r="F156" i="15"/>
  <c r="E156" i="15"/>
  <c r="D156" i="15"/>
  <c r="C156" i="15"/>
  <c r="G155" i="15"/>
  <c r="F155" i="15"/>
  <c r="E155" i="15"/>
  <c r="D155" i="15"/>
  <c r="C155" i="15"/>
  <c r="G154" i="15"/>
  <c r="F154" i="15"/>
  <c r="E154" i="15"/>
  <c r="D154" i="15"/>
  <c r="C154" i="15"/>
  <c r="G153" i="15"/>
  <c r="F153" i="15"/>
  <c r="E153" i="15"/>
  <c r="D153" i="15"/>
  <c r="C153" i="15"/>
  <c r="G152" i="15"/>
  <c r="F152" i="15"/>
  <c r="E152" i="15"/>
  <c r="D152" i="15"/>
  <c r="C152" i="15"/>
  <c r="G151" i="15"/>
  <c r="F151" i="15"/>
  <c r="E151" i="15"/>
  <c r="D151" i="15"/>
  <c r="C151" i="15"/>
  <c r="G150" i="15"/>
  <c r="F150" i="15"/>
  <c r="E150" i="15"/>
  <c r="D150" i="15"/>
  <c r="C150" i="15"/>
  <c r="G149" i="15"/>
  <c r="F149" i="15"/>
  <c r="E149" i="15"/>
  <c r="D149" i="15"/>
  <c r="C149" i="15"/>
  <c r="G148" i="15"/>
  <c r="F148" i="15"/>
  <c r="E148" i="15"/>
  <c r="D148" i="15"/>
  <c r="C148" i="15"/>
  <c r="G147" i="15"/>
  <c r="F147" i="15"/>
  <c r="E147" i="15"/>
  <c r="D147" i="15"/>
  <c r="C147" i="15"/>
  <c r="G146" i="15"/>
  <c r="F146" i="15"/>
  <c r="E146" i="15"/>
  <c r="D146" i="15"/>
  <c r="C146" i="15"/>
  <c r="G145" i="15"/>
  <c r="F145" i="15"/>
  <c r="E145" i="15"/>
  <c r="D145" i="15"/>
  <c r="C145" i="15"/>
  <c r="G144" i="15"/>
  <c r="F144" i="15"/>
  <c r="E144" i="15"/>
  <c r="D144" i="15"/>
  <c r="C144" i="15"/>
  <c r="G143" i="15"/>
  <c r="F143" i="15"/>
  <c r="E143" i="15"/>
  <c r="D143" i="15"/>
  <c r="C143" i="15"/>
  <c r="G142" i="15"/>
  <c r="F142" i="15"/>
  <c r="E142" i="15"/>
  <c r="D142" i="15"/>
  <c r="C142" i="15"/>
  <c r="G141" i="15"/>
  <c r="F141" i="15"/>
  <c r="E141" i="15"/>
  <c r="D141" i="15"/>
  <c r="C141" i="15"/>
  <c r="G140" i="15"/>
  <c r="F140" i="15"/>
  <c r="E140" i="15"/>
  <c r="D140" i="15"/>
  <c r="C140" i="15"/>
  <c r="G139" i="15"/>
  <c r="F139" i="15"/>
  <c r="E139" i="15"/>
  <c r="D139" i="15"/>
  <c r="C139" i="15"/>
  <c r="G138" i="15"/>
  <c r="F138" i="15"/>
  <c r="E138" i="15"/>
  <c r="D138" i="15"/>
  <c r="C138" i="15"/>
  <c r="G137" i="15"/>
  <c r="F137" i="15"/>
  <c r="E137" i="15"/>
  <c r="D137" i="15"/>
  <c r="C137" i="15"/>
  <c r="G136" i="15"/>
  <c r="F136" i="15"/>
  <c r="E136" i="15"/>
  <c r="D136" i="15"/>
  <c r="C136" i="15"/>
  <c r="G135" i="15"/>
  <c r="F135" i="15"/>
  <c r="E135" i="15"/>
  <c r="D135" i="15"/>
  <c r="C135" i="15"/>
  <c r="G134" i="15"/>
  <c r="F134" i="15"/>
  <c r="E134" i="15"/>
  <c r="D134" i="15"/>
  <c r="C134" i="15"/>
  <c r="G133" i="15"/>
  <c r="F133" i="15"/>
  <c r="E133" i="15"/>
  <c r="D133" i="15"/>
  <c r="C133" i="15"/>
  <c r="G132" i="15"/>
  <c r="F132" i="15"/>
  <c r="E132" i="15"/>
  <c r="D132" i="15"/>
  <c r="C132" i="15"/>
  <c r="G131" i="15"/>
  <c r="F131" i="15"/>
  <c r="E131" i="15"/>
  <c r="D131" i="15"/>
  <c r="C131" i="15"/>
  <c r="G130" i="15"/>
  <c r="F130" i="15"/>
  <c r="E130" i="15"/>
  <c r="D130" i="15"/>
  <c r="C130" i="15"/>
  <c r="G129" i="15"/>
  <c r="F129" i="15"/>
  <c r="E129" i="15"/>
  <c r="D129" i="15"/>
  <c r="C129" i="15"/>
  <c r="G128" i="15"/>
  <c r="F128" i="15"/>
  <c r="E128" i="15"/>
  <c r="D128" i="15"/>
  <c r="C128" i="15"/>
  <c r="G127" i="15"/>
  <c r="F127" i="15"/>
  <c r="E127" i="15"/>
  <c r="D127" i="15"/>
  <c r="C127" i="15"/>
  <c r="G126" i="15"/>
  <c r="F126" i="15"/>
  <c r="E126" i="15"/>
  <c r="D126" i="15"/>
  <c r="C126" i="15"/>
  <c r="G125" i="15"/>
  <c r="F125" i="15"/>
  <c r="E125" i="15"/>
  <c r="D125" i="15"/>
  <c r="C125" i="15"/>
  <c r="G124" i="15"/>
  <c r="F124" i="15"/>
  <c r="E124" i="15"/>
  <c r="D124" i="15"/>
  <c r="C124" i="15"/>
  <c r="G123" i="15"/>
  <c r="F123" i="15"/>
  <c r="E123" i="15"/>
  <c r="D123" i="15"/>
  <c r="C123" i="15"/>
  <c r="G122" i="15"/>
  <c r="F122" i="15"/>
  <c r="E122" i="15"/>
  <c r="D122" i="15"/>
  <c r="C122" i="15"/>
  <c r="G121" i="15"/>
  <c r="F121" i="15"/>
  <c r="E121" i="15"/>
  <c r="D121" i="15"/>
  <c r="C121" i="15"/>
  <c r="G120" i="15"/>
  <c r="F120" i="15"/>
  <c r="E120" i="15"/>
  <c r="D120" i="15"/>
  <c r="C120" i="15"/>
  <c r="G119" i="15"/>
  <c r="F119" i="15"/>
  <c r="E119" i="15"/>
  <c r="D119" i="15"/>
  <c r="C119" i="15"/>
  <c r="G118" i="15"/>
  <c r="F118" i="15"/>
  <c r="E118" i="15"/>
  <c r="D118" i="15"/>
  <c r="C118" i="15"/>
  <c r="G117" i="15"/>
  <c r="F117" i="15"/>
  <c r="E117" i="15"/>
  <c r="D117" i="15"/>
  <c r="C117" i="15"/>
  <c r="G116" i="15"/>
  <c r="F116" i="15"/>
  <c r="E116" i="15"/>
  <c r="D116" i="15"/>
  <c r="C116" i="15"/>
  <c r="G115" i="15"/>
  <c r="F115" i="15"/>
  <c r="E115" i="15"/>
  <c r="D115" i="15"/>
  <c r="C115" i="15"/>
  <c r="G114" i="15"/>
  <c r="F114" i="15"/>
  <c r="E114" i="15"/>
  <c r="D114" i="15"/>
  <c r="C114" i="15"/>
  <c r="G113" i="15"/>
  <c r="F113" i="15"/>
  <c r="E113" i="15"/>
  <c r="D113" i="15"/>
  <c r="C113" i="15"/>
  <c r="G112" i="15"/>
  <c r="F112" i="15"/>
  <c r="E112" i="15"/>
  <c r="D112" i="15"/>
  <c r="C112" i="15"/>
  <c r="G111" i="15"/>
  <c r="F111" i="15"/>
  <c r="E111" i="15"/>
  <c r="D111" i="15"/>
  <c r="C111" i="15"/>
  <c r="G110" i="15"/>
  <c r="F110" i="15"/>
  <c r="E110" i="15"/>
  <c r="D110" i="15"/>
  <c r="C110" i="15"/>
  <c r="G109" i="15"/>
  <c r="F109" i="15"/>
  <c r="E109" i="15"/>
  <c r="D109" i="15"/>
  <c r="C109" i="15"/>
  <c r="G108" i="15"/>
  <c r="F108" i="15"/>
  <c r="E108" i="15"/>
  <c r="D108" i="15"/>
  <c r="C108" i="15"/>
  <c r="G107" i="15"/>
  <c r="F107" i="15"/>
  <c r="E107" i="15"/>
  <c r="D107" i="15"/>
  <c r="C107" i="15"/>
  <c r="G106" i="15"/>
  <c r="F106" i="15"/>
  <c r="E106" i="15"/>
  <c r="D106" i="15"/>
  <c r="C106" i="15"/>
  <c r="G105" i="15"/>
  <c r="F105" i="15"/>
  <c r="E105" i="15"/>
  <c r="D105" i="15"/>
  <c r="C105" i="15"/>
  <c r="G104" i="15"/>
  <c r="F104" i="15"/>
  <c r="E104" i="15"/>
  <c r="D104" i="15"/>
  <c r="C104" i="15"/>
  <c r="G103" i="15"/>
  <c r="F103" i="15"/>
  <c r="E103" i="15"/>
  <c r="D103" i="15"/>
  <c r="C103" i="15"/>
  <c r="G102" i="15"/>
  <c r="F102" i="15"/>
  <c r="E102" i="15"/>
  <c r="D102" i="15"/>
  <c r="C102" i="15"/>
  <c r="G101" i="15"/>
  <c r="F101" i="15"/>
  <c r="E101" i="15"/>
  <c r="D101" i="15"/>
  <c r="C101" i="15"/>
  <c r="G100" i="15"/>
  <c r="F100" i="15"/>
  <c r="E100" i="15"/>
  <c r="D100" i="15"/>
  <c r="C100" i="15"/>
  <c r="G99" i="15"/>
  <c r="F99" i="15"/>
  <c r="E99" i="15"/>
  <c r="D99" i="15"/>
  <c r="C99" i="15"/>
  <c r="G98" i="15"/>
  <c r="F98" i="15"/>
  <c r="E98" i="15"/>
  <c r="D98" i="15"/>
  <c r="C98" i="15"/>
  <c r="G97" i="15"/>
  <c r="F97" i="15"/>
  <c r="E97" i="15"/>
  <c r="D97" i="15"/>
  <c r="C97" i="15"/>
  <c r="G96" i="15"/>
  <c r="F96" i="15"/>
  <c r="E96" i="15"/>
  <c r="D96" i="15"/>
  <c r="C96" i="15"/>
  <c r="G95" i="15"/>
  <c r="F95" i="15"/>
  <c r="E95" i="15"/>
  <c r="D95" i="15"/>
  <c r="C95" i="15"/>
  <c r="G94" i="15"/>
  <c r="F94" i="15"/>
  <c r="E94" i="15"/>
  <c r="D94" i="15"/>
  <c r="C94" i="15"/>
  <c r="G93" i="15"/>
  <c r="F93" i="15"/>
  <c r="E93" i="15"/>
  <c r="D93" i="15"/>
  <c r="C93" i="15"/>
  <c r="G92" i="15"/>
  <c r="F92" i="15"/>
  <c r="E92" i="15"/>
  <c r="D92" i="15"/>
  <c r="C92" i="15"/>
  <c r="G91" i="15"/>
  <c r="F91" i="15"/>
  <c r="E91" i="15"/>
  <c r="D91" i="15"/>
  <c r="C91" i="15"/>
  <c r="G90" i="15"/>
  <c r="F90" i="15"/>
  <c r="E90" i="15"/>
  <c r="D90" i="15"/>
  <c r="C90" i="15"/>
  <c r="G89" i="15"/>
  <c r="F89" i="15"/>
  <c r="E89" i="15"/>
  <c r="D89" i="15"/>
  <c r="C89" i="15"/>
  <c r="G88" i="15"/>
  <c r="F88" i="15"/>
  <c r="E88" i="15"/>
  <c r="D88" i="15"/>
  <c r="C88" i="15"/>
  <c r="G87" i="15"/>
  <c r="F87" i="15"/>
  <c r="E87" i="15"/>
  <c r="D87" i="15"/>
  <c r="C87" i="15"/>
  <c r="G86" i="15"/>
  <c r="F86" i="15"/>
  <c r="E86" i="15"/>
  <c r="D86" i="15"/>
  <c r="C86" i="15"/>
  <c r="G85" i="15"/>
  <c r="F85" i="15"/>
  <c r="E85" i="15"/>
  <c r="D85" i="15"/>
  <c r="C85" i="15"/>
  <c r="G84" i="15"/>
  <c r="F84" i="15"/>
  <c r="E84" i="15"/>
  <c r="D84" i="15"/>
  <c r="C84" i="15"/>
  <c r="G83" i="15"/>
  <c r="F83" i="15"/>
  <c r="E83" i="15"/>
  <c r="D83" i="15"/>
  <c r="C83" i="15"/>
  <c r="G82" i="15"/>
  <c r="F82" i="15"/>
  <c r="E82" i="15"/>
  <c r="D82" i="15"/>
  <c r="C82" i="15"/>
  <c r="G81" i="15"/>
  <c r="F81" i="15"/>
  <c r="E81" i="15"/>
  <c r="D81" i="15"/>
  <c r="C81" i="15"/>
  <c r="G80" i="15"/>
  <c r="F80" i="15"/>
  <c r="E80" i="15"/>
  <c r="D80" i="15"/>
  <c r="C80" i="15"/>
  <c r="G79" i="15"/>
  <c r="F79" i="15"/>
  <c r="E79" i="15"/>
  <c r="D79" i="15"/>
  <c r="C79" i="15"/>
  <c r="G78" i="15"/>
  <c r="F78" i="15"/>
  <c r="E78" i="15"/>
  <c r="D78" i="15"/>
  <c r="C78" i="15"/>
  <c r="G77" i="15"/>
  <c r="F77" i="15"/>
  <c r="E77" i="15"/>
  <c r="D77" i="15"/>
  <c r="C77" i="15"/>
  <c r="G76" i="15"/>
  <c r="F76" i="15"/>
  <c r="E76" i="15"/>
  <c r="D76" i="15"/>
  <c r="C76" i="15"/>
  <c r="G75" i="15"/>
  <c r="F75" i="15"/>
  <c r="E75" i="15"/>
  <c r="D75" i="15"/>
  <c r="C75" i="15"/>
  <c r="G74" i="15"/>
  <c r="F74" i="15"/>
  <c r="E74" i="15"/>
  <c r="D74" i="15"/>
  <c r="C74" i="15"/>
  <c r="G73" i="15"/>
  <c r="F73" i="15"/>
  <c r="E73" i="15"/>
  <c r="D73" i="15"/>
  <c r="C73" i="15"/>
  <c r="G72" i="15"/>
  <c r="F72" i="15"/>
  <c r="E72" i="15"/>
  <c r="D72" i="15"/>
  <c r="C72" i="15"/>
  <c r="G71" i="15"/>
  <c r="F71" i="15"/>
  <c r="E71" i="15"/>
  <c r="D71" i="15"/>
  <c r="C71" i="15"/>
  <c r="G70" i="15"/>
  <c r="F70" i="15"/>
  <c r="E70" i="15"/>
  <c r="D70" i="15"/>
  <c r="C70" i="15"/>
  <c r="G69" i="15"/>
  <c r="F69" i="15"/>
  <c r="E69" i="15"/>
  <c r="D69" i="15"/>
  <c r="C69" i="15"/>
  <c r="G68" i="15"/>
  <c r="F68" i="15"/>
  <c r="E68" i="15"/>
  <c r="D68" i="15"/>
  <c r="C68" i="15"/>
  <c r="G67" i="15"/>
  <c r="F67" i="15"/>
  <c r="E67" i="15"/>
  <c r="D67" i="15"/>
  <c r="C67" i="15"/>
  <c r="G66" i="15"/>
  <c r="F66" i="15"/>
  <c r="E66" i="15"/>
  <c r="D66" i="15"/>
  <c r="C66" i="15"/>
  <c r="G65" i="15"/>
  <c r="F65" i="15"/>
  <c r="E65" i="15"/>
  <c r="D65" i="15"/>
  <c r="C65" i="15"/>
  <c r="G64" i="15"/>
  <c r="F64" i="15"/>
  <c r="E64" i="15"/>
  <c r="D64" i="15"/>
  <c r="C64" i="15"/>
  <c r="G63" i="15"/>
  <c r="F63" i="15"/>
  <c r="E63" i="15"/>
  <c r="D63" i="15"/>
  <c r="C63" i="15"/>
  <c r="G62" i="15"/>
  <c r="F62" i="15"/>
  <c r="E62" i="15"/>
  <c r="D62" i="15"/>
  <c r="C62" i="15"/>
  <c r="G61" i="15"/>
  <c r="F61" i="15"/>
  <c r="E61" i="15"/>
  <c r="D61" i="15"/>
  <c r="C61" i="15"/>
  <c r="G60" i="15"/>
  <c r="F60" i="15"/>
  <c r="E60" i="15"/>
  <c r="D60" i="15"/>
  <c r="C60" i="15"/>
  <c r="G59" i="15"/>
  <c r="F59" i="15"/>
  <c r="E59" i="15"/>
  <c r="D59" i="15"/>
  <c r="C59" i="15"/>
  <c r="G58" i="15"/>
  <c r="F58" i="15"/>
  <c r="E58" i="15"/>
  <c r="D58" i="15"/>
  <c r="C58" i="15"/>
  <c r="G57" i="15"/>
  <c r="F57" i="15"/>
  <c r="E57" i="15"/>
  <c r="D57" i="15"/>
  <c r="C57" i="15"/>
  <c r="G56" i="15"/>
  <c r="F56" i="15"/>
  <c r="E56" i="15"/>
  <c r="D56" i="15"/>
  <c r="C56" i="15"/>
  <c r="G55" i="15"/>
  <c r="F55" i="15"/>
  <c r="E55" i="15"/>
  <c r="D55" i="15"/>
  <c r="C55" i="15"/>
  <c r="G54" i="15"/>
  <c r="F54" i="15"/>
  <c r="E54" i="15"/>
  <c r="D54" i="15"/>
  <c r="C54" i="15"/>
  <c r="G6" i="15"/>
  <c r="F6" i="15"/>
  <c r="E6" i="15"/>
  <c r="D6" i="15"/>
  <c r="C6" i="15"/>
  <c r="G5" i="15"/>
  <c r="F5" i="15"/>
  <c r="E5" i="15"/>
  <c r="D5" i="15"/>
  <c r="C5" i="15"/>
  <c r="H4" i="15"/>
  <c r="H5" i="15" s="1"/>
  <c r="H6" i="15" s="1"/>
  <c r="H7" i="15" s="1"/>
  <c r="H8" i="15" s="1"/>
  <c r="H9" i="15" s="1"/>
  <c r="H10" i="15" s="1"/>
  <c r="H11" i="15" s="1"/>
  <c r="H12" i="15" s="1"/>
  <c r="H13" i="15" s="1"/>
  <c r="H14" i="15" s="1"/>
  <c r="H15" i="15" s="1"/>
  <c r="H16" i="15" s="1"/>
  <c r="H17" i="15" s="1"/>
  <c r="H18" i="15" s="1"/>
  <c r="H19" i="15" s="1"/>
  <c r="H20" i="15" s="1"/>
  <c r="H21" i="15" s="1"/>
  <c r="H22" i="15" s="1"/>
  <c r="H23" i="15" s="1"/>
  <c r="H24" i="15" s="1"/>
  <c r="H25" i="15" s="1"/>
  <c r="H26" i="15" s="1"/>
  <c r="H27" i="15" s="1"/>
  <c r="H28" i="15" s="1"/>
  <c r="H29" i="15" s="1"/>
  <c r="H30" i="15" s="1"/>
  <c r="H31" i="15" s="1"/>
  <c r="H32" i="15" s="1"/>
  <c r="H33" i="15" s="1"/>
  <c r="H34" i="15" s="1"/>
  <c r="H35" i="15" s="1"/>
  <c r="H36" i="15" s="1"/>
  <c r="H37" i="15" s="1"/>
  <c r="H38" i="15" s="1"/>
  <c r="H39" i="15" s="1"/>
  <c r="H40" i="15" s="1"/>
  <c r="H41" i="15" s="1"/>
  <c r="H42" i="15" s="1"/>
  <c r="H43" i="15" s="1"/>
  <c r="H44" i="15" s="1"/>
  <c r="H45" i="15" s="1"/>
  <c r="H46" i="15" s="1"/>
  <c r="H47" i="15" s="1"/>
  <c r="H48" i="15" s="1"/>
  <c r="H49" i="15" s="1"/>
  <c r="H50" i="15" s="1"/>
  <c r="H51" i="15" s="1"/>
  <c r="H52" i="15" s="1"/>
  <c r="H53" i="15" s="1"/>
  <c r="G4" i="15"/>
  <c r="F4" i="15"/>
  <c r="E4" i="15"/>
  <c r="D4" i="15"/>
  <c r="C4" i="15"/>
  <c r="B4" i="15"/>
  <c r="B5" i="15" s="1"/>
  <c r="B6" i="15" s="1"/>
  <c r="B7" i="15" s="1"/>
  <c r="B8" i="15" s="1"/>
  <c r="B9" i="15" s="1"/>
  <c r="B10" i="15" s="1"/>
  <c r="B11" i="15" s="1"/>
  <c r="B12" i="15" s="1"/>
  <c r="B13" i="15" s="1"/>
  <c r="B14" i="15" s="1"/>
  <c r="B15" i="15" s="1"/>
  <c r="B16" i="15" s="1"/>
  <c r="B17" i="15" s="1"/>
  <c r="B18" i="15" s="1"/>
  <c r="B19" i="15" s="1"/>
  <c r="B20" i="15" s="1"/>
  <c r="B21" i="15" s="1"/>
  <c r="B22" i="15" s="1"/>
  <c r="B23" i="15" s="1"/>
  <c r="B24" i="15" s="1"/>
  <c r="B25" i="15" s="1"/>
  <c r="B26" i="15" s="1"/>
  <c r="B27" i="15" s="1"/>
  <c r="B28" i="15" s="1"/>
  <c r="B29" i="15" s="1"/>
  <c r="B30" i="15" s="1"/>
  <c r="B31" i="15" s="1"/>
  <c r="B32" i="15" s="1"/>
  <c r="B33" i="15" s="1"/>
  <c r="B34" i="15" s="1"/>
  <c r="B35" i="15" s="1"/>
  <c r="B36" i="15" s="1"/>
  <c r="B37" i="15" s="1"/>
  <c r="B38" i="15" s="1"/>
  <c r="B39" i="15" s="1"/>
  <c r="B40" i="15" s="1"/>
  <c r="B41" i="15" s="1"/>
  <c r="B42" i="15" s="1"/>
  <c r="B43" i="15" s="1"/>
  <c r="B44" i="15" s="1"/>
  <c r="B45" i="15" s="1"/>
  <c r="B46" i="15" s="1"/>
  <c r="B47" i="15" s="1"/>
  <c r="B48" i="15" s="1"/>
  <c r="B49" i="15" s="1"/>
  <c r="B50" i="15" s="1"/>
  <c r="B51" i="15" s="1"/>
  <c r="B52" i="15" s="1"/>
  <c r="B53" i="15" s="1"/>
  <c r="B54" i="15" s="1"/>
  <c r="B55" i="15" s="1"/>
  <c r="B56" i="15" s="1"/>
  <c r="B57" i="15" s="1"/>
  <c r="B58" i="15" s="1"/>
  <c r="B59" i="15" s="1"/>
  <c r="B60" i="15" s="1"/>
  <c r="B61" i="15" s="1"/>
  <c r="B62" i="15" s="1"/>
  <c r="B63" i="15" s="1"/>
  <c r="B64" i="15" s="1"/>
  <c r="B65" i="15" s="1"/>
  <c r="B66" i="15" s="1"/>
  <c r="B67" i="15" s="1"/>
  <c r="B68" i="15" s="1"/>
  <c r="B69" i="15" s="1"/>
  <c r="B70" i="15" s="1"/>
  <c r="B71" i="15" s="1"/>
  <c r="B72" i="15" s="1"/>
  <c r="B73" i="15" s="1"/>
  <c r="B74" i="15" s="1"/>
  <c r="B75" i="15" s="1"/>
  <c r="B76" i="15" s="1"/>
  <c r="B77" i="15" s="1"/>
  <c r="B78" i="15" s="1"/>
  <c r="B79" i="15" s="1"/>
  <c r="B80" i="15" s="1"/>
  <c r="B81" i="15" s="1"/>
  <c r="B82" i="15" s="1"/>
  <c r="B83" i="15" s="1"/>
  <c r="B84" i="15" s="1"/>
  <c r="B85" i="15" s="1"/>
  <c r="B86" i="15" s="1"/>
  <c r="B87" i="15" s="1"/>
  <c r="B88" i="15" s="1"/>
  <c r="B89" i="15" s="1"/>
  <c r="B90" i="15" s="1"/>
  <c r="B91" i="15" s="1"/>
  <c r="B92" i="15" s="1"/>
  <c r="B93" i="15" s="1"/>
  <c r="B94" i="15" s="1"/>
  <c r="B95" i="15" s="1"/>
  <c r="B96" i="15" s="1"/>
  <c r="B97" i="15" s="1"/>
  <c r="B98" i="15" s="1"/>
  <c r="B99" i="15" s="1"/>
  <c r="B100" i="15" s="1"/>
  <c r="B101" i="15" s="1"/>
  <c r="B102" i="15" s="1"/>
  <c r="B103" i="15" s="1"/>
  <c r="B104" i="15" s="1"/>
  <c r="B105" i="15" s="1"/>
  <c r="B106" i="15" s="1"/>
  <c r="B107" i="15" s="1"/>
  <c r="B108" i="15" s="1"/>
  <c r="B109" i="15" s="1"/>
  <c r="B110" i="15" s="1"/>
  <c r="B111" i="15" s="1"/>
  <c r="B112" i="15" s="1"/>
  <c r="B113" i="15" s="1"/>
  <c r="B114" i="15" s="1"/>
  <c r="B115" i="15" s="1"/>
  <c r="B116" i="15" s="1"/>
  <c r="B117" i="15" s="1"/>
  <c r="B118" i="15" s="1"/>
  <c r="B119" i="15" s="1"/>
  <c r="B120" i="15" s="1"/>
  <c r="B121" i="15" s="1"/>
  <c r="B122" i="15" s="1"/>
  <c r="B123" i="15" s="1"/>
  <c r="B124" i="15" s="1"/>
  <c r="B125" i="15" s="1"/>
  <c r="B126" i="15" s="1"/>
  <c r="B127" i="15" s="1"/>
  <c r="B128" i="15" s="1"/>
  <c r="B129" i="15" s="1"/>
  <c r="B130" i="15" s="1"/>
  <c r="B131" i="15" s="1"/>
  <c r="B132" i="15" s="1"/>
  <c r="B133" i="15" s="1"/>
  <c r="B134" i="15" s="1"/>
  <c r="B135" i="15" s="1"/>
  <c r="B136" i="15" s="1"/>
  <c r="B137" i="15" s="1"/>
  <c r="B138" i="15" s="1"/>
  <c r="B139" i="15" s="1"/>
  <c r="B140" i="15" s="1"/>
  <c r="B141" i="15" s="1"/>
  <c r="B142" i="15" s="1"/>
  <c r="B143" i="15" s="1"/>
  <c r="B144" i="15" s="1"/>
  <c r="B145" i="15" s="1"/>
  <c r="B146" i="15" s="1"/>
  <c r="B147" i="15" s="1"/>
  <c r="B148" i="15" s="1"/>
  <c r="B149" i="15" s="1"/>
  <c r="B150" i="15" s="1"/>
  <c r="B151" i="15" s="1"/>
  <c r="B152" i="15" s="1"/>
  <c r="B153" i="15" s="1"/>
  <c r="B154" i="15" s="1"/>
  <c r="B155" i="15" s="1"/>
  <c r="B156" i="15" s="1"/>
  <c r="B157" i="15" s="1"/>
  <c r="B158" i="15" s="1"/>
  <c r="B159" i="15" s="1"/>
  <c r="B160" i="15" s="1"/>
  <c r="B161" i="15" s="1"/>
  <c r="B162" i="15" s="1"/>
  <c r="B163" i="15" s="1"/>
  <c r="B164" i="15" s="1"/>
  <c r="B165" i="15" s="1"/>
  <c r="B166" i="15" s="1"/>
  <c r="B167" i="15" s="1"/>
  <c r="B168" i="15" s="1"/>
  <c r="B169" i="15" s="1"/>
  <c r="B170" i="15" s="1"/>
  <c r="B171" i="15" s="1"/>
  <c r="B172" i="15" s="1"/>
  <c r="B173" i="15" s="1"/>
  <c r="B174" i="15" s="1"/>
  <c r="B175" i="15" s="1"/>
  <c r="B176" i="15" s="1"/>
  <c r="B177" i="15" s="1"/>
  <c r="B178" i="15" s="1"/>
  <c r="B179" i="15" s="1"/>
  <c r="B180" i="15" s="1"/>
  <c r="B181" i="15" s="1"/>
  <c r="B182" i="15" s="1"/>
  <c r="B183" i="15" s="1"/>
  <c r="B184" i="15" s="1"/>
  <c r="B185" i="15" s="1"/>
  <c r="B186" i="15" s="1"/>
  <c r="B187" i="15" s="1"/>
  <c r="B188" i="15" s="1"/>
  <c r="B189" i="15" s="1"/>
  <c r="B190" i="15" s="1"/>
  <c r="B191" i="15" s="1"/>
  <c r="B192" i="15" s="1"/>
  <c r="B193" i="15" s="1"/>
  <c r="B194" i="15" s="1"/>
  <c r="B195" i="15" s="1"/>
  <c r="B196" i="15" s="1"/>
  <c r="B197" i="15" s="1"/>
  <c r="B198" i="15" s="1"/>
  <c r="B199" i="15" s="1"/>
  <c r="B200" i="15" s="1"/>
  <c r="I3" i="15"/>
  <c r="I4" i="15" s="1"/>
  <c r="I5" i="15" s="1"/>
  <c r="I6" i="15" s="1"/>
  <c r="I7" i="15" s="1"/>
  <c r="I8" i="15" s="1"/>
  <c r="I9" i="15" s="1"/>
  <c r="I10" i="15" s="1"/>
  <c r="I11" i="15" s="1"/>
  <c r="I12" i="15" s="1"/>
  <c r="I13" i="15" s="1"/>
  <c r="I14" i="15" s="1"/>
  <c r="I15" i="15" s="1"/>
  <c r="I16" i="15" s="1"/>
  <c r="I17" i="15" s="1"/>
  <c r="I18" i="15" s="1"/>
  <c r="I19" i="15" s="1"/>
  <c r="I20" i="15" s="1"/>
  <c r="I21" i="15" s="1"/>
  <c r="I22" i="15" s="1"/>
  <c r="I23" i="15" s="1"/>
  <c r="I24" i="15" s="1"/>
  <c r="I25" i="15" s="1"/>
  <c r="I26" i="15" s="1"/>
  <c r="I27" i="15" s="1"/>
  <c r="I28" i="15" s="1"/>
  <c r="I29" i="15" s="1"/>
  <c r="I30" i="15" s="1"/>
  <c r="I31" i="15" s="1"/>
  <c r="I32" i="15" s="1"/>
  <c r="I33" i="15" s="1"/>
  <c r="I34" i="15" s="1"/>
  <c r="I35" i="15" s="1"/>
  <c r="I36" i="15" s="1"/>
  <c r="I37" i="15" s="1"/>
  <c r="I38" i="15" s="1"/>
  <c r="I39" i="15" s="1"/>
  <c r="I40" i="15" s="1"/>
  <c r="I41" i="15" s="1"/>
  <c r="I42" i="15" s="1"/>
  <c r="I43" i="15" s="1"/>
  <c r="I44" i="15" s="1"/>
  <c r="I45" i="15" s="1"/>
  <c r="I46" i="15" s="1"/>
  <c r="I47" i="15" s="1"/>
  <c r="I48" i="15" s="1"/>
  <c r="I49" i="15" s="1"/>
  <c r="I50" i="15" s="1"/>
  <c r="I51" i="15" s="1"/>
  <c r="I52" i="15" s="1"/>
  <c r="I53" i="15" s="1"/>
  <c r="H3" i="15"/>
  <c r="G3" i="15"/>
  <c r="F3" i="15"/>
  <c r="E3" i="15"/>
  <c r="D3" i="15"/>
  <c r="C3" i="15"/>
  <c r="B3" i="15"/>
  <c r="A3" i="15"/>
  <c r="A4" i="15" s="1"/>
  <c r="A5" i="15" s="1"/>
  <c r="A6" i="15" s="1"/>
  <c r="A7" i="15" s="1"/>
  <c r="A8" i="15" s="1"/>
  <c r="A9" i="15" s="1"/>
  <c r="A10" i="15" s="1"/>
  <c r="A11" i="15" s="1"/>
  <c r="A12" i="15" s="1"/>
  <c r="A13" i="15" s="1"/>
  <c r="A14" i="15" s="1"/>
  <c r="A15" i="15" s="1"/>
  <c r="A16" i="15" s="1"/>
  <c r="A17" i="15" s="1"/>
  <c r="A18" i="15" s="1"/>
  <c r="A19" i="15" s="1"/>
  <c r="A20" i="15" s="1"/>
  <c r="A21" i="15" s="1"/>
  <c r="A22" i="15" s="1"/>
  <c r="A23" i="15" s="1"/>
  <c r="A24" i="15" s="1"/>
  <c r="A25" i="15" s="1"/>
  <c r="A26" i="15" s="1"/>
  <c r="A27" i="15" s="1"/>
  <c r="A28" i="15" s="1"/>
  <c r="A29" i="15" s="1"/>
  <c r="A30" i="15" s="1"/>
  <c r="A31" i="15" s="1"/>
  <c r="A32" i="15" s="1"/>
  <c r="A33" i="15" s="1"/>
  <c r="A34" i="15" s="1"/>
  <c r="A35" i="15" s="1"/>
  <c r="A36" i="15" s="1"/>
  <c r="A37" i="15" s="1"/>
  <c r="A38" i="15" s="1"/>
  <c r="A39" i="15" s="1"/>
  <c r="A40" i="15" s="1"/>
  <c r="A41" i="15" s="1"/>
  <c r="A42" i="15" s="1"/>
  <c r="A43" i="15" s="1"/>
  <c r="A44" i="15" s="1"/>
  <c r="A45" i="15" s="1"/>
  <c r="A46" i="15" s="1"/>
  <c r="A47" i="15" s="1"/>
  <c r="A48" i="15" s="1"/>
  <c r="A49" i="15" s="1"/>
  <c r="A50" i="15" s="1"/>
  <c r="A51" i="15" s="1"/>
  <c r="A52" i="15" s="1"/>
  <c r="A53" i="15" s="1"/>
  <c r="A54" i="15" s="1"/>
  <c r="A55" i="15" s="1"/>
  <c r="A56" i="15" s="1"/>
  <c r="A57" i="15" s="1"/>
  <c r="A58" i="15" s="1"/>
  <c r="A59" i="15" s="1"/>
  <c r="A60" i="15" s="1"/>
  <c r="A61" i="15" s="1"/>
  <c r="A62" i="15" s="1"/>
  <c r="A63" i="15" s="1"/>
  <c r="A64" i="15" s="1"/>
  <c r="A65" i="15" s="1"/>
  <c r="A66" i="15" s="1"/>
  <c r="A67" i="15" s="1"/>
  <c r="A68" i="15" s="1"/>
  <c r="A69" i="15" s="1"/>
  <c r="A70" i="15" s="1"/>
  <c r="A71" i="15" s="1"/>
  <c r="A72" i="15" s="1"/>
  <c r="A73" i="15" s="1"/>
  <c r="A74" i="15" s="1"/>
  <c r="A75" i="15" s="1"/>
  <c r="A76" i="15" s="1"/>
  <c r="A77" i="15" s="1"/>
  <c r="A78" i="15" s="1"/>
  <c r="A79" i="15" s="1"/>
  <c r="A80" i="15" s="1"/>
  <c r="A81" i="15" s="1"/>
  <c r="A82" i="15" s="1"/>
  <c r="A83" i="15" s="1"/>
  <c r="A84" i="15" s="1"/>
  <c r="A85" i="15" s="1"/>
  <c r="A86" i="15" s="1"/>
  <c r="A87" i="15" s="1"/>
  <c r="A88" i="15" s="1"/>
  <c r="A89" i="15" s="1"/>
  <c r="A90" i="15" s="1"/>
  <c r="A91" i="15" s="1"/>
  <c r="A92" i="15" s="1"/>
  <c r="A93" i="15" s="1"/>
  <c r="A94" i="15" s="1"/>
  <c r="A95" i="15" s="1"/>
  <c r="A96" i="15" s="1"/>
  <c r="A97" i="15" s="1"/>
  <c r="A98" i="15" s="1"/>
  <c r="A99" i="15" s="1"/>
  <c r="A100" i="15" s="1"/>
  <c r="A101" i="15" s="1"/>
  <c r="A102" i="15" s="1"/>
  <c r="A103" i="15" s="1"/>
  <c r="A104" i="15" s="1"/>
  <c r="A105" i="15" s="1"/>
  <c r="A106" i="15" s="1"/>
  <c r="A107" i="15" s="1"/>
  <c r="A108" i="15" s="1"/>
  <c r="A109" i="15" s="1"/>
  <c r="A110" i="15" s="1"/>
  <c r="A111" i="15" s="1"/>
  <c r="A112" i="15" s="1"/>
  <c r="A113" i="15" s="1"/>
  <c r="A114" i="15" s="1"/>
  <c r="A115" i="15" s="1"/>
  <c r="A116" i="15" s="1"/>
  <c r="A117" i="15" s="1"/>
  <c r="A118" i="15" s="1"/>
  <c r="A119" i="15" s="1"/>
  <c r="A120" i="15" s="1"/>
  <c r="A121" i="15" s="1"/>
  <c r="A122" i="15" s="1"/>
  <c r="A123" i="15" s="1"/>
  <c r="A124" i="15" s="1"/>
  <c r="A125" i="15" s="1"/>
  <c r="A126" i="15" s="1"/>
  <c r="A127" i="15" s="1"/>
  <c r="A128" i="15" s="1"/>
  <c r="A129" i="15" s="1"/>
  <c r="A130" i="15" s="1"/>
  <c r="A131" i="15" s="1"/>
  <c r="A132" i="15" s="1"/>
  <c r="A133" i="15" s="1"/>
  <c r="A134" i="15" s="1"/>
  <c r="A135" i="15" s="1"/>
  <c r="A136" i="15" s="1"/>
  <c r="A137" i="15" s="1"/>
  <c r="A138" i="15" s="1"/>
  <c r="A139" i="15" s="1"/>
  <c r="A140" i="15" s="1"/>
  <c r="A141" i="15" s="1"/>
  <c r="A142" i="15" s="1"/>
  <c r="A143" i="15" s="1"/>
  <c r="A144" i="15" s="1"/>
  <c r="A145" i="15" s="1"/>
  <c r="A146" i="15" s="1"/>
  <c r="A147" i="15" s="1"/>
  <c r="A148" i="15" s="1"/>
  <c r="A149" i="15" s="1"/>
  <c r="A150" i="15" s="1"/>
  <c r="A151" i="15" s="1"/>
  <c r="A152" i="15" s="1"/>
  <c r="A153" i="15" s="1"/>
  <c r="A154" i="15" s="1"/>
  <c r="A155" i="15" s="1"/>
  <c r="A156" i="15" s="1"/>
  <c r="A157" i="15" s="1"/>
  <c r="A158" i="15" s="1"/>
  <c r="A159" i="15" s="1"/>
  <c r="A160" i="15" s="1"/>
  <c r="A161" i="15" s="1"/>
  <c r="A162" i="15" s="1"/>
  <c r="A163" i="15" s="1"/>
  <c r="A164" i="15" s="1"/>
  <c r="A165" i="15" s="1"/>
  <c r="A166" i="15" s="1"/>
  <c r="A167" i="15" s="1"/>
  <c r="A168" i="15" s="1"/>
  <c r="A169" i="15" s="1"/>
  <c r="A170" i="15" s="1"/>
  <c r="A171" i="15" s="1"/>
  <c r="A172" i="15" s="1"/>
  <c r="A173" i="15" s="1"/>
  <c r="A174" i="15" s="1"/>
  <c r="A175" i="15" s="1"/>
  <c r="A176" i="15" s="1"/>
  <c r="A177" i="15" s="1"/>
  <c r="A178" i="15" s="1"/>
  <c r="A179" i="15" s="1"/>
  <c r="A180" i="15" s="1"/>
  <c r="A181" i="15" s="1"/>
  <c r="A182" i="15" s="1"/>
  <c r="A183" i="15" s="1"/>
  <c r="A184" i="15" s="1"/>
  <c r="A185" i="15" s="1"/>
  <c r="A186" i="15" s="1"/>
  <c r="A187" i="15" s="1"/>
  <c r="A188" i="15" s="1"/>
  <c r="A189" i="15" s="1"/>
  <c r="A190" i="15" s="1"/>
  <c r="A191" i="15" s="1"/>
  <c r="A192" i="15" s="1"/>
  <c r="A193" i="15" s="1"/>
  <c r="A194" i="15" s="1"/>
  <c r="A195" i="15" s="1"/>
  <c r="A196" i="15" s="1"/>
  <c r="A197" i="15" s="1"/>
  <c r="A198" i="15" s="1"/>
  <c r="A199" i="15" s="1"/>
  <c r="A200" i="15" s="1"/>
  <c r="G2" i="15"/>
  <c r="F2" i="15"/>
  <c r="E2" i="15"/>
  <c r="D2" i="15"/>
  <c r="C2" i="15"/>
  <c r="G200" i="13"/>
  <c r="F200" i="13"/>
  <c r="E200" i="13"/>
  <c r="D200" i="13"/>
  <c r="C200" i="13"/>
  <c r="G199" i="13"/>
  <c r="F199" i="13"/>
  <c r="E199" i="13"/>
  <c r="D199" i="13"/>
  <c r="C199" i="13"/>
  <c r="G198" i="13"/>
  <c r="F198" i="13"/>
  <c r="E198" i="13"/>
  <c r="D198" i="13"/>
  <c r="C198" i="13"/>
  <c r="G197" i="13"/>
  <c r="F197" i="13"/>
  <c r="E197" i="13"/>
  <c r="D197" i="13"/>
  <c r="C197" i="13"/>
  <c r="G196" i="13"/>
  <c r="F196" i="13"/>
  <c r="E196" i="13"/>
  <c r="D196" i="13"/>
  <c r="C196" i="13"/>
  <c r="G195" i="13"/>
  <c r="F195" i="13"/>
  <c r="E195" i="13"/>
  <c r="D195" i="13"/>
  <c r="C195" i="13"/>
  <c r="G194" i="13"/>
  <c r="F194" i="13"/>
  <c r="E194" i="13"/>
  <c r="D194" i="13"/>
  <c r="C194" i="13"/>
  <c r="G193" i="13"/>
  <c r="F193" i="13"/>
  <c r="E193" i="13"/>
  <c r="D193" i="13"/>
  <c r="C193" i="13"/>
  <c r="G192" i="13"/>
  <c r="F192" i="13"/>
  <c r="E192" i="13"/>
  <c r="D192" i="13"/>
  <c r="C192" i="13"/>
  <c r="G191" i="13"/>
  <c r="F191" i="13"/>
  <c r="E191" i="13"/>
  <c r="D191" i="13"/>
  <c r="C191" i="13"/>
  <c r="G190" i="13"/>
  <c r="F190" i="13"/>
  <c r="E190" i="13"/>
  <c r="D190" i="13"/>
  <c r="C190" i="13"/>
  <c r="G189" i="13"/>
  <c r="F189" i="13"/>
  <c r="E189" i="13"/>
  <c r="D189" i="13"/>
  <c r="C189" i="13"/>
  <c r="G188" i="13"/>
  <c r="F188" i="13"/>
  <c r="E188" i="13"/>
  <c r="D188" i="13"/>
  <c r="C188" i="13"/>
  <c r="G187" i="13"/>
  <c r="F187" i="13"/>
  <c r="E187" i="13"/>
  <c r="D187" i="13"/>
  <c r="C187" i="13"/>
  <c r="G186" i="13"/>
  <c r="F186" i="13"/>
  <c r="E186" i="13"/>
  <c r="D186" i="13"/>
  <c r="C186" i="13"/>
  <c r="G185" i="13"/>
  <c r="F185" i="13"/>
  <c r="E185" i="13"/>
  <c r="D185" i="13"/>
  <c r="C185" i="13"/>
  <c r="G184" i="13"/>
  <c r="F184" i="13"/>
  <c r="E184" i="13"/>
  <c r="D184" i="13"/>
  <c r="C184" i="13"/>
  <c r="G183" i="13"/>
  <c r="F183" i="13"/>
  <c r="E183" i="13"/>
  <c r="D183" i="13"/>
  <c r="C183" i="13"/>
  <c r="G182" i="13"/>
  <c r="F182" i="13"/>
  <c r="E182" i="13"/>
  <c r="D182" i="13"/>
  <c r="C182" i="13"/>
  <c r="G181" i="13"/>
  <c r="F181" i="13"/>
  <c r="E181" i="13"/>
  <c r="D181" i="13"/>
  <c r="C181" i="13"/>
  <c r="G180" i="13"/>
  <c r="F180" i="13"/>
  <c r="E180" i="13"/>
  <c r="D180" i="13"/>
  <c r="C180" i="13"/>
  <c r="G179" i="13"/>
  <c r="F179" i="13"/>
  <c r="E179" i="13"/>
  <c r="D179" i="13"/>
  <c r="C179" i="13"/>
  <c r="G178" i="13"/>
  <c r="F178" i="13"/>
  <c r="E178" i="13"/>
  <c r="D178" i="13"/>
  <c r="C178" i="13"/>
  <c r="G177" i="13"/>
  <c r="F177" i="13"/>
  <c r="E177" i="13"/>
  <c r="D177" i="13"/>
  <c r="C177" i="13"/>
  <c r="G176" i="13"/>
  <c r="F176" i="13"/>
  <c r="E176" i="13"/>
  <c r="D176" i="13"/>
  <c r="C176" i="13"/>
  <c r="G175" i="13"/>
  <c r="F175" i="13"/>
  <c r="E175" i="13"/>
  <c r="D175" i="13"/>
  <c r="C175" i="13"/>
  <c r="G174" i="13"/>
  <c r="F174" i="13"/>
  <c r="E174" i="13"/>
  <c r="D174" i="13"/>
  <c r="C174" i="13"/>
  <c r="G173" i="13"/>
  <c r="F173" i="13"/>
  <c r="E173" i="13"/>
  <c r="D173" i="13"/>
  <c r="C173" i="13"/>
  <c r="G172" i="13"/>
  <c r="F172" i="13"/>
  <c r="E172" i="13"/>
  <c r="D172" i="13"/>
  <c r="C172" i="13"/>
  <c r="G171" i="13"/>
  <c r="F171" i="13"/>
  <c r="E171" i="13"/>
  <c r="D171" i="13"/>
  <c r="C171" i="13"/>
  <c r="G170" i="13"/>
  <c r="F170" i="13"/>
  <c r="E170" i="13"/>
  <c r="D170" i="13"/>
  <c r="C170" i="13"/>
  <c r="G169" i="13"/>
  <c r="F169" i="13"/>
  <c r="E169" i="13"/>
  <c r="D169" i="13"/>
  <c r="C169" i="13"/>
  <c r="G168" i="13"/>
  <c r="F168" i="13"/>
  <c r="E168" i="13"/>
  <c r="D168" i="13"/>
  <c r="C168" i="13"/>
  <c r="G167" i="13"/>
  <c r="F167" i="13"/>
  <c r="E167" i="13"/>
  <c r="D167" i="13"/>
  <c r="C167" i="13"/>
  <c r="G166" i="13"/>
  <c r="F166" i="13"/>
  <c r="E166" i="13"/>
  <c r="D166" i="13"/>
  <c r="C166" i="13"/>
  <c r="G165" i="13"/>
  <c r="F165" i="13"/>
  <c r="E165" i="13"/>
  <c r="D165" i="13"/>
  <c r="C165" i="13"/>
  <c r="G164" i="13"/>
  <c r="F164" i="13"/>
  <c r="E164" i="13"/>
  <c r="D164" i="13"/>
  <c r="C164" i="13"/>
  <c r="G163" i="13"/>
  <c r="F163" i="13"/>
  <c r="E163" i="13"/>
  <c r="D163" i="13"/>
  <c r="C163" i="13"/>
  <c r="G162" i="13"/>
  <c r="F162" i="13"/>
  <c r="E162" i="13"/>
  <c r="D162" i="13"/>
  <c r="C162" i="13"/>
  <c r="G161" i="13"/>
  <c r="F161" i="13"/>
  <c r="E161" i="13"/>
  <c r="D161" i="13"/>
  <c r="C161" i="13"/>
  <c r="G160" i="13"/>
  <c r="F160" i="13"/>
  <c r="E160" i="13"/>
  <c r="D160" i="13"/>
  <c r="C160" i="13"/>
  <c r="G159" i="13"/>
  <c r="F159" i="13"/>
  <c r="E159" i="13"/>
  <c r="D159" i="13"/>
  <c r="C159" i="13"/>
  <c r="G158" i="13"/>
  <c r="F158" i="13"/>
  <c r="E158" i="13"/>
  <c r="D158" i="13"/>
  <c r="C158" i="13"/>
  <c r="G157" i="13"/>
  <c r="F157" i="13"/>
  <c r="E157" i="13"/>
  <c r="D157" i="13"/>
  <c r="C157" i="13"/>
  <c r="G156" i="13"/>
  <c r="F156" i="13"/>
  <c r="E156" i="13"/>
  <c r="D156" i="13"/>
  <c r="C156" i="13"/>
  <c r="G155" i="13"/>
  <c r="F155" i="13"/>
  <c r="E155" i="13"/>
  <c r="D155" i="13"/>
  <c r="C155" i="13"/>
  <c r="G154" i="13"/>
  <c r="F154" i="13"/>
  <c r="E154" i="13"/>
  <c r="D154" i="13"/>
  <c r="C154" i="13"/>
  <c r="G153" i="13"/>
  <c r="F153" i="13"/>
  <c r="E153" i="13"/>
  <c r="D153" i="13"/>
  <c r="C153" i="13"/>
  <c r="G152" i="13"/>
  <c r="F152" i="13"/>
  <c r="E152" i="13"/>
  <c r="D152" i="13"/>
  <c r="C152" i="13"/>
  <c r="G151" i="13"/>
  <c r="F151" i="13"/>
  <c r="E151" i="13"/>
  <c r="D151" i="13"/>
  <c r="C151" i="13"/>
  <c r="G150" i="13"/>
  <c r="F150" i="13"/>
  <c r="E150" i="13"/>
  <c r="D150" i="13"/>
  <c r="C150" i="13"/>
  <c r="G149" i="13"/>
  <c r="F149" i="13"/>
  <c r="E149" i="13"/>
  <c r="D149" i="13"/>
  <c r="C149" i="13"/>
  <c r="G148" i="13"/>
  <c r="F148" i="13"/>
  <c r="E148" i="13"/>
  <c r="D148" i="13"/>
  <c r="C148" i="13"/>
  <c r="G147" i="13"/>
  <c r="F147" i="13"/>
  <c r="E147" i="13"/>
  <c r="D147" i="13"/>
  <c r="C147" i="13"/>
  <c r="G146" i="13"/>
  <c r="F146" i="13"/>
  <c r="E146" i="13"/>
  <c r="D146" i="13"/>
  <c r="C146" i="13"/>
  <c r="G145" i="13"/>
  <c r="F145" i="13"/>
  <c r="E145" i="13"/>
  <c r="D145" i="13"/>
  <c r="C145" i="13"/>
  <c r="G144" i="13"/>
  <c r="F144" i="13"/>
  <c r="E144" i="13"/>
  <c r="D144" i="13"/>
  <c r="C144" i="13"/>
  <c r="G143" i="13"/>
  <c r="F143" i="13"/>
  <c r="E143" i="13"/>
  <c r="D143" i="13"/>
  <c r="C143" i="13"/>
  <c r="G142" i="13"/>
  <c r="F142" i="13"/>
  <c r="E142" i="13"/>
  <c r="D142" i="13"/>
  <c r="C142" i="13"/>
  <c r="G141" i="13"/>
  <c r="F141" i="13"/>
  <c r="E141" i="13"/>
  <c r="D141" i="13"/>
  <c r="C141" i="13"/>
  <c r="G140" i="13"/>
  <c r="F140" i="13"/>
  <c r="E140" i="13"/>
  <c r="D140" i="13"/>
  <c r="C140" i="13"/>
  <c r="G139" i="13"/>
  <c r="F139" i="13"/>
  <c r="E139" i="13"/>
  <c r="D139" i="13"/>
  <c r="C139" i="13"/>
  <c r="G138" i="13"/>
  <c r="F138" i="13"/>
  <c r="E138" i="13"/>
  <c r="D138" i="13"/>
  <c r="C138" i="13"/>
  <c r="G137" i="13"/>
  <c r="F137" i="13"/>
  <c r="E137" i="13"/>
  <c r="D137" i="13"/>
  <c r="C137" i="13"/>
  <c r="G136" i="13"/>
  <c r="F136" i="13"/>
  <c r="E136" i="13"/>
  <c r="D136" i="13"/>
  <c r="C136" i="13"/>
  <c r="G135" i="13"/>
  <c r="F135" i="13"/>
  <c r="E135" i="13"/>
  <c r="D135" i="13"/>
  <c r="C135" i="13"/>
  <c r="G134" i="13"/>
  <c r="F134" i="13"/>
  <c r="E134" i="13"/>
  <c r="D134" i="13"/>
  <c r="C134" i="13"/>
  <c r="G133" i="13"/>
  <c r="F133" i="13"/>
  <c r="E133" i="13"/>
  <c r="D133" i="13"/>
  <c r="C133" i="13"/>
  <c r="G132" i="13"/>
  <c r="F132" i="13"/>
  <c r="E132" i="13"/>
  <c r="D132" i="13"/>
  <c r="C132" i="13"/>
  <c r="G131" i="13"/>
  <c r="F131" i="13"/>
  <c r="E131" i="13"/>
  <c r="D131" i="13"/>
  <c r="C131" i="13"/>
  <c r="G130" i="13"/>
  <c r="F130" i="13"/>
  <c r="E130" i="13"/>
  <c r="D130" i="13"/>
  <c r="C130" i="13"/>
  <c r="G129" i="13"/>
  <c r="F129" i="13"/>
  <c r="E129" i="13"/>
  <c r="D129" i="13"/>
  <c r="C129" i="13"/>
  <c r="G128" i="13"/>
  <c r="F128" i="13"/>
  <c r="E128" i="13"/>
  <c r="D128" i="13"/>
  <c r="C128" i="13"/>
  <c r="G127" i="13"/>
  <c r="F127" i="13"/>
  <c r="E127" i="13"/>
  <c r="D127" i="13"/>
  <c r="C127" i="13"/>
  <c r="G126" i="13"/>
  <c r="F126" i="13"/>
  <c r="E126" i="13"/>
  <c r="D126" i="13"/>
  <c r="C126" i="13"/>
  <c r="G125" i="13"/>
  <c r="F125" i="13"/>
  <c r="E125" i="13"/>
  <c r="D125" i="13"/>
  <c r="C125" i="13"/>
  <c r="G124" i="13"/>
  <c r="F124" i="13"/>
  <c r="E124" i="13"/>
  <c r="D124" i="13"/>
  <c r="C124" i="13"/>
  <c r="G123" i="13"/>
  <c r="F123" i="13"/>
  <c r="E123" i="13"/>
  <c r="D123" i="13"/>
  <c r="C123" i="13"/>
  <c r="G122" i="13"/>
  <c r="F122" i="13"/>
  <c r="E122" i="13"/>
  <c r="D122" i="13"/>
  <c r="C122" i="13"/>
  <c r="G121" i="13"/>
  <c r="F121" i="13"/>
  <c r="E121" i="13"/>
  <c r="D121" i="13"/>
  <c r="C121" i="13"/>
  <c r="G120" i="13"/>
  <c r="F120" i="13"/>
  <c r="E120" i="13"/>
  <c r="D120" i="13"/>
  <c r="C120" i="13"/>
  <c r="G119" i="13"/>
  <c r="F119" i="13"/>
  <c r="E119" i="13"/>
  <c r="D119" i="13"/>
  <c r="C119" i="13"/>
  <c r="G118" i="13"/>
  <c r="F118" i="13"/>
  <c r="E118" i="13"/>
  <c r="D118" i="13"/>
  <c r="C118" i="13"/>
  <c r="G117" i="13"/>
  <c r="F117" i="13"/>
  <c r="E117" i="13"/>
  <c r="D117" i="13"/>
  <c r="C117" i="13"/>
  <c r="G116" i="13"/>
  <c r="F116" i="13"/>
  <c r="E116" i="13"/>
  <c r="D116" i="13"/>
  <c r="C116" i="13"/>
  <c r="G115" i="13"/>
  <c r="F115" i="13"/>
  <c r="E115" i="13"/>
  <c r="D115" i="13"/>
  <c r="C115" i="13"/>
  <c r="G114" i="13"/>
  <c r="F114" i="13"/>
  <c r="E114" i="13"/>
  <c r="D114" i="13"/>
  <c r="C114" i="13"/>
  <c r="G113" i="13"/>
  <c r="F113" i="13"/>
  <c r="E113" i="13"/>
  <c r="D113" i="13"/>
  <c r="C113" i="13"/>
  <c r="G112" i="13"/>
  <c r="F112" i="13"/>
  <c r="E112" i="13"/>
  <c r="D112" i="13"/>
  <c r="C112" i="13"/>
  <c r="G111" i="13"/>
  <c r="F111" i="13"/>
  <c r="E111" i="13"/>
  <c r="D111" i="13"/>
  <c r="C111" i="13"/>
  <c r="G110" i="13"/>
  <c r="F110" i="13"/>
  <c r="E110" i="13"/>
  <c r="D110" i="13"/>
  <c r="C110" i="13"/>
  <c r="G109" i="13"/>
  <c r="F109" i="13"/>
  <c r="E109" i="13"/>
  <c r="D109" i="13"/>
  <c r="C109" i="13"/>
  <c r="G108" i="13"/>
  <c r="F108" i="13"/>
  <c r="E108" i="13"/>
  <c r="D108" i="13"/>
  <c r="C108" i="13"/>
  <c r="G107" i="13"/>
  <c r="F107" i="13"/>
  <c r="E107" i="13"/>
  <c r="D107" i="13"/>
  <c r="C107" i="13"/>
  <c r="G106" i="13"/>
  <c r="F106" i="13"/>
  <c r="E106" i="13"/>
  <c r="D106" i="13"/>
  <c r="C106" i="13"/>
  <c r="G105" i="13"/>
  <c r="F105" i="13"/>
  <c r="E105" i="13"/>
  <c r="D105" i="13"/>
  <c r="C105" i="13"/>
  <c r="G104" i="13"/>
  <c r="F104" i="13"/>
  <c r="E104" i="13"/>
  <c r="D104" i="13"/>
  <c r="C104" i="13"/>
  <c r="G103" i="13"/>
  <c r="F103" i="13"/>
  <c r="E103" i="13"/>
  <c r="D103" i="13"/>
  <c r="C103" i="13"/>
  <c r="G102" i="13"/>
  <c r="F102" i="13"/>
  <c r="E102" i="13"/>
  <c r="D102" i="13"/>
  <c r="C102" i="13"/>
  <c r="G101" i="13"/>
  <c r="F101" i="13"/>
  <c r="E101" i="13"/>
  <c r="D101" i="13"/>
  <c r="C101" i="13"/>
  <c r="G100" i="13"/>
  <c r="F100" i="13"/>
  <c r="E100" i="13"/>
  <c r="D100" i="13"/>
  <c r="C100" i="13"/>
  <c r="G99" i="13"/>
  <c r="F99" i="13"/>
  <c r="E99" i="13"/>
  <c r="D99" i="13"/>
  <c r="C99" i="13"/>
  <c r="G98" i="13"/>
  <c r="F98" i="13"/>
  <c r="E98" i="13"/>
  <c r="D98" i="13"/>
  <c r="C98" i="13"/>
  <c r="G97" i="13"/>
  <c r="F97" i="13"/>
  <c r="E97" i="13"/>
  <c r="D97" i="13"/>
  <c r="C97" i="13"/>
  <c r="G96" i="13"/>
  <c r="F96" i="13"/>
  <c r="E96" i="13"/>
  <c r="D96" i="13"/>
  <c r="C96" i="13"/>
  <c r="G95" i="13"/>
  <c r="F95" i="13"/>
  <c r="E95" i="13"/>
  <c r="D95" i="13"/>
  <c r="C95" i="13"/>
  <c r="G94" i="13"/>
  <c r="F94" i="13"/>
  <c r="E94" i="13"/>
  <c r="D94" i="13"/>
  <c r="C94" i="13"/>
  <c r="G93" i="13"/>
  <c r="F93" i="13"/>
  <c r="E93" i="13"/>
  <c r="D93" i="13"/>
  <c r="C93" i="13"/>
  <c r="G92" i="13"/>
  <c r="F92" i="13"/>
  <c r="E92" i="13"/>
  <c r="D92" i="13"/>
  <c r="C92" i="13"/>
  <c r="G91" i="13"/>
  <c r="F91" i="13"/>
  <c r="E91" i="13"/>
  <c r="D91" i="13"/>
  <c r="C91" i="13"/>
  <c r="G90" i="13"/>
  <c r="F90" i="13"/>
  <c r="E90" i="13"/>
  <c r="D90" i="13"/>
  <c r="C90" i="13"/>
  <c r="G89" i="13"/>
  <c r="F89" i="13"/>
  <c r="E89" i="13"/>
  <c r="D89" i="13"/>
  <c r="C89" i="13"/>
  <c r="G88" i="13"/>
  <c r="F88" i="13"/>
  <c r="E88" i="13"/>
  <c r="D88" i="13"/>
  <c r="C88" i="13"/>
  <c r="G87" i="13"/>
  <c r="F87" i="13"/>
  <c r="E87" i="13"/>
  <c r="D87" i="13"/>
  <c r="C87" i="13"/>
  <c r="G86" i="13"/>
  <c r="F86" i="13"/>
  <c r="E86" i="13"/>
  <c r="D86" i="13"/>
  <c r="C86" i="13"/>
  <c r="G85" i="13"/>
  <c r="F85" i="13"/>
  <c r="E85" i="13"/>
  <c r="D85" i="13"/>
  <c r="C85" i="13"/>
  <c r="G84" i="13"/>
  <c r="F84" i="13"/>
  <c r="E84" i="13"/>
  <c r="D84" i="13"/>
  <c r="C84" i="13"/>
  <c r="G83" i="13"/>
  <c r="F83" i="13"/>
  <c r="E83" i="13"/>
  <c r="D83" i="13"/>
  <c r="C83" i="13"/>
  <c r="G82" i="13"/>
  <c r="F82" i="13"/>
  <c r="E82" i="13"/>
  <c r="D82" i="13"/>
  <c r="C82" i="13"/>
  <c r="G81" i="13"/>
  <c r="F81" i="13"/>
  <c r="E81" i="13"/>
  <c r="D81" i="13"/>
  <c r="C81" i="13"/>
  <c r="G80" i="13"/>
  <c r="F80" i="13"/>
  <c r="E80" i="13"/>
  <c r="D80" i="13"/>
  <c r="C80" i="13"/>
  <c r="G79" i="13"/>
  <c r="F79" i="13"/>
  <c r="E79" i="13"/>
  <c r="D79" i="13"/>
  <c r="C79" i="13"/>
  <c r="G78" i="13"/>
  <c r="F78" i="13"/>
  <c r="E78" i="13"/>
  <c r="D78" i="13"/>
  <c r="C78" i="13"/>
  <c r="G77" i="13"/>
  <c r="F77" i="13"/>
  <c r="E77" i="13"/>
  <c r="D77" i="13"/>
  <c r="C77" i="13"/>
  <c r="G76" i="13"/>
  <c r="F76" i="13"/>
  <c r="E76" i="13"/>
  <c r="D76" i="13"/>
  <c r="C76" i="13"/>
  <c r="G75" i="13"/>
  <c r="F75" i="13"/>
  <c r="E75" i="13"/>
  <c r="D75" i="13"/>
  <c r="C75" i="13"/>
  <c r="G74" i="13"/>
  <c r="F74" i="13"/>
  <c r="E74" i="13"/>
  <c r="D74" i="13"/>
  <c r="C74" i="13"/>
  <c r="G73" i="13"/>
  <c r="F73" i="13"/>
  <c r="E73" i="13"/>
  <c r="D73" i="13"/>
  <c r="C73" i="13"/>
  <c r="G72" i="13"/>
  <c r="F72" i="13"/>
  <c r="E72" i="13"/>
  <c r="D72" i="13"/>
  <c r="C72" i="13"/>
  <c r="G71" i="13"/>
  <c r="F71" i="13"/>
  <c r="E71" i="13"/>
  <c r="D71" i="13"/>
  <c r="C71" i="13"/>
  <c r="G70" i="13"/>
  <c r="F70" i="13"/>
  <c r="E70" i="13"/>
  <c r="D70" i="13"/>
  <c r="C70" i="13"/>
  <c r="G69" i="13"/>
  <c r="F69" i="13"/>
  <c r="E69" i="13"/>
  <c r="D69" i="13"/>
  <c r="C69" i="13"/>
  <c r="G68" i="13"/>
  <c r="F68" i="13"/>
  <c r="E68" i="13"/>
  <c r="D68" i="13"/>
  <c r="C68" i="13"/>
  <c r="G67" i="13"/>
  <c r="F67" i="13"/>
  <c r="E67" i="13"/>
  <c r="D67" i="13"/>
  <c r="C67" i="13"/>
  <c r="G66" i="13"/>
  <c r="F66" i="13"/>
  <c r="E66" i="13"/>
  <c r="D66" i="13"/>
  <c r="C66" i="13"/>
  <c r="G65" i="13"/>
  <c r="F65" i="13"/>
  <c r="E65" i="13"/>
  <c r="D65" i="13"/>
  <c r="C65" i="13"/>
  <c r="G64" i="13"/>
  <c r="F64" i="13"/>
  <c r="E64" i="13"/>
  <c r="D64" i="13"/>
  <c r="C64" i="13"/>
  <c r="G63" i="13"/>
  <c r="F63" i="13"/>
  <c r="E63" i="13"/>
  <c r="D63" i="13"/>
  <c r="C63" i="13"/>
  <c r="G62" i="13"/>
  <c r="F62" i="13"/>
  <c r="E62" i="13"/>
  <c r="D62" i="13"/>
  <c r="C62" i="13"/>
  <c r="G61" i="13"/>
  <c r="F61" i="13"/>
  <c r="E61" i="13"/>
  <c r="D61" i="13"/>
  <c r="C61" i="13"/>
  <c r="G60" i="13"/>
  <c r="F60" i="13"/>
  <c r="E60" i="13"/>
  <c r="D60" i="13"/>
  <c r="C60" i="13"/>
  <c r="G59" i="13"/>
  <c r="F59" i="13"/>
  <c r="E59" i="13"/>
  <c r="D59" i="13"/>
  <c r="C59" i="13"/>
  <c r="G58" i="13"/>
  <c r="F58" i="13"/>
  <c r="E58" i="13"/>
  <c r="D58" i="13"/>
  <c r="C58" i="13"/>
  <c r="G57" i="13"/>
  <c r="F57" i="13"/>
  <c r="E57" i="13"/>
  <c r="D57" i="13"/>
  <c r="C57" i="13"/>
  <c r="G56" i="13"/>
  <c r="F56" i="13"/>
  <c r="E56" i="13"/>
  <c r="D56" i="13"/>
  <c r="C56" i="13"/>
  <c r="G55" i="13"/>
  <c r="F55" i="13"/>
  <c r="E55" i="13"/>
  <c r="D55" i="13"/>
  <c r="C55" i="13"/>
  <c r="G54" i="13"/>
  <c r="F54" i="13"/>
  <c r="E54" i="13"/>
  <c r="D54" i="13"/>
  <c r="C54" i="13"/>
  <c r="I3" i="13"/>
  <c r="I4" i="13" s="1"/>
  <c r="I5" i="13" s="1"/>
  <c r="I6" i="13" s="1"/>
  <c r="I7" i="13" s="1"/>
  <c r="I8" i="13" s="1"/>
  <c r="I9" i="13" s="1"/>
  <c r="I10" i="13" s="1"/>
  <c r="I11" i="13" s="1"/>
  <c r="I12" i="13" s="1"/>
  <c r="I13" i="13" s="1"/>
  <c r="I14" i="13" s="1"/>
  <c r="I15" i="13" s="1"/>
  <c r="I16" i="13" s="1"/>
  <c r="I17" i="13" s="1"/>
  <c r="I18" i="13" s="1"/>
  <c r="I19" i="13" s="1"/>
  <c r="I20" i="13" s="1"/>
  <c r="I21" i="13" s="1"/>
  <c r="I22" i="13" s="1"/>
  <c r="I23" i="13" s="1"/>
  <c r="I24" i="13" s="1"/>
  <c r="I25" i="13" s="1"/>
  <c r="I26" i="13" s="1"/>
  <c r="I27" i="13" s="1"/>
  <c r="I28" i="13" s="1"/>
  <c r="I29" i="13" s="1"/>
  <c r="I30" i="13" s="1"/>
  <c r="I31" i="13" s="1"/>
  <c r="I32" i="13" s="1"/>
  <c r="I33" i="13" s="1"/>
  <c r="I34" i="13" s="1"/>
  <c r="I35" i="13" s="1"/>
  <c r="I36" i="13" s="1"/>
  <c r="I37" i="13" s="1"/>
  <c r="I38" i="13" s="1"/>
  <c r="I39" i="13" s="1"/>
  <c r="I40" i="13" s="1"/>
  <c r="I41" i="13" s="1"/>
  <c r="I42" i="13" s="1"/>
  <c r="I43" i="13" s="1"/>
  <c r="I44" i="13" s="1"/>
  <c r="I45" i="13" s="1"/>
  <c r="I46" i="13" s="1"/>
  <c r="I47" i="13" s="1"/>
  <c r="I48" i="13" s="1"/>
  <c r="I49" i="13" s="1"/>
  <c r="I50" i="13" s="1"/>
  <c r="I51" i="13" s="1"/>
  <c r="I52" i="13" s="1"/>
  <c r="I53" i="13" s="1"/>
  <c r="H3" i="13"/>
  <c r="H4" i="13" s="1"/>
  <c r="H5" i="13" s="1"/>
  <c r="H6" i="13" s="1"/>
  <c r="H7" i="13" s="1"/>
  <c r="H8" i="13" s="1"/>
  <c r="H9" i="13" s="1"/>
  <c r="H10" i="13" s="1"/>
  <c r="H11" i="13" s="1"/>
  <c r="H12" i="13" s="1"/>
  <c r="H13" i="13" s="1"/>
  <c r="H14" i="13" s="1"/>
  <c r="H15" i="13" s="1"/>
  <c r="H16" i="13" s="1"/>
  <c r="H17" i="13" s="1"/>
  <c r="H18" i="13" s="1"/>
  <c r="H19" i="13" s="1"/>
  <c r="H20" i="13" s="1"/>
  <c r="H21" i="13" s="1"/>
  <c r="H22" i="13" s="1"/>
  <c r="H23" i="13" s="1"/>
  <c r="H24" i="13" s="1"/>
  <c r="H25" i="13" s="1"/>
  <c r="H26" i="13" s="1"/>
  <c r="H27" i="13" s="1"/>
  <c r="H28" i="13" s="1"/>
  <c r="H29" i="13" s="1"/>
  <c r="H30" i="13" s="1"/>
  <c r="H31" i="13" s="1"/>
  <c r="H32" i="13" s="1"/>
  <c r="H33" i="13" s="1"/>
  <c r="H34" i="13" s="1"/>
  <c r="H35" i="13" s="1"/>
  <c r="H36" i="13" s="1"/>
  <c r="H37" i="13" s="1"/>
  <c r="H38" i="13" s="1"/>
  <c r="H39" i="13" s="1"/>
  <c r="H40" i="13" s="1"/>
  <c r="H41" i="13" s="1"/>
  <c r="H42" i="13" s="1"/>
  <c r="H43" i="13" s="1"/>
  <c r="H44" i="13" s="1"/>
  <c r="H45" i="13" s="1"/>
  <c r="H46" i="13" s="1"/>
  <c r="H47" i="13" s="1"/>
  <c r="H48" i="13" s="1"/>
  <c r="H49" i="13" s="1"/>
  <c r="H50" i="13" s="1"/>
  <c r="H51" i="13" s="1"/>
  <c r="H52" i="13" s="1"/>
  <c r="H53" i="13" s="1"/>
  <c r="B3" i="13"/>
  <c r="B4" i="13" s="1"/>
  <c r="B5" i="13" s="1"/>
  <c r="B6" i="13" s="1"/>
  <c r="B7" i="13" s="1"/>
  <c r="B8" i="13" s="1"/>
  <c r="B9" i="13" s="1"/>
  <c r="B10" i="13" s="1"/>
  <c r="B11" i="13" s="1"/>
  <c r="B12" i="13" s="1"/>
  <c r="B13" i="13" s="1"/>
  <c r="B14" i="13" s="1"/>
  <c r="B15" i="13" s="1"/>
  <c r="B16" i="13" s="1"/>
  <c r="B17" i="13" s="1"/>
  <c r="B18" i="13" s="1"/>
  <c r="B19" i="13" s="1"/>
  <c r="B20" i="13" s="1"/>
  <c r="B21" i="13" s="1"/>
  <c r="B22" i="13" s="1"/>
  <c r="B23" i="13" s="1"/>
  <c r="B24" i="13" s="1"/>
  <c r="B25" i="13" s="1"/>
  <c r="B26" i="13" s="1"/>
  <c r="B27" i="13" s="1"/>
  <c r="B28" i="13" s="1"/>
  <c r="B29" i="13" s="1"/>
  <c r="B30" i="13" s="1"/>
  <c r="B31" i="13" s="1"/>
  <c r="B32" i="13" s="1"/>
  <c r="B33" i="13" s="1"/>
  <c r="B34" i="13" s="1"/>
  <c r="B35" i="13" s="1"/>
  <c r="B36" i="13" s="1"/>
  <c r="B37" i="13" s="1"/>
  <c r="B38" i="13" s="1"/>
  <c r="B39" i="13" s="1"/>
  <c r="B40" i="13" s="1"/>
  <c r="B41" i="13" s="1"/>
  <c r="B42" i="13" s="1"/>
  <c r="B43" i="13" s="1"/>
  <c r="B44" i="13" s="1"/>
  <c r="B45" i="13" s="1"/>
  <c r="B46" i="13" s="1"/>
  <c r="B47" i="13" s="1"/>
  <c r="B48" i="13" s="1"/>
  <c r="B49" i="13" s="1"/>
  <c r="B50" i="13" s="1"/>
  <c r="B51" i="13" s="1"/>
  <c r="B52" i="13" s="1"/>
  <c r="B53" i="13" s="1"/>
  <c r="B54" i="13" s="1"/>
  <c r="B55" i="13" s="1"/>
  <c r="B56" i="13" s="1"/>
  <c r="B57" i="13" s="1"/>
  <c r="B58" i="13" s="1"/>
  <c r="B59" i="13" s="1"/>
  <c r="B60" i="13" s="1"/>
  <c r="B61" i="13" s="1"/>
  <c r="B62" i="13" s="1"/>
  <c r="B63" i="13" s="1"/>
  <c r="B64" i="13" s="1"/>
  <c r="B65" i="13" s="1"/>
  <c r="B66" i="13" s="1"/>
  <c r="B67" i="13" s="1"/>
  <c r="B68" i="13" s="1"/>
  <c r="B69" i="13" s="1"/>
  <c r="B70" i="13" s="1"/>
  <c r="B71" i="13" s="1"/>
  <c r="B72" i="13" s="1"/>
  <c r="B73" i="13" s="1"/>
  <c r="B74" i="13" s="1"/>
  <c r="B75" i="13" s="1"/>
  <c r="B76" i="13" s="1"/>
  <c r="B77" i="13" s="1"/>
  <c r="B78" i="13" s="1"/>
  <c r="B79" i="13" s="1"/>
  <c r="B80" i="13" s="1"/>
  <c r="B81" i="13" s="1"/>
  <c r="B82" i="13" s="1"/>
  <c r="B83" i="13" s="1"/>
  <c r="B84" i="13" s="1"/>
  <c r="B85" i="13" s="1"/>
  <c r="B86" i="13" s="1"/>
  <c r="B87" i="13" s="1"/>
  <c r="B88" i="13" s="1"/>
  <c r="B89" i="13" s="1"/>
  <c r="B90" i="13" s="1"/>
  <c r="B91" i="13" s="1"/>
  <c r="B92" i="13" s="1"/>
  <c r="B93" i="13" s="1"/>
  <c r="B94" i="13" s="1"/>
  <c r="B95" i="13" s="1"/>
  <c r="B96" i="13" s="1"/>
  <c r="B97" i="13" s="1"/>
  <c r="B98" i="13" s="1"/>
  <c r="B99" i="13" s="1"/>
  <c r="B100" i="13" s="1"/>
  <c r="B101" i="13" s="1"/>
  <c r="B102" i="13" s="1"/>
  <c r="B103" i="13" s="1"/>
  <c r="B104" i="13" s="1"/>
  <c r="B105" i="13" s="1"/>
  <c r="B106" i="13" s="1"/>
  <c r="B107" i="13" s="1"/>
  <c r="B108" i="13" s="1"/>
  <c r="B109" i="13" s="1"/>
  <c r="B110" i="13" s="1"/>
  <c r="B111" i="13" s="1"/>
  <c r="B112" i="13" s="1"/>
  <c r="B113" i="13" s="1"/>
  <c r="B114" i="13" s="1"/>
  <c r="B115" i="13" s="1"/>
  <c r="B116" i="13" s="1"/>
  <c r="B117" i="13" s="1"/>
  <c r="B118" i="13" s="1"/>
  <c r="B119" i="13" s="1"/>
  <c r="B120" i="13" s="1"/>
  <c r="B121" i="13" s="1"/>
  <c r="B122" i="13" s="1"/>
  <c r="B123" i="13" s="1"/>
  <c r="B124" i="13" s="1"/>
  <c r="B125" i="13" s="1"/>
  <c r="B126" i="13" s="1"/>
  <c r="B127" i="13" s="1"/>
  <c r="B128" i="13" s="1"/>
  <c r="B129" i="13" s="1"/>
  <c r="B130" i="13" s="1"/>
  <c r="B131" i="13" s="1"/>
  <c r="B132" i="13" s="1"/>
  <c r="B133" i="13" s="1"/>
  <c r="B134" i="13" s="1"/>
  <c r="B135" i="13" s="1"/>
  <c r="B136" i="13" s="1"/>
  <c r="B137" i="13" s="1"/>
  <c r="B138" i="13" s="1"/>
  <c r="B139" i="13" s="1"/>
  <c r="B140" i="13" s="1"/>
  <c r="B141" i="13" s="1"/>
  <c r="B142" i="13" s="1"/>
  <c r="B143" i="13" s="1"/>
  <c r="B144" i="13" s="1"/>
  <c r="B145" i="13" s="1"/>
  <c r="B146" i="13" s="1"/>
  <c r="B147" i="13" s="1"/>
  <c r="B148" i="13" s="1"/>
  <c r="B149" i="13" s="1"/>
  <c r="B150" i="13" s="1"/>
  <c r="B151" i="13" s="1"/>
  <c r="B152" i="13" s="1"/>
  <c r="B153" i="13" s="1"/>
  <c r="B154" i="13" s="1"/>
  <c r="B155" i="13" s="1"/>
  <c r="B156" i="13" s="1"/>
  <c r="B157" i="13" s="1"/>
  <c r="B158" i="13" s="1"/>
  <c r="B159" i="13" s="1"/>
  <c r="B160" i="13" s="1"/>
  <c r="B161" i="13" s="1"/>
  <c r="B162" i="13" s="1"/>
  <c r="B163" i="13" s="1"/>
  <c r="B164" i="13" s="1"/>
  <c r="B165" i="13" s="1"/>
  <c r="B166" i="13" s="1"/>
  <c r="B167" i="13" s="1"/>
  <c r="B168" i="13" s="1"/>
  <c r="B169" i="13" s="1"/>
  <c r="B170" i="13" s="1"/>
  <c r="B171" i="13" s="1"/>
  <c r="B172" i="13" s="1"/>
  <c r="B173" i="13" s="1"/>
  <c r="B174" i="13" s="1"/>
  <c r="B175" i="13" s="1"/>
  <c r="B176" i="13" s="1"/>
  <c r="B177" i="13" s="1"/>
  <c r="B178" i="13" s="1"/>
  <c r="B179" i="13" s="1"/>
  <c r="B180" i="13" s="1"/>
  <c r="B181" i="13" s="1"/>
  <c r="B182" i="13" s="1"/>
  <c r="B183" i="13" s="1"/>
  <c r="B184" i="13" s="1"/>
  <c r="B185" i="13" s="1"/>
  <c r="B186" i="13" s="1"/>
  <c r="B187" i="13" s="1"/>
  <c r="B188" i="13" s="1"/>
  <c r="B189" i="13" s="1"/>
  <c r="B190" i="13" s="1"/>
  <c r="B191" i="13" s="1"/>
  <c r="B192" i="13" s="1"/>
  <c r="B193" i="13" s="1"/>
  <c r="B194" i="13" s="1"/>
  <c r="B195" i="13" s="1"/>
  <c r="B196" i="13" s="1"/>
  <c r="B197" i="13" s="1"/>
  <c r="B198" i="13" s="1"/>
  <c r="B199" i="13" s="1"/>
  <c r="B200" i="13" s="1"/>
  <c r="A3" i="13"/>
  <c r="A4" i="13" s="1"/>
  <c r="A5" i="13" s="1"/>
  <c r="A6" i="13" s="1"/>
  <c r="A7" i="13" s="1"/>
  <c r="A8" i="13" s="1"/>
  <c r="A9" i="13" s="1"/>
  <c r="A10" i="13" s="1"/>
  <c r="A11" i="13" s="1"/>
  <c r="A12" i="13" s="1"/>
  <c r="A13" i="13" s="1"/>
  <c r="A14" i="13" s="1"/>
  <c r="A15" i="13" s="1"/>
  <c r="A16" i="13" s="1"/>
  <c r="A17" i="13" s="1"/>
  <c r="A18" i="13" s="1"/>
  <c r="A19" i="13" s="1"/>
  <c r="A20" i="13" s="1"/>
  <c r="A21" i="13" s="1"/>
  <c r="A22" i="13" s="1"/>
  <c r="A23" i="13" s="1"/>
  <c r="A24" i="13" s="1"/>
  <c r="A25" i="13" s="1"/>
  <c r="A26" i="13" s="1"/>
  <c r="A27" i="13" s="1"/>
  <c r="A28" i="13" s="1"/>
  <c r="A29" i="13" s="1"/>
  <c r="A30" i="13" s="1"/>
  <c r="A31" i="13" s="1"/>
  <c r="A32" i="13" s="1"/>
  <c r="A33" i="13" s="1"/>
  <c r="A34" i="13" s="1"/>
  <c r="A35" i="13" s="1"/>
  <c r="A36" i="13" s="1"/>
  <c r="A37" i="13" s="1"/>
  <c r="A38" i="13" s="1"/>
  <c r="A39" i="13" s="1"/>
  <c r="A40" i="13" s="1"/>
  <c r="A41" i="13" s="1"/>
  <c r="A42" i="13" s="1"/>
  <c r="A43" i="13" s="1"/>
  <c r="A44" i="13" s="1"/>
  <c r="A45" i="13" s="1"/>
  <c r="A46" i="13" s="1"/>
  <c r="A47" i="13" s="1"/>
  <c r="A48" i="13" s="1"/>
  <c r="A49" i="13" s="1"/>
  <c r="A50" i="13" s="1"/>
  <c r="A51" i="13" s="1"/>
  <c r="A52" i="13" s="1"/>
  <c r="A53" i="13" s="1"/>
  <c r="A54" i="13" s="1"/>
  <c r="A55" i="13" s="1"/>
  <c r="A56" i="13" s="1"/>
  <c r="A57" i="13" s="1"/>
  <c r="A58" i="13" s="1"/>
  <c r="A59" i="13" s="1"/>
  <c r="A60" i="13" s="1"/>
  <c r="A61" i="13" s="1"/>
  <c r="A62" i="13" s="1"/>
  <c r="A63" i="13" s="1"/>
  <c r="A64" i="13" s="1"/>
  <c r="A65" i="13" s="1"/>
  <c r="A66" i="13" s="1"/>
  <c r="A67" i="13" s="1"/>
  <c r="A68" i="13" s="1"/>
  <c r="A69" i="13" s="1"/>
  <c r="A70" i="13" s="1"/>
  <c r="A71" i="13" s="1"/>
  <c r="A72" i="13" s="1"/>
  <c r="A73" i="13" s="1"/>
  <c r="A74" i="13" s="1"/>
  <c r="A75" i="13" s="1"/>
  <c r="A76" i="13" s="1"/>
  <c r="A77" i="13" s="1"/>
  <c r="A78" i="13" s="1"/>
  <c r="A79" i="13" s="1"/>
  <c r="A80" i="13" s="1"/>
  <c r="A81" i="13" s="1"/>
  <c r="A82" i="13" s="1"/>
  <c r="A83" i="13" s="1"/>
  <c r="A84" i="13" s="1"/>
  <c r="A85" i="13" s="1"/>
  <c r="A86" i="13" s="1"/>
  <c r="A87" i="13" s="1"/>
  <c r="A88" i="13" s="1"/>
  <c r="A89" i="13" s="1"/>
  <c r="A90" i="13" s="1"/>
  <c r="A91" i="13" s="1"/>
  <c r="A92" i="13" s="1"/>
  <c r="A93" i="13" s="1"/>
  <c r="A94" i="13" s="1"/>
  <c r="A95" i="13" s="1"/>
  <c r="A96" i="13" s="1"/>
  <c r="A97" i="13" s="1"/>
  <c r="A98" i="13" s="1"/>
  <c r="A99" i="13" s="1"/>
  <c r="A100" i="13" s="1"/>
  <c r="A101" i="13" s="1"/>
  <c r="A102" i="13" s="1"/>
  <c r="A103" i="13" s="1"/>
  <c r="A104" i="13" s="1"/>
  <c r="A105" i="13" s="1"/>
  <c r="A106" i="13" s="1"/>
  <c r="A107" i="13" s="1"/>
  <c r="A108" i="13" s="1"/>
  <c r="A109" i="13" s="1"/>
  <c r="A110" i="13" s="1"/>
  <c r="A111" i="13" s="1"/>
  <c r="A112" i="13" s="1"/>
  <c r="A113" i="13" s="1"/>
  <c r="A114" i="13" s="1"/>
  <c r="A115" i="13" s="1"/>
  <c r="A116" i="13" s="1"/>
  <c r="A117" i="13" s="1"/>
  <c r="A118" i="13" s="1"/>
  <c r="A119" i="13" s="1"/>
  <c r="A120" i="13" s="1"/>
  <c r="A121" i="13" s="1"/>
  <c r="A122" i="13" s="1"/>
  <c r="A123" i="13" s="1"/>
  <c r="A124" i="13" s="1"/>
  <c r="A125" i="13" s="1"/>
  <c r="A126" i="13" s="1"/>
  <c r="A127" i="13" s="1"/>
  <c r="A128" i="13" s="1"/>
  <c r="A129" i="13" s="1"/>
  <c r="A130" i="13" s="1"/>
  <c r="A131" i="13" s="1"/>
  <c r="A132" i="13" s="1"/>
  <c r="A133" i="13" s="1"/>
  <c r="A134" i="13" s="1"/>
  <c r="A135" i="13" s="1"/>
  <c r="A136" i="13" s="1"/>
  <c r="A137" i="13" s="1"/>
  <c r="A138" i="13" s="1"/>
  <c r="A139" i="13" s="1"/>
  <c r="A140" i="13" s="1"/>
  <c r="A141" i="13" s="1"/>
  <c r="A142" i="13" s="1"/>
  <c r="A143" i="13" s="1"/>
  <c r="A144" i="13" s="1"/>
  <c r="A145" i="13" s="1"/>
  <c r="A146" i="13" s="1"/>
  <c r="A147" i="13" s="1"/>
  <c r="A148" i="13" s="1"/>
  <c r="A149" i="13" s="1"/>
  <c r="A150" i="13" s="1"/>
  <c r="A151" i="13" s="1"/>
  <c r="A152" i="13" s="1"/>
  <c r="A153" i="13" s="1"/>
  <c r="A154" i="13" s="1"/>
  <c r="A155" i="13" s="1"/>
  <c r="A156" i="13" s="1"/>
  <c r="A157" i="13" s="1"/>
  <c r="A158" i="13" s="1"/>
  <c r="A159" i="13" s="1"/>
  <c r="A160" i="13" s="1"/>
  <c r="A161" i="13" s="1"/>
  <c r="A162" i="13" s="1"/>
  <c r="A163" i="13" s="1"/>
  <c r="A164" i="13" s="1"/>
  <c r="A165" i="13" s="1"/>
  <c r="A166" i="13" s="1"/>
  <c r="A167" i="13" s="1"/>
  <c r="A168" i="13" s="1"/>
  <c r="A169" i="13" s="1"/>
  <c r="A170" i="13" s="1"/>
  <c r="A171" i="13" s="1"/>
  <c r="A172" i="13" s="1"/>
  <c r="A173" i="13" s="1"/>
  <c r="A174" i="13" s="1"/>
  <c r="A175" i="13" s="1"/>
  <c r="A176" i="13" s="1"/>
  <c r="A177" i="13" s="1"/>
  <c r="A178" i="13" s="1"/>
  <c r="A179" i="13" s="1"/>
  <c r="A180" i="13" s="1"/>
  <c r="A181" i="13" s="1"/>
  <c r="A182" i="13" s="1"/>
  <c r="A183" i="13" s="1"/>
  <c r="A184" i="13" s="1"/>
  <c r="A185" i="13" s="1"/>
  <c r="A186" i="13" s="1"/>
  <c r="A187" i="13" s="1"/>
  <c r="A188" i="13" s="1"/>
  <c r="A189" i="13" s="1"/>
  <c r="A190" i="13" s="1"/>
  <c r="A191" i="13" s="1"/>
  <c r="A192" i="13" s="1"/>
  <c r="A193" i="13" s="1"/>
  <c r="A194" i="13" s="1"/>
  <c r="A195" i="13" s="1"/>
  <c r="A196" i="13" s="1"/>
  <c r="A197" i="13" s="1"/>
  <c r="A198" i="13" s="1"/>
  <c r="A199" i="13" s="1"/>
  <c r="A200" i="13" s="1"/>
  <c r="C11" i="12"/>
  <c r="D11" i="12"/>
  <c r="E11" i="12"/>
  <c r="F11" i="12"/>
  <c r="G11" i="12"/>
  <c r="C12" i="12"/>
  <c r="D12" i="12"/>
  <c r="E12" i="12"/>
  <c r="F12" i="12"/>
  <c r="G12" i="12"/>
  <c r="C13" i="12"/>
  <c r="D13" i="12"/>
  <c r="E13" i="12"/>
  <c r="F13" i="12"/>
  <c r="G13" i="12"/>
  <c r="C14" i="12"/>
  <c r="D14" i="12"/>
  <c r="E14" i="12"/>
  <c r="F14" i="12"/>
  <c r="G14" i="12"/>
  <c r="C15" i="12"/>
  <c r="D15" i="12"/>
  <c r="E15" i="12"/>
  <c r="F15" i="12"/>
  <c r="G15" i="12"/>
  <c r="C16" i="12"/>
  <c r="D16" i="12"/>
  <c r="E16" i="12"/>
  <c r="F16" i="12"/>
  <c r="G16" i="12"/>
  <c r="C17" i="12"/>
  <c r="D17" i="12"/>
  <c r="E17" i="12"/>
  <c r="F17" i="12"/>
  <c r="G17" i="12"/>
  <c r="C18" i="12"/>
  <c r="D18" i="12"/>
  <c r="E18" i="12"/>
  <c r="F18" i="12"/>
  <c r="G18" i="12"/>
  <c r="C19" i="12"/>
  <c r="D19" i="12"/>
  <c r="E19" i="12"/>
  <c r="F19" i="12"/>
  <c r="G19" i="12"/>
  <c r="C20" i="12"/>
  <c r="D20" i="12"/>
  <c r="E20" i="12"/>
  <c r="F20" i="12"/>
  <c r="G20" i="12"/>
  <c r="C21" i="12"/>
  <c r="D21" i="12"/>
  <c r="E21" i="12"/>
  <c r="F21" i="12"/>
  <c r="G21" i="12"/>
  <c r="C22" i="12"/>
  <c r="D22" i="12"/>
  <c r="E22" i="12"/>
  <c r="F22" i="12"/>
  <c r="G22" i="12"/>
  <c r="C23" i="12"/>
  <c r="D23" i="12"/>
  <c r="E23" i="12"/>
  <c r="F23" i="12"/>
  <c r="G23" i="12"/>
  <c r="C24" i="12"/>
  <c r="D24" i="12"/>
  <c r="E24" i="12"/>
  <c r="F24" i="12"/>
  <c r="G24" i="12"/>
  <c r="C25" i="12"/>
  <c r="D25" i="12"/>
  <c r="E25" i="12"/>
  <c r="F25" i="12"/>
  <c r="G25" i="12"/>
  <c r="C26" i="12"/>
  <c r="D26" i="12"/>
  <c r="E26" i="12"/>
  <c r="F26" i="12"/>
  <c r="G26" i="12"/>
  <c r="C27" i="12"/>
  <c r="D27" i="12"/>
  <c r="E27" i="12"/>
  <c r="F27" i="12"/>
  <c r="G27" i="12"/>
  <c r="C28" i="12"/>
  <c r="D28" i="12"/>
  <c r="E28" i="12"/>
  <c r="F28" i="12"/>
  <c r="G28" i="12"/>
  <c r="C29" i="12"/>
  <c r="D29" i="12"/>
  <c r="E29" i="12"/>
  <c r="F29" i="12"/>
  <c r="G29" i="12"/>
  <c r="C30" i="12"/>
  <c r="D30" i="12"/>
  <c r="E30" i="12"/>
  <c r="F30" i="12"/>
  <c r="G30" i="12"/>
  <c r="C31" i="12"/>
  <c r="D31" i="12"/>
  <c r="E31" i="12"/>
  <c r="F31" i="12"/>
  <c r="G31" i="12"/>
  <c r="C32" i="12"/>
  <c r="D32" i="12"/>
  <c r="E32" i="12"/>
  <c r="F32" i="12"/>
  <c r="G32" i="12"/>
  <c r="C33" i="12"/>
  <c r="D33" i="12"/>
  <c r="E33" i="12"/>
  <c r="F33" i="12"/>
  <c r="G33" i="12"/>
  <c r="C34" i="12"/>
  <c r="D34" i="12"/>
  <c r="E34" i="12"/>
  <c r="F34" i="12"/>
  <c r="G34" i="12"/>
  <c r="C35" i="12"/>
  <c r="D35" i="12"/>
  <c r="E35" i="12"/>
  <c r="F35" i="12"/>
  <c r="G35" i="12"/>
  <c r="C36" i="12"/>
  <c r="D36" i="12"/>
  <c r="E36" i="12"/>
  <c r="F36" i="12"/>
  <c r="G36" i="12"/>
  <c r="C37" i="12"/>
  <c r="D37" i="12"/>
  <c r="E37" i="12"/>
  <c r="F37" i="12"/>
  <c r="G37" i="12"/>
  <c r="C38" i="12"/>
  <c r="D38" i="12"/>
  <c r="E38" i="12"/>
  <c r="F38" i="12"/>
  <c r="G38" i="12"/>
  <c r="C39" i="12"/>
  <c r="D39" i="12"/>
  <c r="E39" i="12"/>
  <c r="F39" i="12"/>
  <c r="G39" i="12"/>
  <c r="C40" i="12"/>
  <c r="D40" i="12"/>
  <c r="E40" i="12"/>
  <c r="F40" i="12"/>
  <c r="G40" i="12"/>
  <c r="C41" i="12"/>
  <c r="D41" i="12"/>
  <c r="E41" i="12"/>
  <c r="F41" i="12"/>
  <c r="G41" i="12"/>
  <c r="C42" i="12"/>
  <c r="D42" i="12"/>
  <c r="E42" i="12"/>
  <c r="F42" i="12"/>
  <c r="G42" i="12"/>
  <c r="C43" i="12"/>
  <c r="D43" i="12"/>
  <c r="E43" i="12"/>
  <c r="F43" i="12"/>
  <c r="G43" i="12"/>
  <c r="C44" i="12"/>
  <c r="D44" i="12"/>
  <c r="E44" i="12"/>
  <c r="F44" i="12"/>
  <c r="G44" i="12"/>
  <c r="C45" i="12"/>
  <c r="D45" i="12"/>
  <c r="E45" i="12"/>
  <c r="F45" i="12"/>
  <c r="G45" i="12"/>
  <c r="C46" i="12"/>
  <c r="D46" i="12"/>
  <c r="E46" i="12"/>
  <c r="F46" i="12"/>
  <c r="G46" i="12"/>
  <c r="C47" i="12"/>
  <c r="D47" i="12"/>
  <c r="E47" i="12"/>
  <c r="F47" i="12"/>
  <c r="G47" i="12"/>
  <c r="C48" i="12"/>
  <c r="D48" i="12"/>
  <c r="E48" i="12"/>
  <c r="F48" i="12"/>
  <c r="G48" i="12"/>
  <c r="C49" i="12"/>
  <c r="D49" i="12"/>
  <c r="E49" i="12"/>
  <c r="F49" i="12"/>
  <c r="G49" i="12"/>
  <c r="C50" i="12"/>
  <c r="D50" i="12"/>
  <c r="E50" i="12"/>
  <c r="F50" i="12"/>
  <c r="G50" i="12"/>
  <c r="C51" i="12"/>
  <c r="D51" i="12"/>
  <c r="E51" i="12"/>
  <c r="F51" i="12"/>
  <c r="G51" i="12"/>
  <c r="C52" i="12"/>
  <c r="D52" i="12"/>
  <c r="E52" i="12"/>
  <c r="F52" i="12"/>
  <c r="G52" i="12"/>
  <c r="C53" i="12"/>
  <c r="D53" i="12"/>
  <c r="E53" i="12"/>
  <c r="F53" i="12"/>
  <c r="G53" i="12"/>
  <c r="C54" i="12"/>
  <c r="D54" i="12"/>
  <c r="E54" i="12"/>
  <c r="F54" i="12"/>
  <c r="G54" i="12"/>
  <c r="C55" i="12"/>
  <c r="D55" i="12"/>
  <c r="E55" i="12"/>
  <c r="F55" i="12"/>
  <c r="G55" i="12"/>
  <c r="C56" i="12"/>
  <c r="D56" i="12"/>
  <c r="E56" i="12"/>
  <c r="F56" i="12"/>
  <c r="G56" i="12"/>
  <c r="C57" i="12"/>
  <c r="D57" i="12"/>
  <c r="E57" i="12"/>
  <c r="F57" i="12"/>
  <c r="G57" i="12"/>
  <c r="C58" i="12"/>
  <c r="D58" i="12"/>
  <c r="E58" i="12"/>
  <c r="F58" i="12"/>
  <c r="G58" i="12"/>
  <c r="C59" i="12"/>
  <c r="D59" i="12"/>
  <c r="E59" i="12"/>
  <c r="F59" i="12"/>
  <c r="G59" i="12"/>
  <c r="C60" i="12"/>
  <c r="D60" i="12"/>
  <c r="E60" i="12"/>
  <c r="F60" i="12"/>
  <c r="G60" i="12"/>
  <c r="C61" i="12"/>
  <c r="D61" i="12"/>
  <c r="E61" i="12"/>
  <c r="F61" i="12"/>
  <c r="G61" i="12"/>
  <c r="C62" i="12"/>
  <c r="D62" i="12"/>
  <c r="E62" i="12"/>
  <c r="F62" i="12"/>
  <c r="G62" i="12"/>
  <c r="C63" i="12"/>
  <c r="D63" i="12"/>
  <c r="E63" i="12"/>
  <c r="F63" i="12"/>
  <c r="G63" i="12"/>
  <c r="C64" i="12"/>
  <c r="D64" i="12"/>
  <c r="E64" i="12"/>
  <c r="F64" i="12"/>
  <c r="G64" i="12"/>
  <c r="C65" i="12"/>
  <c r="D65" i="12"/>
  <c r="E65" i="12"/>
  <c r="F65" i="12"/>
  <c r="G65" i="12"/>
  <c r="C66" i="12"/>
  <c r="D66" i="12"/>
  <c r="E66" i="12"/>
  <c r="F66" i="12"/>
  <c r="G66" i="12"/>
  <c r="C67" i="12"/>
  <c r="D67" i="12"/>
  <c r="E67" i="12"/>
  <c r="F67" i="12"/>
  <c r="G67" i="12"/>
  <c r="C68" i="12"/>
  <c r="D68" i="12"/>
  <c r="E68" i="12"/>
  <c r="F68" i="12"/>
  <c r="G68" i="12"/>
  <c r="C69" i="12"/>
  <c r="D69" i="12"/>
  <c r="E69" i="12"/>
  <c r="F69" i="12"/>
  <c r="G69" i="12"/>
  <c r="C70" i="12"/>
  <c r="D70" i="12"/>
  <c r="E70" i="12"/>
  <c r="F70" i="12"/>
  <c r="G70" i="12"/>
  <c r="C71" i="12"/>
  <c r="D71" i="12"/>
  <c r="E71" i="12"/>
  <c r="F71" i="12"/>
  <c r="G71" i="12"/>
  <c r="C72" i="12"/>
  <c r="D72" i="12"/>
  <c r="E72" i="12"/>
  <c r="F72" i="12"/>
  <c r="G72" i="12"/>
  <c r="C73" i="12"/>
  <c r="D73" i="12"/>
  <c r="E73" i="12"/>
  <c r="F73" i="12"/>
  <c r="G73" i="12"/>
  <c r="C74" i="12"/>
  <c r="D74" i="12"/>
  <c r="E74" i="12"/>
  <c r="F74" i="12"/>
  <c r="G74" i="12"/>
  <c r="C75" i="12"/>
  <c r="D75" i="12"/>
  <c r="E75" i="12"/>
  <c r="F75" i="12"/>
  <c r="G75" i="12"/>
  <c r="C76" i="12"/>
  <c r="D76" i="12"/>
  <c r="E76" i="12"/>
  <c r="F76" i="12"/>
  <c r="G76" i="12"/>
  <c r="C77" i="12"/>
  <c r="D77" i="12"/>
  <c r="E77" i="12"/>
  <c r="F77" i="12"/>
  <c r="G77" i="12"/>
  <c r="C78" i="12"/>
  <c r="D78" i="12"/>
  <c r="E78" i="12"/>
  <c r="F78" i="12"/>
  <c r="G78" i="12"/>
  <c r="C79" i="12"/>
  <c r="D79" i="12"/>
  <c r="E79" i="12"/>
  <c r="F79" i="12"/>
  <c r="G79" i="12"/>
  <c r="C80" i="12"/>
  <c r="D80" i="12"/>
  <c r="E80" i="12"/>
  <c r="F80" i="12"/>
  <c r="G80" i="12"/>
  <c r="C81" i="12"/>
  <c r="D81" i="12"/>
  <c r="E81" i="12"/>
  <c r="F81" i="12"/>
  <c r="G81" i="12"/>
  <c r="C82" i="12"/>
  <c r="D82" i="12"/>
  <c r="E82" i="12"/>
  <c r="F82" i="12"/>
  <c r="G82" i="12"/>
  <c r="C83" i="12"/>
  <c r="D83" i="12"/>
  <c r="E83" i="12"/>
  <c r="F83" i="12"/>
  <c r="G83" i="12"/>
  <c r="C84" i="12"/>
  <c r="D84" i="12"/>
  <c r="E84" i="12"/>
  <c r="F84" i="12"/>
  <c r="G84" i="12"/>
  <c r="C85" i="12"/>
  <c r="D85" i="12"/>
  <c r="E85" i="12"/>
  <c r="F85" i="12"/>
  <c r="G85" i="12"/>
  <c r="C86" i="12"/>
  <c r="D86" i="12"/>
  <c r="E86" i="12"/>
  <c r="F86" i="12"/>
  <c r="G86" i="12"/>
  <c r="C87" i="12"/>
  <c r="D87" i="12"/>
  <c r="E87" i="12"/>
  <c r="F87" i="12"/>
  <c r="G87" i="12"/>
  <c r="C88" i="12"/>
  <c r="D88" i="12"/>
  <c r="E88" i="12"/>
  <c r="F88" i="12"/>
  <c r="G88" i="12"/>
  <c r="C89" i="12"/>
  <c r="D89" i="12"/>
  <c r="E89" i="12"/>
  <c r="F89" i="12"/>
  <c r="G89" i="12"/>
  <c r="C90" i="12"/>
  <c r="D90" i="12"/>
  <c r="E90" i="12"/>
  <c r="F90" i="12"/>
  <c r="G90" i="12"/>
  <c r="C91" i="12"/>
  <c r="D91" i="12"/>
  <c r="E91" i="12"/>
  <c r="F91" i="12"/>
  <c r="G91" i="12"/>
  <c r="C92" i="12"/>
  <c r="D92" i="12"/>
  <c r="E92" i="12"/>
  <c r="F92" i="12"/>
  <c r="G92" i="12"/>
  <c r="C93" i="12"/>
  <c r="D93" i="12"/>
  <c r="E93" i="12"/>
  <c r="F93" i="12"/>
  <c r="G93" i="12"/>
  <c r="C94" i="12"/>
  <c r="D94" i="12"/>
  <c r="E94" i="12"/>
  <c r="F94" i="12"/>
  <c r="G94" i="12"/>
  <c r="C95" i="12"/>
  <c r="D95" i="12"/>
  <c r="E95" i="12"/>
  <c r="F95" i="12"/>
  <c r="G95" i="12"/>
  <c r="C96" i="12"/>
  <c r="D96" i="12"/>
  <c r="E96" i="12"/>
  <c r="F96" i="12"/>
  <c r="G96" i="12"/>
  <c r="C97" i="12"/>
  <c r="D97" i="12"/>
  <c r="E97" i="12"/>
  <c r="F97" i="12"/>
  <c r="G97" i="12"/>
  <c r="C98" i="12"/>
  <c r="D98" i="12"/>
  <c r="E98" i="12"/>
  <c r="F98" i="12"/>
  <c r="G98" i="12"/>
  <c r="C99" i="12"/>
  <c r="D99" i="12"/>
  <c r="E99" i="12"/>
  <c r="F99" i="12"/>
  <c r="G99" i="12"/>
  <c r="C100" i="12"/>
  <c r="D100" i="12"/>
  <c r="E100" i="12"/>
  <c r="F100" i="12"/>
  <c r="G100" i="12"/>
  <c r="C101" i="12"/>
  <c r="D101" i="12"/>
  <c r="E101" i="12"/>
  <c r="F101" i="12"/>
  <c r="G101" i="12"/>
  <c r="C102" i="12"/>
  <c r="D102" i="12"/>
  <c r="E102" i="12"/>
  <c r="F102" i="12"/>
  <c r="G102" i="12"/>
  <c r="C103" i="12"/>
  <c r="D103" i="12"/>
  <c r="E103" i="12"/>
  <c r="F103" i="12"/>
  <c r="G103" i="12"/>
  <c r="C104" i="12"/>
  <c r="D104" i="12"/>
  <c r="E104" i="12"/>
  <c r="F104" i="12"/>
  <c r="G104" i="12"/>
  <c r="C105" i="12"/>
  <c r="D105" i="12"/>
  <c r="E105" i="12"/>
  <c r="F105" i="12"/>
  <c r="G105" i="12"/>
  <c r="C106" i="12"/>
  <c r="D106" i="12"/>
  <c r="E106" i="12"/>
  <c r="F106" i="12"/>
  <c r="G106" i="12"/>
  <c r="C107" i="12"/>
  <c r="D107" i="12"/>
  <c r="E107" i="12"/>
  <c r="F107" i="12"/>
  <c r="G107" i="12"/>
  <c r="C108" i="12"/>
  <c r="D108" i="12"/>
  <c r="E108" i="12"/>
  <c r="F108" i="12"/>
  <c r="G108" i="12"/>
  <c r="C109" i="12"/>
  <c r="D109" i="12"/>
  <c r="E109" i="12"/>
  <c r="F109" i="12"/>
  <c r="G109" i="12"/>
  <c r="C110" i="12"/>
  <c r="D110" i="12"/>
  <c r="E110" i="12"/>
  <c r="F110" i="12"/>
  <c r="G110" i="12"/>
  <c r="C111" i="12"/>
  <c r="D111" i="12"/>
  <c r="E111" i="12"/>
  <c r="F111" i="12"/>
  <c r="G111" i="12"/>
  <c r="C112" i="12"/>
  <c r="D112" i="12"/>
  <c r="E112" i="12"/>
  <c r="F112" i="12"/>
  <c r="G112" i="12"/>
  <c r="C113" i="12"/>
  <c r="D113" i="12"/>
  <c r="E113" i="12"/>
  <c r="F113" i="12"/>
  <c r="G113" i="12"/>
  <c r="C114" i="12"/>
  <c r="D114" i="12"/>
  <c r="E114" i="12"/>
  <c r="F114" i="12"/>
  <c r="G114" i="12"/>
  <c r="C115" i="12"/>
  <c r="D115" i="12"/>
  <c r="E115" i="12"/>
  <c r="F115" i="12"/>
  <c r="G115" i="12"/>
  <c r="C116" i="12"/>
  <c r="D116" i="12"/>
  <c r="E116" i="12"/>
  <c r="F116" i="12"/>
  <c r="G116" i="12"/>
  <c r="C117" i="12"/>
  <c r="D117" i="12"/>
  <c r="E117" i="12"/>
  <c r="F117" i="12"/>
  <c r="G117" i="12"/>
  <c r="C118" i="12"/>
  <c r="D118" i="12"/>
  <c r="E118" i="12"/>
  <c r="F118" i="12"/>
  <c r="G118" i="12"/>
  <c r="C119" i="12"/>
  <c r="D119" i="12"/>
  <c r="E119" i="12"/>
  <c r="F119" i="12"/>
  <c r="G119" i="12"/>
  <c r="C120" i="12"/>
  <c r="D120" i="12"/>
  <c r="E120" i="12"/>
  <c r="F120" i="12"/>
  <c r="G120" i="12"/>
  <c r="C121" i="12"/>
  <c r="D121" i="12"/>
  <c r="E121" i="12"/>
  <c r="F121" i="12"/>
  <c r="G121" i="12"/>
  <c r="C122" i="12"/>
  <c r="D122" i="12"/>
  <c r="E122" i="12"/>
  <c r="F122" i="12"/>
  <c r="G122" i="12"/>
  <c r="C123" i="12"/>
  <c r="D123" i="12"/>
  <c r="E123" i="12"/>
  <c r="F123" i="12"/>
  <c r="G123" i="12"/>
  <c r="C124" i="12"/>
  <c r="D124" i="12"/>
  <c r="E124" i="12"/>
  <c r="F124" i="12"/>
  <c r="G124" i="12"/>
  <c r="C125" i="12"/>
  <c r="D125" i="12"/>
  <c r="E125" i="12"/>
  <c r="F125" i="12"/>
  <c r="G125" i="12"/>
  <c r="C126" i="12"/>
  <c r="D126" i="12"/>
  <c r="E126" i="12"/>
  <c r="F126" i="12"/>
  <c r="G126" i="12"/>
  <c r="C127" i="12"/>
  <c r="D127" i="12"/>
  <c r="E127" i="12"/>
  <c r="F127" i="12"/>
  <c r="G127" i="12"/>
  <c r="C128" i="12"/>
  <c r="D128" i="12"/>
  <c r="E128" i="12"/>
  <c r="F128" i="12"/>
  <c r="G128" i="12"/>
  <c r="C129" i="12"/>
  <c r="D129" i="12"/>
  <c r="E129" i="12"/>
  <c r="F129" i="12"/>
  <c r="G129" i="12"/>
  <c r="C130" i="12"/>
  <c r="D130" i="12"/>
  <c r="E130" i="12"/>
  <c r="F130" i="12"/>
  <c r="G130" i="12"/>
  <c r="C131" i="12"/>
  <c r="D131" i="12"/>
  <c r="E131" i="12"/>
  <c r="F131" i="12"/>
  <c r="G131" i="12"/>
  <c r="C132" i="12"/>
  <c r="D132" i="12"/>
  <c r="E132" i="12"/>
  <c r="F132" i="12"/>
  <c r="G132" i="12"/>
  <c r="C133" i="12"/>
  <c r="D133" i="12"/>
  <c r="E133" i="12"/>
  <c r="F133" i="12"/>
  <c r="G133" i="12"/>
  <c r="C134" i="12"/>
  <c r="D134" i="12"/>
  <c r="E134" i="12"/>
  <c r="F134" i="12"/>
  <c r="G134" i="12"/>
  <c r="C135" i="12"/>
  <c r="D135" i="12"/>
  <c r="E135" i="12"/>
  <c r="F135" i="12"/>
  <c r="G135" i="12"/>
  <c r="C136" i="12"/>
  <c r="D136" i="12"/>
  <c r="E136" i="12"/>
  <c r="F136" i="12"/>
  <c r="G136" i="12"/>
  <c r="C137" i="12"/>
  <c r="D137" i="12"/>
  <c r="E137" i="12"/>
  <c r="F137" i="12"/>
  <c r="G137" i="12"/>
  <c r="C138" i="12"/>
  <c r="D138" i="12"/>
  <c r="E138" i="12"/>
  <c r="F138" i="12"/>
  <c r="G138" i="12"/>
  <c r="C139" i="12"/>
  <c r="D139" i="12"/>
  <c r="E139" i="12"/>
  <c r="F139" i="12"/>
  <c r="G139" i="12"/>
  <c r="C140" i="12"/>
  <c r="D140" i="12"/>
  <c r="E140" i="12"/>
  <c r="F140" i="12"/>
  <c r="G140" i="12"/>
  <c r="C141" i="12"/>
  <c r="D141" i="12"/>
  <c r="E141" i="12"/>
  <c r="F141" i="12"/>
  <c r="G141" i="12"/>
  <c r="C142" i="12"/>
  <c r="D142" i="12"/>
  <c r="E142" i="12"/>
  <c r="F142" i="12"/>
  <c r="G142" i="12"/>
  <c r="C143" i="12"/>
  <c r="D143" i="12"/>
  <c r="E143" i="12"/>
  <c r="F143" i="12"/>
  <c r="G143" i="12"/>
  <c r="C144" i="12"/>
  <c r="D144" i="12"/>
  <c r="E144" i="12"/>
  <c r="F144" i="12"/>
  <c r="G144" i="12"/>
  <c r="C145" i="12"/>
  <c r="D145" i="12"/>
  <c r="E145" i="12"/>
  <c r="F145" i="12"/>
  <c r="G145" i="12"/>
  <c r="C146" i="12"/>
  <c r="D146" i="12"/>
  <c r="E146" i="12"/>
  <c r="F146" i="12"/>
  <c r="G146" i="12"/>
  <c r="C147" i="12"/>
  <c r="D147" i="12"/>
  <c r="E147" i="12"/>
  <c r="F147" i="12"/>
  <c r="G147" i="12"/>
  <c r="C148" i="12"/>
  <c r="D148" i="12"/>
  <c r="E148" i="12"/>
  <c r="F148" i="12"/>
  <c r="G148" i="12"/>
  <c r="C149" i="12"/>
  <c r="D149" i="12"/>
  <c r="E149" i="12"/>
  <c r="F149" i="12"/>
  <c r="G149" i="12"/>
  <c r="C150" i="12"/>
  <c r="D150" i="12"/>
  <c r="E150" i="12"/>
  <c r="F150" i="12"/>
  <c r="G150" i="12"/>
  <c r="C151" i="12"/>
  <c r="D151" i="12"/>
  <c r="E151" i="12"/>
  <c r="F151" i="12"/>
  <c r="G151" i="12"/>
  <c r="C152" i="12"/>
  <c r="D152" i="12"/>
  <c r="E152" i="12"/>
  <c r="F152" i="12"/>
  <c r="G152" i="12"/>
  <c r="C153" i="12"/>
  <c r="D153" i="12"/>
  <c r="E153" i="12"/>
  <c r="F153" i="12"/>
  <c r="G153" i="12"/>
  <c r="C154" i="12"/>
  <c r="D154" i="12"/>
  <c r="E154" i="12"/>
  <c r="F154" i="12"/>
  <c r="G154" i="12"/>
  <c r="C155" i="12"/>
  <c r="D155" i="12"/>
  <c r="E155" i="12"/>
  <c r="F155" i="12"/>
  <c r="G155" i="12"/>
  <c r="C156" i="12"/>
  <c r="D156" i="12"/>
  <c r="E156" i="12"/>
  <c r="F156" i="12"/>
  <c r="G156" i="12"/>
  <c r="C157" i="12"/>
  <c r="D157" i="12"/>
  <c r="E157" i="12"/>
  <c r="F157" i="12"/>
  <c r="G157" i="12"/>
  <c r="C158" i="12"/>
  <c r="D158" i="12"/>
  <c r="E158" i="12"/>
  <c r="F158" i="12"/>
  <c r="G158" i="12"/>
  <c r="C159" i="12"/>
  <c r="D159" i="12"/>
  <c r="E159" i="12"/>
  <c r="F159" i="12"/>
  <c r="G159" i="12"/>
  <c r="C160" i="12"/>
  <c r="D160" i="12"/>
  <c r="E160" i="12"/>
  <c r="F160" i="12"/>
  <c r="G160" i="12"/>
  <c r="C161" i="12"/>
  <c r="D161" i="12"/>
  <c r="E161" i="12"/>
  <c r="F161" i="12"/>
  <c r="G161" i="12"/>
  <c r="C162" i="12"/>
  <c r="D162" i="12"/>
  <c r="E162" i="12"/>
  <c r="F162" i="12"/>
  <c r="G162" i="12"/>
  <c r="C163" i="12"/>
  <c r="D163" i="12"/>
  <c r="E163" i="12"/>
  <c r="F163" i="12"/>
  <c r="G163" i="12"/>
  <c r="C164" i="12"/>
  <c r="D164" i="12"/>
  <c r="E164" i="12"/>
  <c r="F164" i="12"/>
  <c r="G164" i="12"/>
  <c r="C165" i="12"/>
  <c r="D165" i="12"/>
  <c r="E165" i="12"/>
  <c r="F165" i="12"/>
  <c r="G165" i="12"/>
  <c r="C166" i="12"/>
  <c r="D166" i="12"/>
  <c r="E166" i="12"/>
  <c r="F166" i="12"/>
  <c r="G166" i="12"/>
  <c r="C167" i="12"/>
  <c r="D167" i="12"/>
  <c r="E167" i="12"/>
  <c r="F167" i="12"/>
  <c r="G167" i="12"/>
  <c r="C168" i="12"/>
  <c r="D168" i="12"/>
  <c r="E168" i="12"/>
  <c r="F168" i="12"/>
  <c r="G168" i="12"/>
  <c r="C169" i="12"/>
  <c r="D169" i="12"/>
  <c r="E169" i="12"/>
  <c r="F169" i="12"/>
  <c r="G169" i="12"/>
  <c r="C170" i="12"/>
  <c r="D170" i="12"/>
  <c r="E170" i="12"/>
  <c r="F170" i="12"/>
  <c r="G170" i="12"/>
  <c r="C171" i="12"/>
  <c r="D171" i="12"/>
  <c r="E171" i="12"/>
  <c r="F171" i="12"/>
  <c r="G171" i="12"/>
  <c r="C172" i="12"/>
  <c r="D172" i="12"/>
  <c r="E172" i="12"/>
  <c r="F172" i="12"/>
  <c r="G172" i="12"/>
  <c r="C173" i="12"/>
  <c r="D173" i="12"/>
  <c r="E173" i="12"/>
  <c r="F173" i="12"/>
  <c r="G173" i="12"/>
  <c r="C174" i="12"/>
  <c r="D174" i="12"/>
  <c r="E174" i="12"/>
  <c r="F174" i="12"/>
  <c r="G174" i="12"/>
  <c r="C175" i="12"/>
  <c r="D175" i="12"/>
  <c r="E175" i="12"/>
  <c r="F175" i="12"/>
  <c r="G175" i="12"/>
  <c r="C176" i="12"/>
  <c r="D176" i="12"/>
  <c r="E176" i="12"/>
  <c r="F176" i="12"/>
  <c r="G176" i="12"/>
  <c r="C177" i="12"/>
  <c r="D177" i="12"/>
  <c r="E177" i="12"/>
  <c r="F177" i="12"/>
  <c r="G177" i="12"/>
  <c r="C178" i="12"/>
  <c r="D178" i="12"/>
  <c r="E178" i="12"/>
  <c r="F178" i="12"/>
  <c r="G178" i="12"/>
  <c r="C179" i="12"/>
  <c r="D179" i="12"/>
  <c r="E179" i="12"/>
  <c r="F179" i="12"/>
  <c r="G179" i="12"/>
  <c r="C180" i="12"/>
  <c r="D180" i="12"/>
  <c r="E180" i="12"/>
  <c r="F180" i="12"/>
  <c r="G180" i="12"/>
  <c r="C181" i="12"/>
  <c r="D181" i="12"/>
  <c r="E181" i="12"/>
  <c r="F181" i="12"/>
  <c r="G181" i="12"/>
  <c r="C182" i="12"/>
  <c r="D182" i="12"/>
  <c r="E182" i="12"/>
  <c r="F182" i="12"/>
  <c r="G182" i="12"/>
  <c r="C183" i="12"/>
  <c r="D183" i="12"/>
  <c r="E183" i="12"/>
  <c r="F183" i="12"/>
  <c r="G183" i="12"/>
  <c r="C184" i="12"/>
  <c r="D184" i="12"/>
  <c r="E184" i="12"/>
  <c r="F184" i="12"/>
  <c r="G184" i="12"/>
  <c r="C185" i="12"/>
  <c r="D185" i="12"/>
  <c r="E185" i="12"/>
  <c r="F185" i="12"/>
  <c r="G185" i="12"/>
  <c r="C186" i="12"/>
  <c r="D186" i="12"/>
  <c r="E186" i="12"/>
  <c r="F186" i="12"/>
  <c r="G186" i="12"/>
  <c r="C187" i="12"/>
  <c r="D187" i="12"/>
  <c r="E187" i="12"/>
  <c r="F187" i="12"/>
  <c r="G187" i="12"/>
  <c r="C188" i="12"/>
  <c r="D188" i="12"/>
  <c r="E188" i="12"/>
  <c r="F188" i="12"/>
  <c r="G188" i="12"/>
  <c r="C189" i="12"/>
  <c r="D189" i="12"/>
  <c r="E189" i="12"/>
  <c r="F189" i="12"/>
  <c r="G189" i="12"/>
  <c r="C190" i="12"/>
  <c r="D190" i="12"/>
  <c r="E190" i="12"/>
  <c r="F190" i="12"/>
  <c r="G190" i="12"/>
  <c r="C191" i="12"/>
  <c r="D191" i="12"/>
  <c r="E191" i="12"/>
  <c r="F191" i="12"/>
  <c r="G191" i="12"/>
  <c r="C192" i="12"/>
  <c r="D192" i="12"/>
  <c r="E192" i="12"/>
  <c r="F192" i="12"/>
  <c r="G192" i="12"/>
  <c r="C193" i="12"/>
  <c r="D193" i="12"/>
  <c r="E193" i="12"/>
  <c r="F193" i="12"/>
  <c r="G193" i="12"/>
  <c r="C194" i="12"/>
  <c r="D194" i="12"/>
  <c r="E194" i="12"/>
  <c r="F194" i="12"/>
  <c r="G194" i="12"/>
  <c r="C195" i="12"/>
  <c r="D195" i="12"/>
  <c r="E195" i="12"/>
  <c r="F195" i="12"/>
  <c r="G195" i="12"/>
  <c r="C196" i="12"/>
  <c r="D196" i="12"/>
  <c r="E196" i="12"/>
  <c r="F196" i="12"/>
  <c r="G196" i="12"/>
  <c r="C197" i="12"/>
  <c r="D197" i="12"/>
  <c r="E197" i="12"/>
  <c r="F197" i="12"/>
  <c r="G197" i="12"/>
  <c r="C198" i="12"/>
  <c r="D198" i="12"/>
  <c r="E198" i="12"/>
  <c r="F198" i="12"/>
  <c r="G198" i="12"/>
  <c r="C199" i="12"/>
  <c r="D199" i="12"/>
  <c r="E199" i="12"/>
  <c r="F199" i="12"/>
  <c r="G199" i="12"/>
  <c r="C200" i="12"/>
  <c r="D200" i="12"/>
  <c r="E200" i="12"/>
  <c r="F200" i="12"/>
  <c r="G200" i="12"/>
  <c r="D10" i="12"/>
  <c r="E10" i="12"/>
  <c r="F10" i="12"/>
  <c r="G10" i="12"/>
  <c r="C10" i="12"/>
  <c r="C7" i="12"/>
  <c r="D7" i="12"/>
  <c r="E7" i="12"/>
  <c r="F7" i="12"/>
  <c r="G7" i="12"/>
  <c r="C8" i="12"/>
  <c r="D8" i="12"/>
  <c r="E8" i="12"/>
  <c r="F8" i="12"/>
  <c r="G8" i="12"/>
  <c r="C9" i="12"/>
  <c r="D9" i="12"/>
  <c r="E9" i="12"/>
  <c r="F9" i="12"/>
  <c r="G9" i="12"/>
  <c r="B20" i="12"/>
  <c r="B21" i="12" s="1"/>
  <c r="B22" i="12" s="1"/>
  <c r="B23" i="12" s="1"/>
  <c r="B24" i="12" s="1"/>
  <c r="B25" i="12" s="1"/>
  <c r="B26" i="12" s="1"/>
  <c r="B27" i="12" s="1"/>
  <c r="B28" i="12" s="1"/>
  <c r="B29" i="12" s="1"/>
  <c r="B30" i="12" s="1"/>
  <c r="B31" i="12" s="1"/>
  <c r="B32" i="12" s="1"/>
  <c r="B33" i="12" s="1"/>
  <c r="B34" i="12" s="1"/>
  <c r="B35" i="12" s="1"/>
  <c r="B36" i="12" s="1"/>
  <c r="B37" i="12" s="1"/>
  <c r="B38" i="12" s="1"/>
  <c r="B39" i="12" s="1"/>
  <c r="B40" i="12" s="1"/>
  <c r="B41" i="12" s="1"/>
  <c r="B42" i="12" s="1"/>
  <c r="B43" i="12" s="1"/>
  <c r="B44" i="12" s="1"/>
  <c r="B45" i="12" s="1"/>
  <c r="B46" i="12" s="1"/>
  <c r="B47" i="12" s="1"/>
  <c r="B48" i="12" s="1"/>
  <c r="B49" i="12" s="1"/>
  <c r="B50" i="12" s="1"/>
  <c r="B51" i="12" s="1"/>
  <c r="B52" i="12" s="1"/>
  <c r="B53" i="12" s="1"/>
  <c r="B54" i="12" s="1"/>
  <c r="B55" i="12" s="1"/>
  <c r="B56" i="12" s="1"/>
  <c r="B57" i="12" s="1"/>
  <c r="B58" i="12" s="1"/>
  <c r="B59" i="12" s="1"/>
  <c r="B60" i="12" s="1"/>
  <c r="B61" i="12" s="1"/>
  <c r="B62" i="12" s="1"/>
  <c r="B63" i="12" s="1"/>
  <c r="B64" i="12" s="1"/>
  <c r="B65" i="12" s="1"/>
  <c r="B66" i="12" s="1"/>
  <c r="B67" i="12" s="1"/>
  <c r="B68" i="12" s="1"/>
  <c r="B69" i="12" s="1"/>
  <c r="B70" i="12" s="1"/>
  <c r="B71" i="12" s="1"/>
  <c r="B72" i="12" s="1"/>
  <c r="B73" i="12" s="1"/>
  <c r="B74" i="12" s="1"/>
  <c r="B75" i="12" s="1"/>
  <c r="B76" i="12" s="1"/>
  <c r="B77" i="12" s="1"/>
  <c r="B78" i="12" s="1"/>
  <c r="B79" i="12" s="1"/>
  <c r="B80" i="12" s="1"/>
  <c r="B81" i="12" s="1"/>
  <c r="B82" i="12" s="1"/>
  <c r="B83" i="12" s="1"/>
  <c r="B84" i="12" s="1"/>
  <c r="B85" i="12" s="1"/>
  <c r="B86" i="12" s="1"/>
  <c r="B87" i="12" s="1"/>
  <c r="B88" i="12" s="1"/>
  <c r="B89" i="12" s="1"/>
  <c r="B90" i="12" s="1"/>
  <c r="B91" i="12" s="1"/>
  <c r="B92" i="12" s="1"/>
  <c r="B93" i="12" s="1"/>
  <c r="B94" i="12" s="1"/>
  <c r="B95" i="12" s="1"/>
  <c r="B96" i="12" s="1"/>
  <c r="B97" i="12" s="1"/>
  <c r="B98" i="12" s="1"/>
  <c r="B99" i="12" s="1"/>
  <c r="B100" i="12" s="1"/>
  <c r="B101" i="12" s="1"/>
  <c r="B102" i="12" s="1"/>
  <c r="B103" i="12" s="1"/>
  <c r="B104" i="12" s="1"/>
  <c r="B105" i="12" s="1"/>
  <c r="B106" i="12" s="1"/>
  <c r="B107" i="12" s="1"/>
  <c r="B108" i="12" s="1"/>
  <c r="B109" i="12" s="1"/>
  <c r="B110" i="12" s="1"/>
  <c r="B111" i="12" s="1"/>
  <c r="B112" i="12" s="1"/>
  <c r="B113" i="12" s="1"/>
  <c r="B114" i="12" s="1"/>
  <c r="B115" i="12" s="1"/>
  <c r="B116" i="12" s="1"/>
  <c r="B117" i="12" s="1"/>
  <c r="B118" i="12" s="1"/>
  <c r="B119" i="12" s="1"/>
  <c r="B120" i="12" s="1"/>
  <c r="B121" i="12" s="1"/>
  <c r="B122" i="12" s="1"/>
  <c r="B123" i="12" s="1"/>
  <c r="B124" i="12" s="1"/>
  <c r="B125" i="12" s="1"/>
  <c r="B126" i="12" s="1"/>
  <c r="B127" i="12" s="1"/>
  <c r="B128" i="12" s="1"/>
  <c r="B129" i="12" s="1"/>
  <c r="B130" i="12" s="1"/>
  <c r="B131" i="12" s="1"/>
  <c r="B132" i="12" s="1"/>
  <c r="B133" i="12" s="1"/>
  <c r="B134" i="12" s="1"/>
  <c r="B135" i="12" s="1"/>
  <c r="B136" i="12" s="1"/>
  <c r="B137" i="12" s="1"/>
  <c r="B138" i="12" s="1"/>
  <c r="B139" i="12" s="1"/>
  <c r="B140" i="12" s="1"/>
  <c r="B141" i="12" s="1"/>
  <c r="B142" i="12" s="1"/>
  <c r="B143" i="12" s="1"/>
  <c r="B144" i="12" s="1"/>
  <c r="B145" i="12" s="1"/>
  <c r="B146" i="12" s="1"/>
  <c r="B147" i="12" s="1"/>
  <c r="B148" i="12" s="1"/>
  <c r="B149" i="12" s="1"/>
  <c r="B150" i="12" s="1"/>
  <c r="B151" i="12" s="1"/>
  <c r="B152" i="12" s="1"/>
  <c r="B153" i="12" s="1"/>
  <c r="B154" i="12" s="1"/>
  <c r="B155" i="12" s="1"/>
  <c r="B156" i="12" s="1"/>
  <c r="B157" i="12" s="1"/>
  <c r="B158" i="12" s="1"/>
  <c r="B159" i="12" s="1"/>
  <c r="B160" i="12" s="1"/>
  <c r="B161" i="12" s="1"/>
  <c r="B162" i="12" s="1"/>
  <c r="B163" i="12" s="1"/>
  <c r="B164" i="12" s="1"/>
  <c r="B165" i="12" s="1"/>
  <c r="B166" i="12" s="1"/>
  <c r="B167" i="12" s="1"/>
  <c r="B168" i="12" s="1"/>
  <c r="B169" i="12" s="1"/>
  <c r="B170" i="12" s="1"/>
  <c r="B171" i="12" s="1"/>
  <c r="B172" i="12" s="1"/>
  <c r="B173" i="12" s="1"/>
  <c r="B174" i="12" s="1"/>
  <c r="B175" i="12" s="1"/>
  <c r="B176" i="12" s="1"/>
  <c r="B177" i="12" s="1"/>
  <c r="B178" i="12" s="1"/>
  <c r="B179" i="12" s="1"/>
  <c r="B180" i="12" s="1"/>
  <c r="B181" i="12" s="1"/>
  <c r="B182" i="12" s="1"/>
  <c r="B183" i="12" s="1"/>
  <c r="B184" i="12" s="1"/>
  <c r="B185" i="12" s="1"/>
  <c r="B186" i="12" s="1"/>
  <c r="B187" i="12" s="1"/>
  <c r="B188" i="12" s="1"/>
  <c r="B189" i="12" s="1"/>
  <c r="B190" i="12" s="1"/>
  <c r="B191" i="12" s="1"/>
  <c r="B192" i="12" s="1"/>
  <c r="B193" i="12" s="1"/>
  <c r="B194" i="12" s="1"/>
  <c r="B195" i="12" s="1"/>
  <c r="B196" i="12" s="1"/>
  <c r="B197" i="12" s="1"/>
  <c r="B198" i="12" s="1"/>
  <c r="B199" i="12" s="1"/>
  <c r="B200" i="12" s="1"/>
  <c r="I13" i="12"/>
  <c r="I14" i="12" s="1"/>
  <c r="I15" i="12" s="1"/>
  <c r="I16" i="12" s="1"/>
  <c r="I17" i="12" s="1"/>
  <c r="I18" i="12" s="1"/>
  <c r="I19" i="12" s="1"/>
  <c r="I20" i="12" s="1"/>
  <c r="I21" i="12" s="1"/>
  <c r="I22" i="12" s="1"/>
  <c r="I23" i="12" s="1"/>
  <c r="I24" i="12" s="1"/>
  <c r="I25" i="12" s="1"/>
  <c r="I26" i="12" s="1"/>
  <c r="I27" i="12" s="1"/>
  <c r="I28" i="12" s="1"/>
  <c r="I29" i="12" s="1"/>
  <c r="I30" i="12" s="1"/>
  <c r="I31" i="12" s="1"/>
  <c r="I32" i="12" s="1"/>
  <c r="I33" i="12" s="1"/>
  <c r="I34" i="12" s="1"/>
  <c r="I35" i="12" s="1"/>
  <c r="I36" i="12" s="1"/>
  <c r="I37" i="12" s="1"/>
  <c r="I38" i="12" s="1"/>
  <c r="I39" i="12" s="1"/>
  <c r="I40" i="12" s="1"/>
  <c r="I41" i="12" s="1"/>
  <c r="I42" i="12" s="1"/>
  <c r="I43" i="12" s="1"/>
  <c r="I44" i="12" s="1"/>
  <c r="I45" i="12" s="1"/>
  <c r="I46" i="12" s="1"/>
  <c r="I47" i="12" s="1"/>
  <c r="I48" i="12" s="1"/>
  <c r="I49" i="12" s="1"/>
  <c r="I50" i="12" s="1"/>
  <c r="I51" i="12" s="1"/>
  <c r="I52" i="12" s="1"/>
  <c r="I53" i="12" s="1"/>
  <c r="B12" i="12"/>
  <c r="B13" i="12" s="1"/>
  <c r="B14" i="12" s="1"/>
  <c r="B15" i="12" s="1"/>
  <c r="B16" i="12" s="1"/>
  <c r="B17" i="12" s="1"/>
  <c r="B18" i="12" s="1"/>
  <c r="B19" i="12" s="1"/>
  <c r="G6" i="12"/>
  <c r="F6" i="12"/>
  <c r="E6" i="12"/>
  <c r="D6" i="12"/>
  <c r="C6" i="12"/>
  <c r="I5" i="12"/>
  <c r="I6" i="12" s="1"/>
  <c r="I7" i="12" s="1"/>
  <c r="I8" i="12" s="1"/>
  <c r="I9" i="12" s="1"/>
  <c r="I10" i="12" s="1"/>
  <c r="I11" i="12" s="1"/>
  <c r="I12" i="12" s="1"/>
  <c r="G5" i="12"/>
  <c r="F5" i="12"/>
  <c r="E5" i="12"/>
  <c r="D5" i="12"/>
  <c r="C5" i="12"/>
  <c r="H4" i="12"/>
  <c r="H5" i="12" s="1"/>
  <c r="H6" i="12" s="1"/>
  <c r="H7" i="12" s="1"/>
  <c r="H8" i="12" s="1"/>
  <c r="H9" i="12" s="1"/>
  <c r="H10" i="12" s="1"/>
  <c r="H11" i="12" s="1"/>
  <c r="H12" i="12" s="1"/>
  <c r="H13" i="12" s="1"/>
  <c r="H14" i="12" s="1"/>
  <c r="H15" i="12" s="1"/>
  <c r="H16" i="12" s="1"/>
  <c r="H17" i="12" s="1"/>
  <c r="H18" i="12" s="1"/>
  <c r="H19" i="12" s="1"/>
  <c r="H20" i="12" s="1"/>
  <c r="H21" i="12" s="1"/>
  <c r="H22" i="12" s="1"/>
  <c r="H23" i="12" s="1"/>
  <c r="H24" i="12" s="1"/>
  <c r="H25" i="12" s="1"/>
  <c r="H26" i="12" s="1"/>
  <c r="H27" i="12" s="1"/>
  <c r="H28" i="12" s="1"/>
  <c r="H29" i="12" s="1"/>
  <c r="H30" i="12" s="1"/>
  <c r="H31" i="12" s="1"/>
  <c r="H32" i="12" s="1"/>
  <c r="H33" i="12" s="1"/>
  <c r="H34" i="12" s="1"/>
  <c r="H35" i="12" s="1"/>
  <c r="H36" i="12" s="1"/>
  <c r="H37" i="12" s="1"/>
  <c r="H38" i="12" s="1"/>
  <c r="H39" i="12" s="1"/>
  <c r="H40" i="12" s="1"/>
  <c r="H41" i="12" s="1"/>
  <c r="H42" i="12" s="1"/>
  <c r="H43" i="12" s="1"/>
  <c r="H44" i="12" s="1"/>
  <c r="H45" i="12" s="1"/>
  <c r="H46" i="12" s="1"/>
  <c r="H47" i="12" s="1"/>
  <c r="H48" i="12" s="1"/>
  <c r="H49" i="12" s="1"/>
  <c r="H50" i="12" s="1"/>
  <c r="H51" i="12" s="1"/>
  <c r="H52" i="12" s="1"/>
  <c r="H53" i="12" s="1"/>
  <c r="G4" i="12"/>
  <c r="F4" i="12"/>
  <c r="E4" i="12"/>
  <c r="D4" i="12"/>
  <c r="C4" i="12"/>
  <c r="B4" i="12"/>
  <c r="B5" i="12" s="1"/>
  <c r="B6" i="12" s="1"/>
  <c r="B7" i="12" s="1"/>
  <c r="B8" i="12" s="1"/>
  <c r="B9" i="12" s="1"/>
  <c r="B10" i="12" s="1"/>
  <c r="B11" i="12" s="1"/>
  <c r="I3" i="12"/>
  <c r="I4" i="12" s="1"/>
  <c r="H3" i="12"/>
  <c r="G3" i="12"/>
  <c r="F3" i="12"/>
  <c r="E3" i="12"/>
  <c r="D3" i="12"/>
  <c r="C3" i="12"/>
  <c r="B3" i="12"/>
  <c r="A3" i="12"/>
  <c r="A4" i="12" s="1"/>
  <c r="A5" i="12" s="1"/>
  <c r="A6" i="12" s="1"/>
  <c r="A7" i="12" s="1"/>
  <c r="A8" i="12" s="1"/>
  <c r="A9" i="12" s="1"/>
  <c r="A10" i="12" s="1"/>
  <c r="A11" i="12" s="1"/>
  <c r="A12" i="12" s="1"/>
  <c r="A13" i="12" s="1"/>
  <c r="A14" i="12" s="1"/>
  <c r="A15" i="12" s="1"/>
  <c r="A16" i="12" s="1"/>
  <c r="A17" i="12" s="1"/>
  <c r="A18" i="12" s="1"/>
  <c r="A19" i="12" s="1"/>
  <c r="A20" i="12" s="1"/>
  <c r="A21" i="12" s="1"/>
  <c r="A22" i="12" s="1"/>
  <c r="A23" i="12" s="1"/>
  <c r="A24" i="12" s="1"/>
  <c r="A25" i="12" s="1"/>
  <c r="A26" i="12" s="1"/>
  <c r="A27" i="12" s="1"/>
  <c r="A28" i="12" s="1"/>
  <c r="A29" i="12" s="1"/>
  <c r="A30" i="12" s="1"/>
  <c r="A31" i="12" s="1"/>
  <c r="A32" i="12" s="1"/>
  <c r="A33" i="12" s="1"/>
  <c r="A34" i="12" s="1"/>
  <c r="A35" i="12" s="1"/>
  <c r="A36" i="12" s="1"/>
  <c r="A37" i="12" s="1"/>
  <c r="A38" i="12" s="1"/>
  <c r="A39" i="12" s="1"/>
  <c r="A40" i="12" s="1"/>
  <c r="A41" i="12" s="1"/>
  <c r="A42" i="12" s="1"/>
  <c r="A43" i="12" s="1"/>
  <c r="A44" i="12" s="1"/>
  <c r="A45" i="12" s="1"/>
  <c r="A46" i="12" s="1"/>
  <c r="A47" i="12" s="1"/>
  <c r="A48" i="12" s="1"/>
  <c r="A49" i="12" s="1"/>
  <c r="A50" i="12" s="1"/>
  <c r="A51" i="12" s="1"/>
  <c r="A52" i="12" s="1"/>
  <c r="A53" i="12" s="1"/>
  <c r="A54" i="12" s="1"/>
  <c r="A55" i="12" s="1"/>
  <c r="A56" i="12" s="1"/>
  <c r="A57" i="12" s="1"/>
  <c r="A58" i="12" s="1"/>
  <c r="A59" i="12" s="1"/>
  <c r="A60" i="12" s="1"/>
  <c r="A61" i="12" s="1"/>
  <c r="A62" i="12" s="1"/>
  <c r="A63" i="12" s="1"/>
  <c r="A64" i="12" s="1"/>
  <c r="A65" i="12" s="1"/>
  <c r="A66" i="12" s="1"/>
  <c r="A67" i="12" s="1"/>
  <c r="A68" i="12" s="1"/>
  <c r="A69" i="12" s="1"/>
  <c r="A70" i="12" s="1"/>
  <c r="A71" i="12" s="1"/>
  <c r="A72" i="12" s="1"/>
  <c r="A73" i="12" s="1"/>
  <c r="A74" i="12" s="1"/>
  <c r="A75" i="12" s="1"/>
  <c r="A76" i="12" s="1"/>
  <c r="A77" i="12" s="1"/>
  <c r="A78" i="12" s="1"/>
  <c r="A79" i="12" s="1"/>
  <c r="A80" i="12" s="1"/>
  <c r="A81" i="12" s="1"/>
  <c r="A82" i="12" s="1"/>
  <c r="A83" i="12" s="1"/>
  <c r="A84" i="12" s="1"/>
  <c r="A85" i="12" s="1"/>
  <c r="A86" i="12" s="1"/>
  <c r="A87" i="12" s="1"/>
  <c r="A88" i="12" s="1"/>
  <c r="A89" i="12" s="1"/>
  <c r="A90" i="12" s="1"/>
  <c r="A91" i="12" s="1"/>
  <c r="A92" i="12" s="1"/>
  <c r="A93" i="12" s="1"/>
  <c r="A94" i="12" s="1"/>
  <c r="A95" i="12" s="1"/>
  <c r="A96" i="12" s="1"/>
  <c r="A97" i="12" s="1"/>
  <c r="A98" i="12" s="1"/>
  <c r="A99" i="12" s="1"/>
  <c r="A100" i="12" s="1"/>
  <c r="A101" i="12" s="1"/>
  <c r="A102" i="12" s="1"/>
  <c r="A103" i="12" s="1"/>
  <c r="A104" i="12" s="1"/>
  <c r="A105" i="12" s="1"/>
  <c r="A106" i="12" s="1"/>
  <c r="A107" i="12" s="1"/>
  <c r="A108" i="12" s="1"/>
  <c r="A109" i="12" s="1"/>
  <c r="A110" i="12" s="1"/>
  <c r="A111" i="12" s="1"/>
  <c r="A112" i="12" s="1"/>
  <c r="A113" i="12" s="1"/>
  <c r="A114" i="12" s="1"/>
  <c r="A115" i="12" s="1"/>
  <c r="A116" i="12" s="1"/>
  <c r="A117" i="12" s="1"/>
  <c r="A118" i="12" s="1"/>
  <c r="A119" i="12" s="1"/>
  <c r="A120" i="12" s="1"/>
  <c r="A121" i="12" s="1"/>
  <c r="A122" i="12" s="1"/>
  <c r="A123" i="12" s="1"/>
  <c r="A124" i="12" s="1"/>
  <c r="A125" i="12" s="1"/>
  <c r="A126" i="12" s="1"/>
  <c r="A127" i="12" s="1"/>
  <c r="A128" i="12" s="1"/>
  <c r="A129" i="12" s="1"/>
  <c r="A130" i="12" s="1"/>
  <c r="A131" i="12" s="1"/>
  <c r="A132" i="12" s="1"/>
  <c r="A133" i="12" s="1"/>
  <c r="A134" i="12" s="1"/>
  <c r="A135" i="12" s="1"/>
  <c r="A136" i="12" s="1"/>
  <c r="A137" i="12" s="1"/>
  <c r="A138" i="12" s="1"/>
  <c r="A139" i="12" s="1"/>
  <c r="A140" i="12" s="1"/>
  <c r="A141" i="12" s="1"/>
  <c r="A142" i="12" s="1"/>
  <c r="A143" i="12" s="1"/>
  <c r="A144" i="12" s="1"/>
  <c r="A145" i="12" s="1"/>
  <c r="A146" i="12" s="1"/>
  <c r="A147" i="12" s="1"/>
  <c r="A148" i="12" s="1"/>
  <c r="A149" i="12" s="1"/>
  <c r="A150" i="12" s="1"/>
  <c r="A151" i="12" s="1"/>
  <c r="A152" i="12" s="1"/>
  <c r="A153" i="12" s="1"/>
  <c r="A154" i="12" s="1"/>
  <c r="A155" i="12" s="1"/>
  <c r="A156" i="12" s="1"/>
  <c r="A157" i="12" s="1"/>
  <c r="A158" i="12" s="1"/>
  <c r="A159" i="12" s="1"/>
  <c r="A160" i="12" s="1"/>
  <c r="A161" i="12" s="1"/>
  <c r="A162" i="12" s="1"/>
  <c r="A163" i="12" s="1"/>
  <c r="A164" i="12" s="1"/>
  <c r="A165" i="12" s="1"/>
  <c r="A166" i="12" s="1"/>
  <c r="A167" i="12" s="1"/>
  <c r="A168" i="12" s="1"/>
  <c r="A169" i="12" s="1"/>
  <c r="A170" i="12" s="1"/>
  <c r="A171" i="12" s="1"/>
  <c r="A172" i="12" s="1"/>
  <c r="A173" i="12" s="1"/>
  <c r="A174" i="12" s="1"/>
  <c r="A175" i="12" s="1"/>
  <c r="A176" i="12" s="1"/>
  <c r="A177" i="12" s="1"/>
  <c r="A178" i="12" s="1"/>
  <c r="A179" i="12" s="1"/>
  <c r="A180" i="12" s="1"/>
  <c r="A181" i="12" s="1"/>
  <c r="A182" i="12" s="1"/>
  <c r="A183" i="12" s="1"/>
  <c r="A184" i="12" s="1"/>
  <c r="A185" i="12" s="1"/>
  <c r="A186" i="12" s="1"/>
  <c r="A187" i="12" s="1"/>
  <c r="A188" i="12" s="1"/>
  <c r="A189" i="12" s="1"/>
  <c r="A190" i="12" s="1"/>
  <c r="A191" i="12" s="1"/>
  <c r="A192" i="12" s="1"/>
  <c r="A193" i="12" s="1"/>
  <c r="A194" i="12" s="1"/>
  <c r="A195" i="12" s="1"/>
  <c r="A196" i="12" s="1"/>
  <c r="A197" i="12" s="1"/>
  <c r="A198" i="12" s="1"/>
  <c r="A199" i="12" s="1"/>
  <c r="A200" i="12" s="1"/>
  <c r="G2" i="12"/>
  <c r="F2" i="12"/>
  <c r="E2" i="12"/>
  <c r="D2" i="12"/>
  <c r="C2" i="12"/>
  <c r="G8" i="10"/>
  <c r="G9" i="10"/>
  <c r="G10" i="10"/>
  <c r="G11" i="10"/>
  <c r="G12" i="10"/>
  <c r="G13" i="10"/>
  <c r="G14" i="10"/>
  <c r="G15" i="10"/>
  <c r="G16" i="10"/>
  <c r="G17" i="10"/>
  <c r="G18" i="10"/>
  <c r="G19" i="10"/>
  <c r="G20" i="10"/>
  <c r="G21" i="10"/>
  <c r="G22" i="10"/>
  <c r="G23" i="10"/>
  <c r="G24" i="10"/>
  <c r="G25" i="10"/>
  <c r="G26" i="10"/>
  <c r="G27" i="10"/>
  <c r="G28" i="10"/>
  <c r="G29" i="10"/>
  <c r="G30" i="10"/>
  <c r="G31" i="10"/>
  <c r="G32" i="10"/>
  <c r="G33" i="10"/>
  <c r="G34" i="10"/>
  <c r="G35" i="10"/>
  <c r="G36" i="10"/>
  <c r="G37" i="10"/>
  <c r="G38" i="10"/>
  <c r="G39" i="10"/>
  <c r="G40" i="10"/>
  <c r="G41" i="10"/>
  <c r="G42" i="10"/>
  <c r="G43" i="10"/>
  <c r="G44" i="10"/>
  <c r="G45" i="10"/>
  <c r="G46" i="10"/>
  <c r="G47" i="10"/>
  <c r="G48" i="10"/>
  <c r="G49" i="10"/>
  <c r="G50" i="10"/>
  <c r="G51" i="10"/>
  <c r="G52" i="10"/>
  <c r="G53" i="10"/>
  <c r="G54" i="10"/>
  <c r="G55" i="10"/>
  <c r="G56" i="10"/>
  <c r="G57" i="10"/>
  <c r="G58" i="10"/>
  <c r="G59" i="10"/>
  <c r="G60" i="10"/>
  <c r="G61" i="10"/>
  <c r="G62" i="10"/>
  <c r="G63" i="10"/>
  <c r="G64" i="10"/>
  <c r="G65" i="10"/>
  <c r="G66" i="10"/>
  <c r="G67" i="10"/>
  <c r="G68" i="10"/>
  <c r="G69" i="10"/>
  <c r="G70" i="10"/>
  <c r="G71" i="10"/>
  <c r="G72" i="10"/>
  <c r="G73" i="10"/>
  <c r="G74" i="10"/>
  <c r="G75" i="10"/>
  <c r="G76" i="10"/>
  <c r="G77" i="10"/>
  <c r="G78" i="10"/>
  <c r="G79" i="10"/>
  <c r="G80" i="10"/>
  <c r="G81" i="10"/>
  <c r="G82" i="10"/>
  <c r="G83" i="10"/>
  <c r="G84" i="10"/>
  <c r="G85" i="10"/>
  <c r="G86" i="10"/>
  <c r="G87" i="10"/>
  <c r="G88" i="10"/>
  <c r="G89" i="10"/>
  <c r="G90" i="10"/>
  <c r="G91" i="10"/>
  <c r="G92" i="10"/>
  <c r="G93" i="10"/>
  <c r="G94" i="10"/>
  <c r="G95" i="10"/>
  <c r="G96" i="10"/>
  <c r="G97" i="10"/>
  <c r="G98" i="10"/>
  <c r="G99" i="10"/>
  <c r="G100" i="10"/>
  <c r="G101" i="10"/>
  <c r="G102" i="10"/>
  <c r="G103" i="10"/>
  <c r="G104" i="10"/>
  <c r="G105" i="10"/>
  <c r="G106" i="10"/>
  <c r="G107" i="10"/>
  <c r="G108" i="10"/>
  <c r="G109" i="10"/>
  <c r="G110" i="10"/>
  <c r="G111" i="10"/>
  <c r="G112" i="10"/>
  <c r="G113" i="10"/>
  <c r="G114" i="10"/>
  <c r="G115" i="10"/>
  <c r="G116" i="10"/>
  <c r="G117" i="10"/>
  <c r="G118" i="10"/>
  <c r="G119" i="10"/>
  <c r="G120" i="10"/>
  <c r="G121" i="10"/>
  <c r="G122" i="10"/>
  <c r="G123" i="10"/>
  <c r="G124" i="10"/>
  <c r="G125" i="10"/>
  <c r="G126" i="10"/>
  <c r="G127" i="10"/>
  <c r="G128" i="10"/>
  <c r="G129" i="10"/>
  <c r="G130" i="10"/>
  <c r="G131" i="10"/>
  <c r="G132" i="10"/>
  <c r="G133" i="10"/>
  <c r="G134" i="10"/>
  <c r="G135" i="10"/>
  <c r="G136" i="10"/>
  <c r="G137" i="10"/>
  <c r="G138" i="10"/>
  <c r="G139" i="10"/>
  <c r="G140" i="10"/>
  <c r="G141" i="10"/>
  <c r="G142" i="10"/>
  <c r="G143" i="10"/>
  <c r="G144" i="10"/>
  <c r="G145" i="10"/>
  <c r="G146" i="10"/>
  <c r="G147" i="10"/>
  <c r="G148" i="10"/>
  <c r="G149" i="10"/>
  <c r="G150" i="10"/>
  <c r="G151" i="10"/>
  <c r="G152" i="10"/>
  <c r="G153" i="10"/>
  <c r="G154" i="10"/>
  <c r="G155" i="10"/>
  <c r="G156" i="10"/>
  <c r="G157" i="10"/>
  <c r="G158" i="10"/>
  <c r="G159" i="10"/>
  <c r="G160" i="10"/>
  <c r="G161" i="10"/>
  <c r="G162" i="10"/>
  <c r="G163" i="10"/>
  <c r="G164" i="10"/>
  <c r="G165" i="10"/>
  <c r="G166" i="10"/>
  <c r="G167" i="10"/>
  <c r="G168" i="10"/>
  <c r="G169" i="10"/>
  <c r="G170" i="10"/>
  <c r="G171" i="10"/>
  <c r="G172" i="10"/>
  <c r="G173" i="10"/>
  <c r="G174" i="10"/>
  <c r="G175" i="10"/>
  <c r="G176" i="10"/>
  <c r="G177" i="10"/>
  <c r="G178" i="10"/>
  <c r="G179" i="10"/>
  <c r="G180" i="10"/>
  <c r="G181" i="10"/>
  <c r="G182" i="10"/>
  <c r="G183" i="10"/>
  <c r="G184" i="10"/>
  <c r="G185" i="10"/>
  <c r="G186" i="10"/>
  <c r="G187" i="10"/>
  <c r="G188" i="10"/>
  <c r="G189" i="10"/>
  <c r="G190" i="10"/>
  <c r="G191" i="10"/>
  <c r="G192" i="10"/>
  <c r="G193" i="10"/>
  <c r="G194" i="10"/>
  <c r="G195" i="10"/>
  <c r="G196" i="10"/>
  <c r="G197" i="10"/>
  <c r="G198" i="10"/>
  <c r="G199" i="10"/>
  <c r="G200" i="10"/>
  <c r="G7" i="10"/>
  <c r="C8" i="10"/>
  <c r="D8" i="10"/>
  <c r="E8" i="10"/>
  <c r="F8" i="10"/>
  <c r="C9" i="10"/>
  <c r="D9" i="10"/>
  <c r="E9" i="10"/>
  <c r="F9" i="10"/>
  <c r="C10" i="10"/>
  <c r="D10" i="10"/>
  <c r="E10" i="10"/>
  <c r="F10" i="10"/>
  <c r="C11" i="10"/>
  <c r="D11" i="10"/>
  <c r="E11" i="10"/>
  <c r="F11" i="10"/>
  <c r="C12" i="10"/>
  <c r="D12" i="10"/>
  <c r="E12" i="10"/>
  <c r="F12" i="10"/>
  <c r="C13" i="10"/>
  <c r="D13" i="10"/>
  <c r="E13" i="10"/>
  <c r="F13" i="10"/>
  <c r="C14" i="10"/>
  <c r="D14" i="10"/>
  <c r="E14" i="10"/>
  <c r="F14" i="10"/>
  <c r="C15" i="10"/>
  <c r="D15" i="10"/>
  <c r="E15" i="10"/>
  <c r="F15" i="10"/>
  <c r="C16" i="10"/>
  <c r="D16" i="10"/>
  <c r="E16" i="10"/>
  <c r="F16" i="10"/>
  <c r="C17" i="10"/>
  <c r="D17" i="10"/>
  <c r="E17" i="10"/>
  <c r="F17" i="10"/>
  <c r="C18" i="10"/>
  <c r="D18" i="10"/>
  <c r="E18" i="10"/>
  <c r="F18" i="10"/>
  <c r="C19" i="10"/>
  <c r="D19" i="10"/>
  <c r="E19" i="10"/>
  <c r="F19" i="10"/>
  <c r="C20" i="10"/>
  <c r="D20" i="10"/>
  <c r="E20" i="10"/>
  <c r="F20" i="10"/>
  <c r="C21" i="10"/>
  <c r="D21" i="10"/>
  <c r="E21" i="10"/>
  <c r="F21" i="10"/>
  <c r="C22" i="10"/>
  <c r="D22" i="10"/>
  <c r="E22" i="10"/>
  <c r="F22" i="10"/>
  <c r="C23" i="10"/>
  <c r="D23" i="10"/>
  <c r="E23" i="10"/>
  <c r="F23" i="10"/>
  <c r="C24" i="10"/>
  <c r="D24" i="10"/>
  <c r="E24" i="10"/>
  <c r="F24" i="10"/>
  <c r="C25" i="10"/>
  <c r="D25" i="10"/>
  <c r="E25" i="10"/>
  <c r="F25" i="10"/>
  <c r="C26" i="10"/>
  <c r="D26" i="10"/>
  <c r="E26" i="10"/>
  <c r="F26" i="10"/>
  <c r="C27" i="10"/>
  <c r="D27" i="10"/>
  <c r="E27" i="10"/>
  <c r="F27" i="10"/>
  <c r="C28" i="10"/>
  <c r="D28" i="10"/>
  <c r="E28" i="10"/>
  <c r="F28" i="10"/>
  <c r="C29" i="10"/>
  <c r="D29" i="10"/>
  <c r="E29" i="10"/>
  <c r="F29" i="10"/>
  <c r="C30" i="10"/>
  <c r="D30" i="10"/>
  <c r="E30" i="10"/>
  <c r="F30" i="10"/>
  <c r="C31" i="10"/>
  <c r="D31" i="10"/>
  <c r="E31" i="10"/>
  <c r="F31" i="10"/>
  <c r="C32" i="10"/>
  <c r="D32" i="10"/>
  <c r="E32" i="10"/>
  <c r="F32" i="10"/>
  <c r="C33" i="10"/>
  <c r="D33" i="10"/>
  <c r="E33" i="10"/>
  <c r="F33" i="10"/>
  <c r="C34" i="10"/>
  <c r="D34" i="10"/>
  <c r="E34" i="10"/>
  <c r="F34" i="10"/>
  <c r="C35" i="10"/>
  <c r="D35" i="10"/>
  <c r="E35" i="10"/>
  <c r="F35" i="10"/>
  <c r="C36" i="10"/>
  <c r="D36" i="10"/>
  <c r="E36" i="10"/>
  <c r="F36" i="10"/>
  <c r="C37" i="10"/>
  <c r="D37" i="10"/>
  <c r="E37" i="10"/>
  <c r="F37" i="10"/>
  <c r="C38" i="10"/>
  <c r="D38" i="10"/>
  <c r="E38" i="10"/>
  <c r="F38" i="10"/>
  <c r="C39" i="10"/>
  <c r="D39" i="10"/>
  <c r="E39" i="10"/>
  <c r="F39" i="10"/>
  <c r="C40" i="10"/>
  <c r="D40" i="10"/>
  <c r="E40" i="10"/>
  <c r="F40" i="10"/>
  <c r="C41" i="10"/>
  <c r="D41" i="10"/>
  <c r="E41" i="10"/>
  <c r="F41" i="10"/>
  <c r="C42" i="10"/>
  <c r="D42" i="10"/>
  <c r="E42" i="10"/>
  <c r="F42" i="10"/>
  <c r="C43" i="10"/>
  <c r="D43" i="10"/>
  <c r="E43" i="10"/>
  <c r="F43" i="10"/>
  <c r="C44" i="10"/>
  <c r="D44" i="10"/>
  <c r="E44" i="10"/>
  <c r="F44" i="10"/>
  <c r="C45" i="10"/>
  <c r="D45" i="10"/>
  <c r="E45" i="10"/>
  <c r="F45" i="10"/>
  <c r="C46" i="10"/>
  <c r="D46" i="10"/>
  <c r="E46" i="10"/>
  <c r="F46" i="10"/>
  <c r="C47" i="10"/>
  <c r="D47" i="10"/>
  <c r="E47" i="10"/>
  <c r="F47" i="10"/>
  <c r="C48" i="10"/>
  <c r="D48" i="10"/>
  <c r="E48" i="10"/>
  <c r="F48" i="10"/>
  <c r="C49" i="10"/>
  <c r="D49" i="10"/>
  <c r="E49" i="10"/>
  <c r="F49" i="10"/>
  <c r="C50" i="10"/>
  <c r="D50" i="10"/>
  <c r="E50" i="10"/>
  <c r="F50" i="10"/>
  <c r="C51" i="10"/>
  <c r="D51" i="10"/>
  <c r="E51" i="10"/>
  <c r="F51" i="10"/>
  <c r="C52" i="10"/>
  <c r="D52" i="10"/>
  <c r="E52" i="10"/>
  <c r="F52" i="10"/>
  <c r="C53" i="10"/>
  <c r="D53" i="10"/>
  <c r="E53" i="10"/>
  <c r="F53" i="10"/>
  <c r="C54" i="10"/>
  <c r="D54" i="10"/>
  <c r="E54" i="10"/>
  <c r="F54" i="10"/>
  <c r="C55" i="10"/>
  <c r="D55" i="10"/>
  <c r="E55" i="10"/>
  <c r="F55" i="10"/>
  <c r="C56" i="10"/>
  <c r="D56" i="10"/>
  <c r="E56" i="10"/>
  <c r="F56" i="10"/>
  <c r="C57" i="10"/>
  <c r="D57" i="10"/>
  <c r="E57" i="10"/>
  <c r="F57" i="10"/>
  <c r="C58" i="10"/>
  <c r="D58" i="10"/>
  <c r="E58" i="10"/>
  <c r="F58" i="10"/>
  <c r="C59" i="10"/>
  <c r="D59" i="10"/>
  <c r="E59" i="10"/>
  <c r="F59" i="10"/>
  <c r="C60" i="10"/>
  <c r="D60" i="10"/>
  <c r="E60" i="10"/>
  <c r="F60" i="10"/>
  <c r="C61" i="10"/>
  <c r="D61" i="10"/>
  <c r="E61" i="10"/>
  <c r="F61" i="10"/>
  <c r="C62" i="10"/>
  <c r="D62" i="10"/>
  <c r="E62" i="10"/>
  <c r="F62" i="10"/>
  <c r="C63" i="10"/>
  <c r="D63" i="10"/>
  <c r="E63" i="10"/>
  <c r="F63" i="10"/>
  <c r="C64" i="10"/>
  <c r="D64" i="10"/>
  <c r="E64" i="10"/>
  <c r="F64" i="10"/>
  <c r="C65" i="10"/>
  <c r="D65" i="10"/>
  <c r="E65" i="10"/>
  <c r="F65" i="10"/>
  <c r="C66" i="10"/>
  <c r="D66" i="10"/>
  <c r="E66" i="10"/>
  <c r="F66" i="10"/>
  <c r="C67" i="10"/>
  <c r="D67" i="10"/>
  <c r="E67" i="10"/>
  <c r="F67" i="10"/>
  <c r="C68" i="10"/>
  <c r="D68" i="10"/>
  <c r="E68" i="10"/>
  <c r="F68" i="10"/>
  <c r="C69" i="10"/>
  <c r="D69" i="10"/>
  <c r="E69" i="10"/>
  <c r="F69" i="10"/>
  <c r="C70" i="10"/>
  <c r="D70" i="10"/>
  <c r="E70" i="10"/>
  <c r="F70" i="10"/>
  <c r="C71" i="10"/>
  <c r="D71" i="10"/>
  <c r="E71" i="10"/>
  <c r="F71" i="10"/>
  <c r="C72" i="10"/>
  <c r="D72" i="10"/>
  <c r="E72" i="10"/>
  <c r="F72" i="10"/>
  <c r="C73" i="10"/>
  <c r="D73" i="10"/>
  <c r="E73" i="10"/>
  <c r="F73" i="10"/>
  <c r="C74" i="10"/>
  <c r="D74" i="10"/>
  <c r="E74" i="10"/>
  <c r="F74" i="10"/>
  <c r="C75" i="10"/>
  <c r="D75" i="10"/>
  <c r="E75" i="10"/>
  <c r="F75" i="10"/>
  <c r="C76" i="10"/>
  <c r="D76" i="10"/>
  <c r="E76" i="10"/>
  <c r="F76" i="10"/>
  <c r="C77" i="10"/>
  <c r="D77" i="10"/>
  <c r="E77" i="10"/>
  <c r="F77" i="10"/>
  <c r="C78" i="10"/>
  <c r="D78" i="10"/>
  <c r="E78" i="10"/>
  <c r="F78" i="10"/>
  <c r="C79" i="10"/>
  <c r="D79" i="10"/>
  <c r="E79" i="10"/>
  <c r="F79" i="10"/>
  <c r="C80" i="10"/>
  <c r="D80" i="10"/>
  <c r="E80" i="10"/>
  <c r="F80" i="10"/>
  <c r="C81" i="10"/>
  <c r="D81" i="10"/>
  <c r="E81" i="10"/>
  <c r="F81" i="10"/>
  <c r="C82" i="10"/>
  <c r="D82" i="10"/>
  <c r="E82" i="10"/>
  <c r="F82" i="10"/>
  <c r="C83" i="10"/>
  <c r="D83" i="10"/>
  <c r="E83" i="10"/>
  <c r="F83" i="10"/>
  <c r="C84" i="10"/>
  <c r="D84" i="10"/>
  <c r="E84" i="10"/>
  <c r="F84" i="10"/>
  <c r="C85" i="10"/>
  <c r="D85" i="10"/>
  <c r="E85" i="10"/>
  <c r="F85" i="10"/>
  <c r="C86" i="10"/>
  <c r="D86" i="10"/>
  <c r="E86" i="10"/>
  <c r="F86" i="10"/>
  <c r="C87" i="10"/>
  <c r="D87" i="10"/>
  <c r="E87" i="10"/>
  <c r="F87" i="10"/>
  <c r="C88" i="10"/>
  <c r="D88" i="10"/>
  <c r="E88" i="10"/>
  <c r="F88" i="10"/>
  <c r="C89" i="10"/>
  <c r="D89" i="10"/>
  <c r="E89" i="10"/>
  <c r="F89" i="10"/>
  <c r="C90" i="10"/>
  <c r="D90" i="10"/>
  <c r="E90" i="10"/>
  <c r="F90" i="10"/>
  <c r="C91" i="10"/>
  <c r="D91" i="10"/>
  <c r="E91" i="10"/>
  <c r="F91" i="10"/>
  <c r="C92" i="10"/>
  <c r="D92" i="10"/>
  <c r="E92" i="10"/>
  <c r="F92" i="10"/>
  <c r="C93" i="10"/>
  <c r="D93" i="10"/>
  <c r="E93" i="10"/>
  <c r="F93" i="10"/>
  <c r="C94" i="10"/>
  <c r="D94" i="10"/>
  <c r="E94" i="10"/>
  <c r="F94" i="10"/>
  <c r="C95" i="10"/>
  <c r="D95" i="10"/>
  <c r="E95" i="10"/>
  <c r="F95" i="10"/>
  <c r="C96" i="10"/>
  <c r="D96" i="10"/>
  <c r="E96" i="10"/>
  <c r="F96" i="10"/>
  <c r="C97" i="10"/>
  <c r="D97" i="10"/>
  <c r="E97" i="10"/>
  <c r="F97" i="10"/>
  <c r="C98" i="10"/>
  <c r="D98" i="10"/>
  <c r="E98" i="10"/>
  <c r="F98" i="10"/>
  <c r="C99" i="10"/>
  <c r="D99" i="10"/>
  <c r="E99" i="10"/>
  <c r="F99" i="10"/>
  <c r="C100" i="10"/>
  <c r="D100" i="10"/>
  <c r="E100" i="10"/>
  <c r="F100" i="10"/>
  <c r="C101" i="10"/>
  <c r="D101" i="10"/>
  <c r="E101" i="10"/>
  <c r="F101" i="10"/>
  <c r="C102" i="10"/>
  <c r="D102" i="10"/>
  <c r="E102" i="10"/>
  <c r="F102" i="10"/>
  <c r="C103" i="10"/>
  <c r="D103" i="10"/>
  <c r="E103" i="10"/>
  <c r="F103" i="10"/>
  <c r="C104" i="10"/>
  <c r="D104" i="10"/>
  <c r="E104" i="10"/>
  <c r="F104" i="10"/>
  <c r="C105" i="10"/>
  <c r="D105" i="10"/>
  <c r="E105" i="10"/>
  <c r="F105" i="10"/>
  <c r="C106" i="10"/>
  <c r="D106" i="10"/>
  <c r="E106" i="10"/>
  <c r="F106" i="10"/>
  <c r="C107" i="10"/>
  <c r="D107" i="10"/>
  <c r="E107" i="10"/>
  <c r="F107" i="10"/>
  <c r="C108" i="10"/>
  <c r="D108" i="10"/>
  <c r="E108" i="10"/>
  <c r="F108" i="10"/>
  <c r="C109" i="10"/>
  <c r="D109" i="10"/>
  <c r="E109" i="10"/>
  <c r="F109" i="10"/>
  <c r="C110" i="10"/>
  <c r="D110" i="10"/>
  <c r="E110" i="10"/>
  <c r="F110" i="10"/>
  <c r="C111" i="10"/>
  <c r="D111" i="10"/>
  <c r="E111" i="10"/>
  <c r="F111" i="10"/>
  <c r="C112" i="10"/>
  <c r="D112" i="10"/>
  <c r="E112" i="10"/>
  <c r="F112" i="10"/>
  <c r="C113" i="10"/>
  <c r="D113" i="10"/>
  <c r="E113" i="10"/>
  <c r="F113" i="10"/>
  <c r="C114" i="10"/>
  <c r="D114" i="10"/>
  <c r="E114" i="10"/>
  <c r="F114" i="10"/>
  <c r="C115" i="10"/>
  <c r="D115" i="10"/>
  <c r="E115" i="10"/>
  <c r="F115" i="10"/>
  <c r="C116" i="10"/>
  <c r="D116" i="10"/>
  <c r="E116" i="10"/>
  <c r="F116" i="10"/>
  <c r="C117" i="10"/>
  <c r="D117" i="10"/>
  <c r="E117" i="10"/>
  <c r="F117" i="10"/>
  <c r="C118" i="10"/>
  <c r="D118" i="10"/>
  <c r="E118" i="10"/>
  <c r="F118" i="10"/>
  <c r="C119" i="10"/>
  <c r="D119" i="10"/>
  <c r="E119" i="10"/>
  <c r="F119" i="10"/>
  <c r="C120" i="10"/>
  <c r="D120" i="10"/>
  <c r="E120" i="10"/>
  <c r="F120" i="10"/>
  <c r="C121" i="10"/>
  <c r="D121" i="10"/>
  <c r="E121" i="10"/>
  <c r="F121" i="10"/>
  <c r="C122" i="10"/>
  <c r="D122" i="10"/>
  <c r="E122" i="10"/>
  <c r="F122" i="10"/>
  <c r="C123" i="10"/>
  <c r="D123" i="10"/>
  <c r="E123" i="10"/>
  <c r="F123" i="10"/>
  <c r="C124" i="10"/>
  <c r="D124" i="10"/>
  <c r="E124" i="10"/>
  <c r="F124" i="10"/>
  <c r="C125" i="10"/>
  <c r="D125" i="10"/>
  <c r="E125" i="10"/>
  <c r="F125" i="10"/>
  <c r="C126" i="10"/>
  <c r="D126" i="10"/>
  <c r="E126" i="10"/>
  <c r="F126" i="10"/>
  <c r="C127" i="10"/>
  <c r="D127" i="10"/>
  <c r="E127" i="10"/>
  <c r="F127" i="10"/>
  <c r="C128" i="10"/>
  <c r="D128" i="10"/>
  <c r="E128" i="10"/>
  <c r="F128" i="10"/>
  <c r="C129" i="10"/>
  <c r="D129" i="10"/>
  <c r="E129" i="10"/>
  <c r="F129" i="10"/>
  <c r="C130" i="10"/>
  <c r="D130" i="10"/>
  <c r="E130" i="10"/>
  <c r="F130" i="10"/>
  <c r="C131" i="10"/>
  <c r="D131" i="10"/>
  <c r="E131" i="10"/>
  <c r="F131" i="10"/>
  <c r="C132" i="10"/>
  <c r="D132" i="10"/>
  <c r="E132" i="10"/>
  <c r="F132" i="10"/>
  <c r="C133" i="10"/>
  <c r="D133" i="10"/>
  <c r="E133" i="10"/>
  <c r="F133" i="10"/>
  <c r="C134" i="10"/>
  <c r="D134" i="10"/>
  <c r="E134" i="10"/>
  <c r="F134" i="10"/>
  <c r="C135" i="10"/>
  <c r="D135" i="10"/>
  <c r="E135" i="10"/>
  <c r="F135" i="10"/>
  <c r="C136" i="10"/>
  <c r="D136" i="10"/>
  <c r="E136" i="10"/>
  <c r="F136" i="10"/>
  <c r="C137" i="10"/>
  <c r="D137" i="10"/>
  <c r="E137" i="10"/>
  <c r="F137" i="10"/>
  <c r="C138" i="10"/>
  <c r="D138" i="10"/>
  <c r="E138" i="10"/>
  <c r="F138" i="10"/>
  <c r="C139" i="10"/>
  <c r="D139" i="10"/>
  <c r="E139" i="10"/>
  <c r="F139" i="10"/>
  <c r="C140" i="10"/>
  <c r="D140" i="10"/>
  <c r="E140" i="10"/>
  <c r="F140" i="10"/>
  <c r="C141" i="10"/>
  <c r="D141" i="10"/>
  <c r="E141" i="10"/>
  <c r="F141" i="10"/>
  <c r="C142" i="10"/>
  <c r="D142" i="10"/>
  <c r="E142" i="10"/>
  <c r="F142" i="10"/>
  <c r="C143" i="10"/>
  <c r="D143" i="10"/>
  <c r="E143" i="10"/>
  <c r="F143" i="10"/>
  <c r="C144" i="10"/>
  <c r="D144" i="10"/>
  <c r="E144" i="10"/>
  <c r="F144" i="10"/>
  <c r="C145" i="10"/>
  <c r="D145" i="10"/>
  <c r="E145" i="10"/>
  <c r="F145" i="10"/>
  <c r="C146" i="10"/>
  <c r="D146" i="10"/>
  <c r="E146" i="10"/>
  <c r="F146" i="10"/>
  <c r="C147" i="10"/>
  <c r="D147" i="10"/>
  <c r="E147" i="10"/>
  <c r="F147" i="10"/>
  <c r="C148" i="10"/>
  <c r="D148" i="10"/>
  <c r="E148" i="10"/>
  <c r="F148" i="10"/>
  <c r="C149" i="10"/>
  <c r="D149" i="10"/>
  <c r="E149" i="10"/>
  <c r="F149" i="10"/>
  <c r="C150" i="10"/>
  <c r="D150" i="10"/>
  <c r="E150" i="10"/>
  <c r="F150" i="10"/>
  <c r="C151" i="10"/>
  <c r="D151" i="10"/>
  <c r="E151" i="10"/>
  <c r="F151" i="10"/>
  <c r="C152" i="10"/>
  <c r="D152" i="10"/>
  <c r="E152" i="10"/>
  <c r="F152" i="10"/>
  <c r="C153" i="10"/>
  <c r="D153" i="10"/>
  <c r="E153" i="10"/>
  <c r="F153" i="10"/>
  <c r="C154" i="10"/>
  <c r="D154" i="10"/>
  <c r="E154" i="10"/>
  <c r="F154" i="10"/>
  <c r="C155" i="10"/>
  <c r="D155" i="10"/>
  <c r="E155" i="10"/>
  <c r="F155" i="10"/>
  <c r="C156" i="10"/>
  <c r="D156" i="10"/>
  <c r="E156" i="10"/>
  <c r="F156" i="10"/>
  <c r="C157" i="10"/>
  <c r="D157" i="10"/>
  <c r="E157" i="10"/>
  <c r="F157" i="10"/>
  <c r="C158" i="10"/>
  <c r="D158" i="10"/>
  <c r="E158" i="10"/>
  <c r="F158" i="10"/>
  <c r="C159" i="10"/>
  <c r="D159" i="10"/>
  <c r="E159" i="10"/>
  <c r="F159" i="10"/>
  <c r="C160" i="10"/>
  <c r="D160" i="10"/>
  <c r="E160" i="10"/>
  <c r="F160" i="10"/>
  <c r="C161" i="10"/>
  <c r="D161" i="10"/>
  <c r="E161" i="10"/>
  <c r="F161" i="10"/>
  <c r="C162" i="10"/>
  <c r="D162" i="10"/>
  <c r="E162" i="10"/>
  <c r="F162" i="10"/>
  <c r="C163" i="10"/>
  <c r="D163" i="10"/>
  <c r="E163" i="10"/>
  <c r="F163" i="10"/>
  <c r="C164" i="10"/>
  <c r="D164" i="10"/>
  <c r="E164" i="10"/>
  <c r="F164" i="10"/>
  <c r="C165" i="10"/>
  <c r="D165" i="10"/>
  <c r="E165" i="10"/>
  <c r="F165" i="10"/>
  <c r="C166" i="10"/>
  <c r="D166" i="10"/>
  <c r="E166" i="10"/>
  <c r="F166" i="10"/>
  <c r="C167" i="10"/>
  <c r="D167" i="10"/>
  <c r="E167" i="10"/>
  <c r="F167" i="10"/>
  <c r="C168" i="10"/>
  <c r="D168" i="10"/>
  <c r="E168" i="10"/>
  <c r="F168" i="10"/>
  <c r="C169" i="10"/>
  <c r="D169" i="10"/>
  <c r="E169" i="10"/>
  <c r="F169" i="10"/>
  <c r="C170" i="10"/>
  <c r="D170" i="10"/>
  <c r="E170" i="10"/>
  <c r="F170" i="10"/>
  <c r="C171" i="10"/>
  <c r="D171" i="10"/>
  <c r="E171" i="10"/>
  <c r="F171" i="10"/>
  <c r="C172" i="10"/>
  <c r="D172" i="10"/>
  <c r="E172" i="10"/>
  <c r="F172" i="10"/>
  <c r="C173" i="10"/>
  <c r="D173" i="10"/>
  <c r="E173" i="10"/>
  <c r="F173" i="10"/>
  <c r="C174" i="10"/>
  <c r="D174" i="10"/>
  <c r="E174" i="10"/>
  <c r="F174" i="10"/>
  <c r="C175" i="10"/>
  <c r="D175" i="10"/>
  <c r="E175" i="10"/>
  <c r="F175" i="10"/>
  <c r="C176" i="10"/>
  <c r="D176" i="10"/>
  <c r="E176" i="10"/>
  <c r="F176" i="10"/>
  <c r="C177" i="10"/>
  <c r="D177" i="10"/>
  <c r="E177" i="10"/>
  <c r="F177" i="10"/>
  <c r="C178" i="10"/>
  <c r="D178" i="10"/>
  <c r="E178" i="10"/>
  <c r="F178" i="10"/>
  <c r="C179" i="10"/>
  <c r="D179" i="10"/>
  <c r="E179" i="10"/>
  <c r="F179" i="10"/>
  <c r="C180" i="10"/>
  <c r="D180" i="10"/>
  <c r="E180" i="10"/>
  <c r="F180" i="10"/>
  <c r="C181" i="10"/>
  <c r="D181" i="10"/>
  <c r="E181" i="10"/>
  <c r="F181" i="10"/>
  <c r="C182" i="10"/>
  <c r="D182" i="10"/>
  <c r="E182" i="10"/>
  <c r="F182" i="10"/>
  <c r="C183" i="10"/>
  <c r="D183" i="10"/>
  <c r="E183" i="10"/>
  <c r="F183" i="10"/>
  <c r="C184" i="10"/>
  <c r="D184" i="10"/>
  <c r="E184" i="10"/>
  <c r="F184" i="10"/>
  <c r="C185" i="10"/>
  <c r="D185" i="10"/>
  <c r="E185" i="10"/>
  <c r="F185" i="10"/>
  <c r="C186" i="10"/>
  <c r="D186" i="10"/>
  <c r="E186" i="10"/>
  <c r="F186" i="10"/>
  <c r="C187" i="10"/>
  <c r="D187" i="10"/>
  <c r="E187" i="10"/>
  <c r="F187" i="10"/>
  <c r="C188" i="10"/>
  <c r="D188" i="10"/>
  <c r="E188" i="10"/>
  <c r="F188" i="10"/>
  <c r="C189" i="10"/>
  <c r="D189" i="10"/>
  <c r="E189" i="10"/>
  <c r="F189" i="10"/>
  <c r="C190" i="10"/>
  <c r="D190" i="10"/>
  <c r="E190" i="10"/>
  <c r="F190" i="10"/>
  <c r="C191" i="10"/>
  <c r="D191" i="10"/>
  <c r="E191" i="10"/>
  <c r="F191" i="10"/>
  <c r="C192" i="10"/>
  <c r="D192" i="10"/>
  <c r="E192" i="10"/>
  <c r="F192" i="10"/>
  <c r="C193" i="10"/>
  <c r="D193" i="10"/>
  <c r="E193" i="10"/>
  <c r="F193" i="10"/>
  <c r="C194" i="10"/>
  <c r="D194" i="10"/>
  <c r="E194" i="10"/>
  <c r="F194" i="10"/>
  <c r="C195" i="10"/>
  <c r="D195" i="10"/>
  <c r="E195" i="10"/>
  <c r="F195" i="10"/>
  <c r="C196" i="10"/>
  <c r="D196" i="10"/>
  <c r="E196" i="10"/>
  <c r="F196" i="10"/>
  <c r="C197" i="10"/>
  <c r="D197" i="10"/>
  <c r="E197" i="10"/>
  <c r="F197" i="10"/>
  <c r="C198" i="10"/>
  <c r="D198" i="10"/>
  <c r="E198" i="10"/>
  <c r="F198" i="10"/>
  <c r="C199" i="10"/>
  <c r="D199" i="10"/>
  <c r="E199" i="10"/>
  <c r="F199" i="10"/>
  <c r="C200" i="10"/>
  <c r="D200" i="10"/>
  <c r="E200" i="10"/>
  <c r="F200" i="10"/>
  <c r="D7" i="10"/>
  <c r="E7" i="10"/>
  <c r="F7" i="10"/>
  <c r="C7" i="10"/>
  <c r="G6" i="10"/>
  <c r="F6" i="10"/>
  <c r="E6" i="10"/>
  <c r="D6" i="10"/>
  <c r="C6" i="10"/>
  <c r="G5" i="10"/>
  <c r="F5" i="10"/>
  <c r="E5" i="10"/>
  <c r="D5" i="10"/>
  <c r="C5" i="10"/>
  <c r="G4" i="10"/>
  <c r="F4" i="10"/>
  <c r="E4" i="10"/>
  <c r="D4" i="10"/>
  <c r="C4" i="10"/>
  <c r="G3" i="10"/>
  <c r="F3" i="10"/>
  <c r="E3" i="10"/>
  <c r="D3" i="10"/>
  <c r="C3" i="10"/>
  <c r="G2" i="10"/>
  <c r="F2" i="10"/>
  <c r="E2" i="10"/>
  <c r="D2" i="10"/>
  <c r="C2" i="10"/>
  <c r="G200" i="11"/>
  <c r="F200" i="11"/>
  <c r="E200" i="11"/>
  <c r="D200" i="11"/>
  <c r="C200" i="11"/>
  <c r="G199" i="11"/>
  <c r="F199" i="11"/>
  <c r="E199" i="11"/>
  <c r="D199" i="11"/>
  <c r="C199" i="11"/>
  <c r="G198" i="11"/>
  <c r="F198" i="11"/>
  <c r="E198" i="11"/>
  <c r="D198" i="11"/>
  <c r="C198" i="11"/>
  <c r="G197" i="11"/>
  <c r="F197" i="11"/>
  <c r="E197" i="11"/>
  <c r="D197" i="11"/>
  <c r="C197" i="11"/>
  <c r="G196" i="11"/>
  <c r="F196" i="11"/>
  <c r="E196" i="11"/>
  <c r="D196" i="11"/>
  <c r="C196" i="11"/>
  <c r="G195" i="11"/>
  <c r="F195" i="11"/>
  <c r="E195" i="11"/>
  <c r="D195" i="11"/>
  <c r="C195" i="11"/>
  <c r="G194" i="11"/>
  <c r="F194" i="11"/>
  <c r="E194" i="11"/>
  <c r="D194" i="11"/>
  <c r="C194" i="11"/>
  <c r="G193" i="11"/>
  <c r="F193" i="11"/>
  <c r="E193" i="11"/>
  <c r="D193" i="11"/>
  <c r="C193" i="11"/>
  <c r="G192" i="11"/>
  <c r="F192" i="11"/>
  <c r="E192" i="11"/>
  <c r="D192" i="11"/>
  <c r="C192" i="11"/>
  <c r="G191" i="11"/>
  <c r="F191" i="11"/>
  <c r="E191" i="11"/>
  <c r="D191" i="11"/>
  <c r="C191" i="11"/>
  <c r="G190" i="11"/>
  <c r="F190" i="11"/>
  <c r="E190" i="11"/>
  <c r="D190" i="11"/>
  <c r="C190" i="11"/>
  <c r="G189" i="11"/>
  <c r="F189" i="11"/>
  <c r="E189" i="11"/>
  <c r="D189" i="11"/>
  <c r="C189" i="11"/>
  <c r="G188" i="11"/>
  <c r="F188" i="11"/>
  <c r="E188" i="11"/>
  <c r="D188" i="11"/>
  <c r="C188" i="11"/>
  <c r="G187" i="11"/>
  <c r="F187" i="11"/>
  <c r="E187" i="11"/>
  <c r="D187" i="11"/>
  <c r="C187" i="11"/>
  <c r="G186" i="11"/>
  <c r="F186" i="11"/>
  <c r="E186" i="11"/>
  <c r="D186" i="11"/>
  <c r="C186" i="11"/>
  <c r="G185" i="11"/>
  <c r="F185" i="11"/>
  <c r="E185" i="11"/>
  <c r="D185" i="11"/>
  <c r="C185" i="11"/>
  <c r="G184" i="11"/>
  <c r="F184" i="11"/>
  <c r="E184" i="11"/>
  <c r="D184" i="11"/>
  <c r="C184" i="11"/>
  <c r="G183" i="11"/>
  <c r="F183" i="11"/>
  <c r="E183" i="11"/>
  <c r="D183" i="11"/>
  <c r="C183" i="11"/>
  <c r="G182" i="11"/>
  <c r="F182" i="11"/>
  <c r="E182" i="11"/>
  <c r="D182" i="11"/>
  <c r="C182" i="11"/>
  <c r="G181" i="11"/>
  <c r="F181" i="11"/>
  <c r="E181" i="11"/>
  <c r="D181" i="11"/>
  <c r="C181" i="11"/>
  <c r="G180" i="11"/>
  <c r="F180" i="11"/>
  <c r="E180" i="11"/>
  <c r="D180" i="11"/>
  <c r="C180" i="11"/>
  <c r="G179" i="11"/>
  <c r="F179" i="11"/>
  <c r="E179" i="11"/>
  <c r="D179" i="11"/>
  <c r="C179" i="11"/>
  <c r="G178" i="11"/>
  <c r="F178" i="11"/>
  <c r="E178" i="11"/>
  <c r="D178" i="11"/>
  <c r="C178" i="11"/>
  <c r="G177" i="11"/>
  <c r="F177" i="11"/>
  <c r="E177" i="11"/>
  <c r="D177" i="11"/>
  <c r="C177" i="11"/>
  <c r="G176" i="11"/>
  <c r="F176" i="11"/>
  <c r="E176" i="11"/>
  <c r="D176" i="11"/>
  <c r="C176" i="11"/>
  <c r="G175" i="11"/>
  <c r="F175" i="11"/>
  <c r="E175" i="11"/>
  <c r="D175" i="11"/>
  <c r="C175" i="11"/>
  <c r="G174" i="11"/>
  <c r="F174" i="11"/>
  <c r="E174" i="11"/>
  <c r="D174" i="11"/>
  <c r="C174" i="11"/>
  <c r="G173" i="11"/>
  <c r="F173" i="11"/>
  <c r="E173" i="11"/>
  <c r="D173" i="11"/>
  <c r="C173" i="11"/>
  <c r="G172" i="11"/>
  <c r="F172" i="11"/>
  <c r="E172" i="11"/>
  <c r="D172" i="11"/>
  <c r="C172" i="11"/>
  <c r="G171" i="11"/>
  <c r="F171" i="11"/>
  <c r="E171" i="11"/>
  <c r="D171" i="11"/>
  <c r="C171" i="11"/>
  <c r="G170" i="11"/>
  <c r="F170" i="11"/>
  <c r="E170" i="11"/>
  <c r="D170" i="11"/>
  <c r="C170" i="11"/>
  <c r="G169" i="11"/>
  <c r="F169" i="11"/>
  <c r="E169" i="11"/>
  <c r="D169" i="11"/>
  <c r="C169" i="11"/>
  <c r="G168" i="11"/>
  <c r="F168" i="11"/>
  <c r="E168" i="11"/>
  <c r="D168" i="11"/>
  <c r="C168" i="11"/>
  <c r="G167" i="11"/>
  <c r="F167" i="11"/>
  <c r="E167" i="11"/>
  <c r="D167" i="11"/>
  <c r="C167" i="11"/>
  <c r="G166" i="11"/>
  <c r="F166" i="11"/>
  <c r="E166" i="11"/>
  <c r="D166" i="11"/>
  <c r="C166" i="11"/>
  <c r="G165" i="11"/>
  <c r="F165" i="11"/>
  <c r="E165" i="11"/>
  <c r="D165" i="11"/>
  <c r="C165" i="11"/>
  <c r="G164" i="11"/>
  <c r="F164" i="11"/>
  <c r="E164" i="11"/>
  <c r="D164" i="11"/>
  <c r="C164" i="11"/>
  <c r="G163" i="11"/>
  <c r="F163" i="11"/>
  <c r="E163" i="11"/>
  <c r="D163" i="11"/>
  <c r="C163" i="11"/>
  <c r="G162" i="11"/>
  <c r="F162" i="11"/>
  <c r="E162" i="11"/>
  <c r="D162" i="11"/>
  <c r="C162" i="11"/>
  <c r="G161" i="11"/>
  <c r="F161" i="11"/>
  <c r="E161" i="11"/>
  <c r="D161" i="11"/>
  <c r="C161" i="11"/>
  <c r="G160" i="11"/>
  <c r="F160" i="11"/>
  <c r="E160" i="11"/>
  <c r="D160" i="11"/>
  <c r="C160" i="11"/>
  <c r="G159" i="11"/>
  <c r="F159" i="11"/>
  <c r="E159" i="11"/>
  <c r="D159" i="11"/>
  <c r="C159" i="11"/>
  <c r="G158" i="11"/>
  <c r="F158" i="11"/>
  <c r="E158" i="11"/>
  <c r="D158" i="11"/>
  <c r="C158" i="11"/>
  <c r="G157" i="11"/>
  <c r="F157" i="11"/>
  <c r="E157" i="11"/>
  <c r="D157" i="11"/>
  <c r="C157" i="11"/>
  <c r="G156" i="11"/>
  <c r="F156" i="11"/>
  <c r="E156" i="11"/>
  <c r="D156" i="11"/>
  <c r="C156" i="11"/>
  <c r="G155" i="11"/>
  <c r="F155" i="11"/>
  <c r="E155" i="11"/>
  <c r="D155" i="11"/>
  <c r="C155" i="11"/>
  <c r="G154" i="11"/>
  <c r="F154" i="11"/>
  <c r="E154" i="11"/>
  <c r="D154" i="11"/>
  <c r="C154" i="11"/>
  <c r="G153" i="11"/>
  <c r="F153" i="11"/>
  <c r="E153" i="11"/>
  <c r="D153" i="11"/>
  <c r="C153" i="11"/>
  <c r="G152" i="11"/>
  <c r="F152" i="11"/>
  <c r="E152" i="11"/>
  <c r="D152" i="11"/>
  <c r="C152" i="11"/>
  <c r="G151" i="11"/>
  <c r="F151" i="11"/>
  <c r="E151" i="11"/>
  <c r="D151" i="11"/>
  <c r="C151" i="11"/>
  <c r="G150" i="11"/>
  <c r="F150" i="11"/>
  <c r="E150" i="11"/>
  <c r="D150" i="11"/>
  <c r="C150" i="11"/>
  <c r="G149" i="11"/>
  <c r="F149" i="11"/>
  <c r="E149" i="11"/>
  <c r="D149" i="11"/>
  <c r="C149" i="11"/>
  <c r="G148" i="11"/>
  <c r="F148" i="11"/>
  <c r="E148" i="11"/>
  <c r="D148" i="11"/>
  <c r="C148" i="11"/>
  <c r="G147" i="11"/>
  <c r="F147" i="11"/>
  <c r="E147" i="11"/>
  <c r="D147" i="11"/>
  <c r="C147" i="11"/>
  <c r="G146" i="11"/>
  <c r="F146" i="11"/>
  <c r="E146" i="11"/>
  <c r="D146" i="11"/>
  <c r="C146" i="11"/>
  <c r="G145" i="11"/>
  <c r="F145" i="11"/>
  <c r="E145" i="11"/>
  <c r="D145" i="11"/>
  <c r="C145" i="11"/>
  <c r="G144" i="11"/>
  <c r="F144" i="11"/>
  <c r="E144" i="11"/>
  <c r="D144" i="11"/>
  <c r="C144" i="11"/>
  <c r="G143" i="11"/>
  <c r="F143" i="11"/>
  <c r="E143" i="11"/>
  <c r="D143" i="11"/>
  <c r="C143" i="11"/>
  <c r="G142" i="11"/>
  <c r="F142" i="11"/>
  <c r="E142" i="11"/>
  <c r="D142" i="11"/>
  <c r="C142" i="11"/>
  <c r="G141" i="11"/>
  <c r="F141" i="11"/>
  <c r="E141" i="11"/>
  <c r="D141" i="11"/>
  <c r="C141" i="11"/>
  <c r="G140" i="11"/>
  <c r="F140" i="11"/>
  <c r="E140" i="11"/>
  <c r="D140" i="11"/>
  <c r="C140" i="11"/>
  <c r="G139" i="11"/>
  <c r="F139" i="11"/>
  <c r="E139" i="11"/>
  <c r="D139" i="11"/>
  <c r="C139" i="11"/>
  <c r="G138" i="11"/>
  <c r="F138" i="11"/>
  <c r="E138" i="11"/>
  <c r="D138" i="11"/>
  <c r="C138" i="11"/>
  <c r="G137" i="11"/>
  <c r="F137" i="11"/>
  <c r="E137" i="11"/>
  <c r="D137" i="11"/>
  <c r="C137" i="11"/>
  <c r="G136" i="11"/>
  <c r="F136" i="11"/>
  <c r="E136" i="11"/>
  <c r="D136" i="11"/>
  <c r="C136" i="11"/>
  <c r="G135" i="11"/>
  <c r="F135" i="11"/>
  <c r="E135" i="11"/>
  <c r="D135" i="11"/>
  <c r="C135" i="11"/>
  <c r="G134" i="11"/>
  <c r="F134" i="11"/>
  <c r="E134" i="11"/>
  <c r="D134" i="11"/>
  <c r="C134" i="11"/>
  <c r="G133" i="11"/>
  <c r="F133" i="11"/>
  <c r="E133" i="11"/>
  <c r="D133" i="11"/>
  <c r="C133" i="11"/>
  <c r="G132" i="11"/>
  <c r="F132" i="11"/>
  <c r="E132" i="11"/>
  <c r="D132" i="11"/>
  <c r="C132" i="11"/>
  <c r="G131" i="11"/>
  <c r="F131" i="11"/>
  <c r="E131" i="11"/>
  <c r="D131" i="11"/>
  <c r="C131" i="11"/>
  <c r="G130" i="11"/>
  <c r="F130" i="11"/>
  <c r="E130" i="11"/>
  <c r="D130" i="11"/>
  <c r="C130" i="11"/>
  <c r="G129" i="11"/>
  <c r="F129" i="11"/>
  <c r="E129" i="11"/>
  <c r="D129" i="11"/>
  <c r="C129" i="11"/>
  <c r="G128" i="11"/>
  <c r="F128" i="11"/>
  <c r="E128" i="11"/>
  <c r="D128" i="11"/>
  <c r="C128" i="11"/>
  <c r="G127" i="11"/>
  <c r="F127" i="11"/>
  <c r="E127" i="11"/>
  <c r="D127" i="11"/>
  <c r="C127" i="11"/>
  <c r="G126" i="11"/>
  <c r="F126" i="11"/>
  <c r="E126" i="11"/>
  <c r="D126" i="11"/>
  <c r="C126" i="11"/>
  <c r="G125" i="11"/>
  <c r="F125" i="11"/>
  <c r="E125" i="11"/>
  <c r="D125" i="11"/>
  <c r="C125" i="11"/>
  <c r="G124" i="11"/>
  <c r="F124" i="11"/>
  <c r="E124" i="11"/>
  <c r="D124" i="11"/>
  <c r="C124" i="11"/>
  <c r="G123" i="11"/>
  <c r="F123" i="11"/>
  <c r="E123" i="11"/>
  <c r="D123" i="11"/>
  <c r="C123" i="11"/>
  <c r="G122" i="11"/>
  <c r="F122" i="11"/>
  <c r="E122" i="11"/>
  <c r="D122" i="11"/>
  <c r="C122" i="11"/>
  <c r="G121" i="11"/>
  <c r="F121" i="11"/>
  <c r="E121" i="11"/>
  <c r="D121" i="11"/>
  <c r="C121" i="11"/>
  <c r="G120" i="11"/>
  <c r="F120" i="11"/>
  <c r="E120" i="11"/>
  <c r="D120" i="11"/>
  <c r="C120" i="11"/>
  <c r="G119" i="11"/>
  <c r="F119" i="11"/>
  <c r="E119" i="11"/>
  <c r="D119" i="11"/>
  <c r="C119" i="11"/>
  <c r="G118" i="11"/>
  <c r="F118" i="11"/>
  <c r="E118" i="11"/>
  <c r="D118" i="11"/>
  <c r="C118" i="11"/>
  <c r="G117" i="11"/>
  <c r="F117" i="11"/>
  <c r="E117" i="11"/>
  <c r="D117" i="11"/>
  <c r="C117" i="11"/>
  <c r="G116" i="11"/>
  <c r="F116" i="11"/>
  <c r="E116" i="11"/>
  <c r="D116" i="11"/>
  <c r="C116" i="11"/>
  <c r="G115" i="11"/>
  <c r="F115" i="11"/>
  <c r="E115" i="11"/>
  <c r="D115" i="11"/>
  <c r="C115" i="11"/>
  <c r="G114" i="11"/>
  <c r="F114" i="11"/>
  <c r="E114" i="11"/>
  <c r="D114" i="11"/>
  <c r="C114" i="11"/>
  <c r="G113" i="11"/>
  <c r="F113" i="11"/>
  <c r="E113" i="11"/>
  <c r="D113" i="11"/>
  <c r="C113" i="11"/>
  <c r="G112" i="11"/>
  <c r="F112" i="11"/>
  <c r="E112" i="11"/>
  <c r="D112" i="11"/>
  <c r="C112" i="11"/>
  <c r="G111" i="11"/>
  <c r="F111" i="11"/>
  <c r="E111" i="11"/>
  <c r="D111" i="11"/>
  <c r="C111" i="11"/>
  <c r="G110" i="11"/>
  <c r="F110" i="11"/>
  <c r="E110" i="11"/>
  <c r="D110" i="11"/>
  <c r="C110" i="11"/>
  <c r="G109" i="11"/>
  <c r="F109" i="11"/>
  <c r="E109" i="11"/>
  <c r="D109" i="11"/>
  <c r="C109" i="11"/>
  <c r="G108" i="11"/>
  <c r="F108" i="11"/>
  <c r="E108" i="11"/>
  <c r="D108" i="11"/>
  <c r="C108" i="11"/>
  <c r="G107" i="11"/>
  <c r="F107" i="11"/>
  <c r="E107" i="11"/>
  <c r="D107" i="11"/>
  <c r="C107" i="11"/>
  <c r="G106" i="11"/>
  <c r="F106" i="11"/>
  <c r="E106" i="11"/>
  <c r="D106" i="11"/>
  <c r="C106" i="11"/>
  <c r="G105" i="11"/>
  <c r="F105" i="11"/>
  <c r="E105" i="11"/>
  <c r="D105" i="11"/>
  <c r="C105" i="11"/>
  <c r="G104" i="11"/>
  <c r="F104" i="11"/>
  <c r="E104" i="11"/>
  <c r="D104" i="11"/>
  <c r="C104" i="11"/>
  <c r="G103" i="11"/>
  <c r="F103" i="11"/>
  <c r="E103" i="11"/>
  <c r="D103" i="11"/>
  <c r="C103" i="11"/>
  <c r="G102" i="11"/>
  <c r="F102" i="11"/>
  <c r="E102" i="11"/>
  <c r="D102" i="11"/>
  <c r="C102" i="11"/>
  <c r="G101" i="11"/>
  <c r="F101" i="11"/>
  <c r="E101" i="11"/>
  <c r="D101" i="11"/>
  <c r="C101" i="11"/>
  <c r="G100" i="11"/>
  <c r="F100" i="11"/>
  <c r="E100" i="11"/>
  <c r="D100" i="11"/>
  <c r="C100" i="11"/>
  <c r="G99" i="11"/>
  <c r="F99" i="11"/>
  <c r="E99" i="11"/>
  <c r="D99" i="11"/>
  <c r="C99" i="11"/>
  <c r="G98" i="11"/>
  <c r="F98" i="11"/>
  <c r="E98" i="11"/>
  <c r="D98" i="11"/>
  <c r="C98" i="11"/>
  <c r="G97" i="11"/>
  <c r="F97" i="11"/>
  <c r="E97" i="11"/>
  <c r="D97" i="11"/>
  <c r="C97" i="11"/>
  <c r="G96" i="11"/>
  <c r="F96" i="11"/>
  <c r="E96" i="11"/>
  <c r="D96" i="11"/>
  <c r="C96" i="11"/>
  <c r="G95" i="11"/>
  <c r="F95" i="11"/>
  <c r="E95" i="11"/>
  <c r="D95" i="11"/>
  <c r="C95" i="11"/>
  <c r="G94" i="11"/>
  <c r="F94" i="11"/>
  <c r="E94" i="11"/>
  <c r="D94" i="11"/>
  <c r="C94" i="11"/>
  <c r="G93" i="11"/>
  <c r="F93" i="11"/>
  <c r="E93" i="11"/>
  <c r="D93" i="11"/>
  <c r="C93" i="11"/>
  <c r="G92" i="11"/>
  <c r="F92" i="11"/>
  <c r="E92" i="11"/>
  <c r="D92" i="11"/>
  <c r="C92" i="11"/>
  <c r="G91" i="11"/>
  <c r="F91" i="11"/>
  <c r="E91" i="11"/>
  <c r="D91" i="11"/>
  <c r="C91" i="11"/>
  <c r="G90" i="11"/>
  <c r="F90" i="11"/>
  <c r="E90" i="11"/>
  <c r="D90" i="11"/>
  <c r="C90" i="11"/>
  <c r="G89" i="11"/>
  <c r="F89" i="11"/>
  <c r="E89" i="11"/>
  <c r="D89" i="11"/>
  <c r="C89" i="11"/>
  <c r="G88" i="11"/>
  <c r="F88" i="11"/>
  <c r="E88" i="11"/>
  <c r="D88" i="11"/>
  <c r="C88" i="11"/>
  <c r="G87" i="11"/>
  <c r="F87" i="11"/>
  <c r="E87" i="11"/>
  <c r="D87" i="11"/>
  <c r="C87" i="11"/>
  <c r="G86" i="11"/>
  <c r="F86" i="11"/>
  <c r="E86" i="11"/>
  <c r="D86" i="11"/>
  <c r="C86" i="11"/>
  <c r="G85" i="11"/>
  <c r="F85" i="11"/>
  <c r="E85" i="11"/>
  <c r="D85" i="11"/>
  <c r="C85" i="11"/>
  <c r="G84" i="11"/>
  <c r="F84" i="11"/>
  <c r="E84" i="11"/>
  <c r="D84" i="11"/>
  <c r="C84" i="11"/>
  <c r="G83" i="11"/>
  <c r="F83" i="11"/>
  <c r="E83" i="11"/>
  <c r="D83" i="11"/>
  <c r="C83" i="11"/>
  <c r="G82" i="11"/>
  <c r="F82" i="11"/>
  <c r="E82" i="11"/>
  <c r="D82" i="11"/>
  <c r="C82" i="11"/>
  <c r="G81" i="11"/>
  <c r="F81" i="11"/>
  <c r="E81" i="11"/>
  <c r="D81" i="11"/>
  <c r="C81" i="11"/>
  <c r="G80" i="11"/>
  <c r="F80" i="11"/>
  <c r="E80" i="11"/>
  <c r="D80" i="11"/>
  <c r="C80" i="11"/>
  <c r="G79" i="11"/>
  <c r="F79" i="11"/>
  <c r="E79" i="11"/>
  <c r="D79" i="11"/>
  <c r="C79" i="11"/>
  <c r="G78" i="11"/>
  <c r="F78" i="11"/>
  <c r="E78" i="11"/>
  <c r="D78" i="11"/>
  <c r="C78" i="11"/>
  <c r="G77" i="11"/>
  <c r="F77" i="11"/>
  <c r="E77" i="11"/>
  <c r="D77" i="11"/>
  <c r="C77" i="11"/>
  <c r="G76" i="11"/>
  <c r="F76" i="11"/>
  <c r="E76" i="11"/>
  <c r="D76" i="11"/>
  <c r="C76" i="11"/>
  <c r="G75" i="11"/>
  <c r="F75" i="11"/>
  <c r="E75" i="11"/>
  <c r="D75" i="11"/>
  <c r="C75" i="11"/>
  <c r="G74" i="11"/>
  <c r="F74" i="11"/>
  <c r="E74" i="11"/>
  <c r="D74" i="11"/>
  <c r="C74" i="11"/>
  <c r="G73" i="11"/>
  <c r="F73" i="11"/>
  <c r="E73" i="11"/>
  <c r="D73" i="11"/>
  <c r="C73" i="11"/>
  <c r="G72" i="11"/>
  <c r="F72" i="11"/>
  <c r="E72" i="11"/>
  <c r="D72" i="11"/>
  <c r="C72" i="11"/>
  <c r="G71" i="11"/>
  <c r="F71" i="11"/>
  <c r="E71" i="11"/>
  <c r="D71" i="11"/>
  <c r="C71" i="11"/>
  <c r="G70" i="11"/>
  <c r="F70" i="11"/>
  <c r="E70" i="11"/>
  <c r="D70" i="11"/>
  <c r="C70" i="11"/>
  <c r="G69" i="11"/>
  <c r="F69" i="11"/>
  <c r="E69" i="11"/>
  <c r="D69" i="11"/>
  <c r="C69" i="11"/>
  <c r="G68" i="11"/>
  <c r="F68" i="11"/>
  <c r="E68" i="11"/>
  <c r="D68" i="11"/>
  <c r="C68" i="11"/>
  <c r="G67" i="11"/>
  <c r="F67" i="11"/>
  <c r="E67" i="11"/>
  <c r="D67" i="11"/>
  <c r="C67" i="11"/>
  <c r="G66" i="11"/>
  <c r="F66" i="11"/>
  <c r="E66" i="11"/>
  <c r="D66" i="11"/>
  <c r="C66" i="11"/>
  <c r="G65" i="11"/>
  <c r="F65" i="11"/>
  <c r="E65" i="11"/>
  <c r="D65" i="11"/>
  <c r="C65" i="11"/>
  <c r="G64" i="11"/>
  <c r="F64" i="11"/>
  <c r="E64" i="11"/>
  <c r="D64" i="11"/>
  <c r="C64" i="11"/>
  <c r="G63" i="11"/>
  <c r="F63" i="11"/>
  <c r="E63" i="11"/>
  <c r="D63" i="11"/>
  <c r="C63" i="11"/>
  <c r="G62" i="11"/>
  <c r="F62" i="11"/>
  <c r="E62" i="11"/>
  <c r="D62" i="11"/>
  <c r="C62" i="11"/>
  <c r="G61" i="11"/>
  <c r="F61" i="11"/>
  <c r="E61" i="11"/>
  <c r="D61" i="11"/>
  <c r="C61" i="11"/>
  <c r="G60" i="11"/>
  <c r="F60" i="11"/>
  <c r="E60" i="11"/>
  <c r="D60" i="11"/>
  <c r="C60" i="11"/>
  <c r="G59" i="11"/>
  <c r="F59" i="11"/>
  <c r="E59" i="11"/>
  <c r="D59" i="11"/>
  <c r="C59" i="11"/>
  <c r="G58" i="11"/>
  <c r="F58" i="11"/>
  <c r="E58" i="11"/>
  <c r="D58" i="11"/>
  <c r="C58" i="11"/>
  <c r="G57" i="11"/>
  <c r="F57" i="11"/>
  <c r="E57" i="11"/>
  <c r="D57" i="11"/>
  <c r="C57" i="11"/>
  <c r="G56" i="11"/>
  <c r="F56" i="11"/>
  <c r="E56" i="11"/>
  <c r="D56" i="11"/>
  <c r="C56" i="11"/>
  <c r="G55" i="11"/>
  <c r="F55" i="11"/>
  <c r="E55" i="11"/>
  <c r="D55" i="11"/>
  <c r="C55" i="11"/>
  <c r="G54" i="11"/>
  <c r="F54" i="11"/>
  <c r="E54" i="11"/>
  <c r="D54" i="11"/>
  <c r="C54" i="11"/>
  <c r="I3" i="11"/>
  <c r="I4" i="11" s="1"/>
  <c r="I5" i="11" s="1"/>
  <c r="I6" i="11" s="1"/>
  <c r="I7" i="11" s="1"/>
  <c r="I8" i="11" s="1"/>
  <c r="I9" i="11" s="1"/>
  <c r="I10" i="11" s="1"/>
  <c r="I11" i="11" s="1"/>
  <c r="I12" i="11" s="1"/>
  <c r="I13" i="11" s="1"/>
  <c r="I14" i="11" s="1"/>
  <c r="I15" i="11" s="1"/>
  <c r="I16" i="11" s="1"/>
  <c r="I17" i="11" s="1"/>
  <c r="I18" i="11" s="1"/>
  <c r="I19" i="11" s="1"/>
  <c r="I20" i="11" s="1"/>
  <c r="I21" i="11" s="1"/>
  <c r="I22" i="11" s="1"/>
  <c r="I23" i="11" s="1"/>
  <c r="I24" i="11" s="1"/>
  <c r="I25" i="11" s="1"/>
  <c r="I26" i="11" s="1"/>
  <c r="I27" i="11" s="1"/>
  <c r="I28" i="11" s="1"/>
  <c r="I29" i="11" s="1"/>
  <c r="I30" i="11" s="1"/>
  <c r="I31" i="11" s="1"/>
  <c r="I32" i="11" s="1"/>
  <c r="I33" i="11" s="1"/>
  <c r="I34" i="11" s="1"/>
  <c r="I35" i="11" s="1"/>
  <c r="I36" i="11" s="1"/>
  <c r="I37" i="11" s="1"/>
  <c r="I38" i="11" s="1"/>
  <c r="I39" i="11" s="1"/>
  <c r="I40" i="11" s="1"/>
  <c r="I41" i="11" s="1"/>
  <c r="I42" i="11" s="1"/>
  <c r="I43" i="11" s="1"/>
  <c r="I44" i="11" s="1"/>
  <c r="I45" i="11" s="1"/>
  <c r="I46" i="11" s="1"/>
  <c r="I47" i="11" s="1"/>
  <c r="I48" i="11" s="1"/>
  <c r="I49" i="11" s="1"/>
  <c r="I50" i="11" s="1"/>
  <c r="I51" i="11" s="1"/>
  <c r="I52" i="11" s="1"/>
  <c r="I53" i="11" s="1"/>
  <c r="H3" i="11"/>
  <c r="H4" i="11" s="1"/>
  <c r="H5" i="11" s="1"/>
  <c r="H6" i="11" s="1"/>
  <c r="H7" i="11" s="1"/>
  <c r="H8" i="11" s="1"/>
  <c r="H9" i="11" s="1"/>
  <c r="H10" i="11" s="1"/>
  <c r="H11" i="11" s="1"/>
  <c r="H12" i="11" s="1"/>
  <c r="H13" i="11" s="1"/>
  <c r="H14" i="11" s="1"/>
  <c r="H15" i="11" s="1"/>
  <c r="H16" i="11" s="1"/>
  <c r="H17" i="11" s="1"/>
  <c r="H18" i="11" s="1"/>
  <c r="H19" i="11" s="1"/>
  <c r="H20" i="11" s="1"/>
  <c r="H21" i="11" s="1"/>
  <c r="H22" i="11" s="1"/>
  <c r="H23" i="11" s="1"/>
  <c r="H24" i="11" s="1"/>
  <c r="H25" i="11" s="1"/>
  <c r="H26" i="11" s="1"/>
  <c r="H27" i="11" s="1"/>
  <c r="H28" i="11" s="1"/>
  <c r="H29" i="11" s="1"/>
  <c r="H30" i="11" s="1"/>
  <c r="H31" i="11" s="1"/>
  <c r="H32" i="11" s="1"/>
  <c r="H33" i="11" s="1"/>
  <c r="H34" i="11" s="1"/>
  <c r="H35" i="11" s="1"/>
  <c r="H36" i="11" s="1"/>
  <c r="H37" i="11" s="1"/>
  <c r="H38" i="11" s="1"/>
  <c r="H39" i="11" s="1"/>
  <c r="H40" i="11" s="1"/>
  <c r="H41" i="11" s="1"/>
  <c r="H42" i="11" s="1"/>
  <c r="H43" i="11" s="1"/>
  <c r="H44" i="11" s="1"/>
  <c r="H45" i="11" s="1"/>
  <c r="H46" i="11" s="1"/>
  <c r="H47" i="11" s="1"/>
  <c r="H48" i="11" s="1"/>
  <c r="H49" i="11" s="1"/>
  <c r="H50" i="11" s="1"/>
  <c r="H51" i="11" s="1"/>
  <c r="H52" i="11" s="1"/>
  <c r="H53" i="11" s="1"/>
  <c r="B3" i="11"/>
  <c r="B4" i="11" s="1"/>
  <c r="B5" i="11" s="1"/>
  <c r="B6" i="11" s="1"/>
  <c r="B7" i="11" s="1"/>
  <c r="B8" i="11" s="1"/>
  <c r="B9" i="11" s="1"/>
  <c r="B10" i="11" s="1"/>
  <c r="B11" i="11" s="1"/>
  <c r="B12" i="11" s="1"/>
  <c r="B13" i="11" s="1"/>
  <c r="B14" i="11" s="1"/>
  <c r="B15" i="11" s="1"/>
  <c r="B16" i="11" s="1"/>
  <c r="B17" i="11" s="1"/>
  <c r="B18" i="11" s="1"/>
  <c r="B19" i="11" s="1"/>
  <c r="B20" i="11" s="1"/>
  <c r="B21" i="11" s="1"/>
  <c r="B22" i="11" s="1"/>
  <c r="B23" i="11" s="1"/>
  <c r="B24" i="11" s="1"/>
  <c r="B25" i="11" s="1"/>
  <c r="B26" i="11" s="1"/>
  <c r="B27" i="11" s="1"/>
  <c r="B28" i="11" s="1"/>
  <c r="B29" i="11" s="1"/>
  <c r="B30" i="11" s="1"/>
  <c r="B31" i="11" s="1"/>
  <c r="B32" i="11" s="1"/>
  <c r="B33" i="11" s="1"/>
  <c r="B34" i="11" s="1"/>
  <c r="B35" i="11" s="1"/>
  <c r="B36" i="11" s="1"/>
  <c r="B37" i="11" s="1"/>
  <c r="B38" i="11" s="1"/>
  <c r="B39" i="11" s="1"/>
  <c r="B40" i="11" s="1"/>
  <c r="B41" i="11" s="1"/>
  <c r="B42" i="11" s="1"/>
  <c r="B43" i="11" s="1"/>
  <c r="B44" i="11" s="1"/>
  <c r="B45" i="11" s="1"/>
  <c r="B46" i="11" s="1"/>
  <c r="B47" i="11" s="1"/>
  <c r="B48" i="11" s="1"/>
  <c r="B49" i="11" s="1"/>
  <c r="B50" i="11" s="1"/>
  <c r="B51" i="11" s="1"/>
  <c r="B52" i="11" s="1"/>
  <c r="B53" i="11" s="1"/>
  <c r="B54" i="11" s="1"/>
  <c r="B55" i="11" s="1"/>
  <c r="B56" i="11" s="1"/>
  <c r="B57" i="11" s="1"/>
  <c r="B58" i="11" s="1"/>
  <c r="B59" i="11" s="1"/>
  <c r="B60" i="11" s="1"/>
  <c r="B61" i="11" s="1"/>
  <c r="B62" i="11" s="1"/>
  <c r="B63" i="11" s="1"/>
  <c r="B64" i="11" s="1"/>
  <c r="B65" i="11" s="1"/>
  <c r="B66" i="11" s="1"/>
  <c r="B67" i="11" s="1"/>
  <c r="B68" i="11" s="1"/>
  <c r="B69" i="11" s="1"/>
  <c r="B70" i="11" s="1"/>
  <c r="B71" i="11" s="1"/>
  <c r="B72" i="11" s="1"/>
  <c r="B73" i="11" s="1"/>
  <c r="B74" i="11" s="1"/>
  <c r="B75" i="11" s="1"/>
  <c r="B76" i="11" s="1"/>
  <c r="B77" i="11" s="1"/>
  <c r="B78" i="11" s="1"/>
  <c r="B79" i="11" s="1"/>
  <c r="B80" i="11" s="1"/>
  <c r="B81" i="11" s="1"/>
  <c r="B82" i="11" s="1"/>
  <c r="B83" i="11" s="1"/>
  <c r="B84" i="11" s="1"/>
  <c r="B85" i="11" s="1"/>
  <c r="B86" i="11" s="1"/>
  <c r="B87" i="11" s="1"/>
  <c r="B88" i="11" s="1"/>
  <c r="B89" i="11" s="1"/>
  <c r="B90" i="11" s="1"/>
  <c r="B91" i="11" s="1"/>
  <c r="B92" i="11" s="1"/>
  <c r="B93" i="11" s="1"/>
  <c r="B94" i="11" s="1"/>
  <c r="B95" i="11" s="1"/>
  <c r="B96" i="11" s="1"/>
  <c r="B97" i="11" s="1"/>
  <c r="B98" i="11" s="1"/>
  <c r="B99" i="11" s="1"/>
  <c r="B100" i="11" s="1"/>
  <c r="B101" i="11" s="1"/>
  <c r="B102" i="11" s="1"/>
  <c r="B103" i="11" s="1"/>
  <c r="B104" i="11" s="1"/>
  <c r="B105" i="11" s="1"/>
  <c r="B106" i="11" s="1"/>
  <c r="B107" i="11" s="1"/>
  <c r="B108" i="11" s="1"/>
  <c r="B109" i="11" s="1"/>
  <c r="B110" i="11" s="1"/>
  <c r="B111" i="11" s="1"/>
  <c r="B112" i="11" s="1"/>
  <c r="B113" i="11" s="1"/>
  <c r="B114" i="11" s="1"/>
  <c r="B115" i="11" s="1"/>
  <c r="B116" i="11" s="1"/>
  <c r="B117" i="11" s="1"/>
  <c r="B118" i="11" s="1"/>
  <c r="B119" i="11" s="1"/>
  <c r="B120" i="11" s="1"/>
  <c r="B121" i="11" s="1"/>
  <c r="B122" i="11" s="1"/>
  <c r="B123" i="11" s="1"/>
  <c r="B124" i="11" s="1"/>
  <c r="B125" i="11" s="1"/>
  <c r="B126" i="11" s="1"/>
  <c r="B127" i="11" s="1"/>
  <c r="B128" i="11" s="1"/>
  <c r="B129" i="11" s="1"/>
  <c r="B130" i="11" s="1"/>
  <c r="B131" i="11" s="1"/>
  <c r="B132" i="11" s="1"/>
  <c r="B133" i="11" s="1"/>
  <c r="B134" i="11" s="1"/>
  <c r="B135" i="11" s="1"/>
  <c r="B136" i="11" s="1"/>
  <c r="B137" i="11" s="1"/>
  <c r="B138" i="11" s="1"/>
  <c r="B139" i="11" s="1"/>
  <c r="B140" i="11" s="1"/>
  <c r="B141" i="11" s="1"/>
  <c r="B142" i="11" s="1"/>
  <c r="B143" i="11" s="1"/>
  <c r="B144" i="11" s="1"/>
  <c r="B145" i="11" s="1"/>
  <c r="B146" i="11" s="1"/>
  <c r="B147" i="11" s="1"/>
  <c r="B148" i="11" s="1"/>
  <c r="B149" i="11" s="1"/>
  <c r="B150" i="11" s="1"/>
  <c r="B151" i="11" s="1"/>
  <c r="B152" i="11" s="1"/>
  <c r="B153" i="11" s="1"/>
  <c r="B154" i="11" s="1"/>
  <c r="B155" i="11" s="1"/>
  <c r="B156" i="11" s="1"/>
  <c r="B157" i="11" s="1"/>
  <c r="B158" i="11" s="1"/>
  <c r="B159" i="11" s="1"/>
  <c r="B160" i="11" s="1"/>
  <c r="B161" i="11" s="1"/>
  <c r="B162" i="11" s="1"/>
  <c r="B163" i="11" s="1"/>
  <c r="B164" i="11" s="1"/>
  <c r="B165" i="11" s="1"/>
  <c r="B166" i="11" s="1"/>
  <c r="B167" i="11" s="1"/>
  <c r="B168" i="11" s="1"/>
  <c r="B169" i="11" s="1"/>
  <c r="B170" i="11" s="1"/>
  <c r="B171" i="11" s="1"/>
  <c r="B172" i="11" s="1"/>
  <c r="B173" i="11" s="1"/>
  <c r="B174" i="11" s="1"/>
  <c r="B175" i="11" s="1"/>
  <c r="B176" i="11" s="1"/>
  <c r="B177" i="11" s="1"/>
  <c r="B178" i="11" s="1"/>
  <c r="B179" i="11" s="1"/>
  <c r="B180" i="11" s="1"/>
  <c r="B181" i="11" s="1"/>
  <c r="B182" i="11" s="1"/>
  <c r="B183" i="11" s="1"/>
  <c r="B184" i="11" s="1"/>
  <c r="B185" i="11" s="1"/>
  <c r="B186" i="11" s="1"/>
  <c r="B187" i="11" s="1"/>
  <c r="B188" i="11" s="1"/>
  <c r="B189" i="11" s="1"/>
  <c r="B190" i="11" s="1"/>
  <c r="B191" i="11" s="1"/>
  <c r="B192" i="11" s="1"/>
  <c r="B193" i="11" s="1"/>
  <c r="B194" i="11" s="1"/>
  <c r="B195" i="11" s="1"/>
  <c r="B196" i="11" s="1"/>
  <c r="B197" i="11" s="1"/>
  <c r="B198" i="11" s="1"/>
  <c r="B199" i="11" s="1"/>
  <c r="B200" i="11" s="1"/>
  <c r="A3" i="11"/>
  <c r="A4" i="11" s="1"/>
  <c r="A5" i="11" s="1"/>
  <c r="A6" i="11" s="1"/>
  <c r="A7" i="11" s="1"/>
  <c r="A8" i="11" s="1"/>
  <c r="A9" i="11" s="1"/>
  <c r="A10" i="11" s="1"/>
  <c r="A11" i="11" s="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24" i="11" s="1"/>
  <c r="A25" i="11" s="1"/>
  <c r="A26" i="11" s="1"/>
  <c r="A27" i="11" s="1"/>
  <c r="A28" i="11" s="1"/>
  <c r="A29" i="11" s="1"/>
  <c r="A30" i="11" s="1"/>
  <c r="A31" i="11" s="1"/>
  <c r="A32" i="11" s="1"/>
  <c r="A33" i="11" s="1"/>
  <c r="A34" i="11" s="1"/>
  <c r="A35" i="11" s="1"/>
  <c r="A36" i="11" s="1"/>
  <c r="A37" i="11" s="1"/>
  <c r="A38" i="11" s="1"/>
  <c r="A39" i="11" s="1"/>
  <c r="A40" i="11" s="1"/>
  <c r="A41" i="11" s="1"/>
  <c r="A42" i="11" s="1"/>
  <c r="A43" i="11" s="1"/>
  <c r="A44" i="11" s="1"/>
  <c r="A45" i="11" s="1"/>
  <c r="A46" i="11" s="1"/>
  <c r="A47" i="11" s="1"/>
  <c r="A48" i="11" s="1"/>
  <c r="A49" i="11" s="1"/>
  <c r="A50" i="11" s="1"/>
  <c r="A51" i="11" s="1"/>
  <c r="A52" i="11" s="1"/>
  <c r="A53" i="11" s="1"/>
  <c r="A54" i="11" s="1"/>
  <c r="A55" i="11" s="1"/>
  <c r="A56" i="11" s="1"/>
  <c r="A57" i="11" s="1"/>
  <c r="A58" i="11" s="1"/>
  <c r="A59" i="11" s="1"/>
  <c r="A60" i="11" s="1"/>
  <c r="A61" i="11" s="1"/>
  <c r="A62" i="11" s="1"/>
  <c r="A63" i="11" s="1"/>
  <c r="A64" i="11" s="1"/>
  <c r="A65" i="11" s="1"/>
  <c r="A66" i="11" s="1"/>
  <c r="A67" i="11" s="1"/>
  <c r="A68" i="11" s="1"/>
  <c r="A69" i="11" s="1"/>
  <c r="A70" i="11" s="1"/>
  <c r="A71" i="11" s="1"/>
  <c r="A72" i="11" s="1"/>
  <c r="A73" i="11" s="1"/>
  <c r="A74" i="11" s="1"/>
  <c r="A75" i="11" s="1"/>
  <c r="A76" i="11" s="1"/>
  <c r="A77" i="11" s="1"/>
  <c r="A78" i="11" s="1"/>
  <c r="A79" i="11" s="1"/>
  <c r="A80" i="11" s="1"/>
  <c r="A81" i="11" s="1"/>
  <c r="A82" i="11" s="1"/>
  <c r="A83" i="11" s="1"/>
  <c r="A84" i="11" s="1"/>
  <c r="A85" i="11" s="1"/>
  <c r="A86" i="11" s="1"/>
  <c r="A87" i="11" s="1"/>
  <c r="A88" i="11" s="1"/>
  <c r="A89" i="11" s="1"/>
  <c r="A90" i="11" s="1"/>
  <c r="A91" i="11" s="1"/>
  <c r="A92" i="11" s="1"/>
  <c r="A93" i="11" s="1"/>
  <c r="A94" i="11" s="1"/>
  <c r="A95" i="11" s="1"/>
  <c r="A96" i="11" s="1"/>
  <c r="A97" i="11" s="1"/>
  <c r="A98" i="11" s="1"/>
  <c r="A99" i="11" s="1"/>
  <c r="A100" i="11" s="1"/>
  <c r="A101" i="11" s="1"/>
  <c r="A102" i="11" s="1"/>
  <c r="A103" i="11" s="1"/>
  <c r="A104" i="11" s="1"/>
  <c r="A105" i="11" s="1"/>
  <c r="A106" i="11" s="1"/>
  <c r="A107" i="11" s="1"/>
  <c r="A108" i="11" s="1"/>
  <c r="A109" i="11" s="1"/>
  <c r="A110" i="11" s="1"/>
  <c r="A111" i="11" s="1"/>
  <c r="A112" i="11" s="1"/>
  <c r="A113" i="11" s="1"/>
  <c r="A114" i="11" s="1"/>
  <c r="A115" i="11" s="1"/>
  <c r="A116" i="11" s="1"/>
  <c r="A117" i="11" s="1"/>
  <c r="A118" i="11" s="1"/>
  <c r="A119" i="11" s="1"/>
  <c r="A120" i="11" s="1"/>
  <c r="A121" i="11" s="1"/>
  <c r="A122" i="11" s="1"/>
  <c r="A123" i="11" s="1"/>
  <c r="A124" i="11" s="1"/>
  <c r="A125" i="11" s="1"/>
  <c r="A126" i="11" s="1"/>
  <c r="A127" i="11" s="1"/>
  <c r="A128" i="11" s="1"/>
  <c r="A129" i="11" s="1"/>
  <c r="A130" i="11" s="1"/>
  <c r="A131" i="11" s="1"/>
  <c r="A132" i="11" s="1"/>
  <c r="A133" i="11" s="1"/>
  <c r="A134" i="11" s="1"/>
  <c r="A135" i="11" s="1"/>
  <c r="A136" i="11" s="1"/>
  <c r="A137" i="11" s="1"/>
  <c r="A138" i="11" s="1"/>
  <c r="A139" i="11" s="1"/>
  <c r="A140" i="11" s="1"/>
  <c r="A141" i="11" s="1"/>
  <c r="A142" i="11" s="1"/>
  <c r="A143" i="11" s="1"/>
  <c r="A144" i="11" s="1"/>
  <c r="A145" i="11" s="1"/>
  <c r="A146" i="11" s="1"/>
  <c r="A147" i="11" s="1"/>
  <c r="A148" i="11" s="1"/>
  <c r="A149" i="11" s="1"/>
  <c r="A150" i="11" s="1"/>
  <c r="A151" i="11" s="1"/>
  <c r="A152" i="11" s="1"/>
  <c r="A153" i="11" s="1"/>
  <c r="A154" i="11" s="1"/>
  <c r="A155" i="11" s="1"/>
  <c r="A156" i="11" s="1"/>
  <c r="A157" i="11" s="1"/>
  <c r="A158" i="11" s="1"/>
  <c r="A159" i="11" s="1"/>
  <c r="A160" i="11" s="1"/>
  <c r="A161" i="11" s="1"/>
  <c r="A162" i="11" s="1"/>
  <c r="A163" i="11" s="1"/>
  <c r="A164" i="11" s="1"/>
  <c r="A165" i="11" s="1"/>
  <c r="A166" i="11" s="1"/>
  <c r="A167" i="11" s="1"/>
  <c r="A168" i="11" s="1"/>
  <c r="A169" i="11" s="1"/>
  <c r="A170" i="11" s="1"/>
  <c r="A171" i="11" s="1"/>
  <c r="A172" i="11" s="1"/>
  <c r="A173" i="11" s="1"/>
  <c r="A174" i="11" s="1"/>
  <c r="A175" i="11" s="1"/>
  <c r="A176" i="11" s="1"/>
  <c r="A177" i="11" s="1"/>
  <c r="A178" i="11" s="1"/>
  <c r="A179" i="11" s="1"/>
  <c r="A180" i="11" s="1"/>
  <c r="A181" i="11" s="1"/>
  <c r="A182" i="11" s="1"/>
  <c r="A183" i="11" s="1"/>
  <c r="A184" i="11" s="1"/>
  <c r="A185" i="11" s="1"/>
  <c r="A186" i="11" s="1"/>
  <c r="A187" i="11" s="1"/>
  <c r="A188" i="11" s="1"/>
  <c r="A189" i="11" s="1"/>
  <c r="A190" i="11" s="1"/>
  <c r="A191" i="11" s="1"/>
  <c r="A192" i="11" s="1"/>
  <c r="A193" i="11" s="1"/>
  <c r="A194" i="11" s="1"/>
  <c r="A195" i="11" s="1"/>
  <c r="A196" i="11" s="1"/>
  <c r="A197" i="11" s="1"/>
  <c r="A198" i="11" s="1"/>
  <c r="A199" i="11" s="1"/>
  <c r="A200" i="11" s="1"/>
  <c r="A55" i="10"/>
  <c r="A56" i="10" s="1"/>
  <c r="A57" i="10" s="1"/>
  <c r="A58" i="10" s="1"/>
  <c r="A59" i="10" s="1"/>
  <c r="A60" i="10" s="1"/>
  <c r="A61" i="10" s="1"/>
  <c r="A62" i="10" s="1"/>
  <c r="A63" i="10" s="1"/>
  <c r="A64" i="10" s="1"/>
  <c r="A65" i="10" s="1"/>
  <c r="A66" i="10" s="1"/>
  <c r="A67" i="10" s="1"/>
  <c r="A68" i="10" s="1"/>
  <c r="A69" i="10" s="1"/>
  <c r="A70" i="10" s="1"/>
  <c r="A71" i="10" s="1"/>
  <c r="A72" i="10" s="1"/>
  <c r="A73" i="10" s="1"/>
  <c r="A74" i="10" s="1"/>
  <c r="A75" i="10" s="1"/>
  <c r="A76" i="10" s="1"/>
  <c r="A77" i="10" s="1"/>
  <c r="A78" i="10" s="1"/>
  <c r="A79" i="10" s="1"/>
  <c r="A80" i="10" s="1"/>
  <c r="A81" i="10" s="1"/>
  <c r="A82" i="10" s="1"/>
  <c r="A83" i="10" s="1"/>
  <c r="A84" i="10" s="1"/>
  <c r="A85" i="10" s="1"/>
  <c r="A86" i="10" s="1"/>
  <c r="A87" i="10" s="1"/>
  <c r="A88" i="10" s="1"/>
  <c r="A89" i="10" s="1"/>
  <c r="A90" i="10" s="1"/>
  <c r="A91" i="10" s="1"/>
  <c r="A92" i="10" s="1"/>
  <c r="A93" i="10" s="1"/>
  <c r="A94" i="10" s="1"/>
  <c r="A95" i="10" s="1"/>
  <c r="A96" i="10" s="1"/>
  <c r="A97" i="10" s="1"/>
  <c r="A98" i="10" s="1"/>
  <c r="A99" i="10" s="1"/>
  <c r="A100" i="10" s="1"/>
  <c r="A101" i="10" s="1"/>
  <c r="A102" i="10" s="1"/>
  <c r="A103" i="10" s="1"/>
  <c r="A104" i="10" s="1"/>
  <c r="A105" i="10" s="1"/>
  <c r="A106" i="10" s="1"/>
  <c r="A107" i="10" s="1"/>
  <c r="A108" i="10" s="1"/>
  <c r="A109" i="10" s="1"/>
  <c r="A110" i="10" s="1"/>
  <c r="A111" i="10" s="1"/>
  <c r="A112" i="10" s="1"/>
  <c r="A113" i="10" s="1"/>
  <c r="A114" i="10" s="1"/>
  <c r="A115" i="10" s="1"/>
  <c r="A116" i="10" s="1"/>
  <c r="A117" i="10" s="1"/>
  <c r="A118" i="10" s="1"/>
  <c r="A119" i="10" s="1"/>
  <c r="A120" i="10" s="1"/>
  <c r="A121" i="10" s="1"/>
  <c r="A122" i="10" s="1"/>
  <c r="A123" i="10" s="1"/>
  <c r="A124" i="10" s="1"/>
  <c r="A125" i="10" s="1"/>
  <c r="A126" i="10" s="1"/>
  <c r="A127" i="10" s="1"/>
  <c r="A128" i="10" s="1"/>
  <c r="A129" i="10" s="1"/>
  <c r="A130" i="10" s="1"/>
  <c r="A131" i="10" s="1"/>
  <c r="A132" i="10" s="1"/>
  <c r="A133" i="10" s="1"/>
  <c r="A134" i="10" s="1"/>
  <c r="A135" i="10" s="1"/>
  <c r="A136" i="10" s="1"/>
  <c r="A137" i="10" s="1"/>
  <c r="A138" i="10" s="1"/>
  <c r="A139" i="10" s="1"/>
  <c r="A140" i="10" s="1"/>
  <c r="A141" i="10" s="1"/>
  <c r="A142" i="10" s="1"/>
  <c r="A143" i="10" s="1"/>
  <c r="A144" i="10" s="1"/>
  <c r="A145" i="10" s="1"/>
  <c r="A146" i="10" s="1"/>
  <c r="A147" i="10" s="1"/>
  <c r="A148" i="10" s="1"/>
  <c r="A149" i="10" s="1"/>
  <c r="A150" i="10" s="1"/>
  <c r="A151" i="10" s="1"/>
  <c r="A152" i="10" s="1"/>
  <c r="A153" i="10" s="1"/>
  <c r="A154" i="10" s="1"/>
  <c r="A155" i="10" s="1"/>
  <c r="A156" i="10" s="1"/>
  <c r="A157" i="10" s="1"/>
  <c r="A158" i="10" s="1"/>
  <c r="A159" i="10" s="1"/>
  <c r="A160" i="10" s="1"/>
  <c r="A161" i="10" s="1"/>
  <c r="A162" i="10" s="1"/>
  <c r="A163" i="10" s="1"/>
  <c r="A164" i="10" s="1"/>
  <c r="A165" i="10" s="1"/>
  <c r="A166" i="10" s="1"/>
  <c r="A167" i="10" s="1"/>
  <c r="A168" i="10" s="1"/>
  <c r="A169" i="10" s="1"/>
  <c r="A170" i="10" s="1"/>
  <c r="A171" i="10" s="1"/>
  <c r="A172" i="10" s="1"/>
  <c r="A173" i="10" s="1"/>
  <c r="A174" i="10" s="1"/>
  <c r="A175" i="10" s="1"/>
  <c r="A176" i="10" s="1"/>
  <c r="A177" i="10" s="1"/>
  <c r="A178" i="10" s="1"/>
  <c r="A179" i="10" s="1"/>
  <c r="A180" i="10" s="1"/>
  <c r="A181" i="10" s="1"/>
  <c r="A182" i="10" s="1"/>
  <c r="A183" i="10" s="1"/>
  <c r="A184" i="10" s="1"/>
  <c r="A185" i="10" s="1"/>
  <c r="A186" i="10" s="1"/>
  <c r="A187" i="10" s="1"/>
  <c r="A188" i="10" s="1"/>
  <c r="A189" i="10" s="1"/>
  <c r="A190" i="10" s="1"/>
  <c r="A191" i="10" s="1"/>
  <c r="A192" i="10" s="1"/>
  <c r="A193" i="10" s="1"/>
  <c r="A194" i="10" s="1"/>
  <c r="A195" i="10" s="1"/>
  <c r="A196" i="10" s="1"/>
  <c r="A197" i="10" s="1"/>
  <c r="A198" i="10" s="1"/>
  <c r="A199" i="10" s="1"/>
  <c r="A200" i="10" s="1"/>
  <c r="I4" i="10"/>
  <c r="I5" i="10" s="1"/>
  <c r="I6" i="10" s="1"/>
  <c r="I7" i="10" s="1"/>
  <c r="I8" i="10" s="1"/>
  <c r="I9" i="10" s="1"/>
  <c r="I10" i="10" s="1"/>
  <c r="I11" i="10" s="1"/>
  <c r="I12" i="10" s="1"/>
  <c r="I13" i="10" s="1"/>
  <c r="I14" i="10" s="1"/>
  <c r="I15" i="10" s="1"/>
  <c r="I16" i="10" s="1"/>
  <c r="I17" i="10" s="1"/>
  <c r="I18" i="10" s="1"/>
  <c r="I19" i="10" s="1"/>
  <c r="I20" i="10" s="1"/>
  <c r="I21" i="10" s="1"/>
  <c r="I22" i="10" s="1"/>
  <c r="I23" i="10" s="1"/>
  <c r="I24" i="10" s="1"/>
  <c r="I25" i="10" s="1"/>
  <c r="I26" i="10" s="1"/>
  <c r="I27" i="10" s="1"/>
  <c r="I28" i="10" s="1"/>
  <c r="I29" i="10" s="1"/>
  <c r="I30" i="10" s="1"/>
  <c r="I31" i="10" s="1"/>
  <c r="I32" i="10" s="1"/>
  <c r="I33" i="10" s="1"/>
  <c r="I34" i="10" s="1"/>
  <c r="I35" i="10" s="1"/>
  <c r="I36" i="10" s="1"/>
  <c r="I37" i="10" s="1"/>
  <c r="I38" i="10" s="1"/>
  <c r="I39" i="10" s="1"/>
  <c r="I40" i="10" s="1"/>
  <c r="I41" i="10" s="1"/>
  <c r="I42" i="10" s="1"/>
  <c r="I43" i="10" s="1"/>
  <c r="I44" i="10" s="1"/>
  <c r="I45" i="10" s="1"/>
  <c r="I46" i="10" s="1"/>
  <c r="I47" i="10" s="1"/>
  <c r="I48" i="10" s="1"/>
  <c r="I49" i="10" s="1"/>
  <c r="I50" i="10" s="1"/>
  <c r="I51" i="10" s="1"/>
  <c r="I52" i="10" s="1"/>
  <c r="I53" i="10" s="1"/>
  <c r="H4" i="10"/>
  <c r="H5" i="10" s="1"/>
  <c r="H6" i="10" s="1"/>
  <c r="H7" i="10" s="1"/>
  <c r="H8" i="10" s="1"/>
  <c r="H9" i="10" s="1"/>
  <c r="H10" i="10" s="1"/>
  <c r="H11" i="10" s="1"/>
  <c r="H12" i="10" s="1"/>
  <c r="H13" i="10" s="1"/>
  <c r="H14" i="10" s="1"/>
  <c r="H15" i="10" s="1"/>
  <c r="H16" i="10" s="1"/>
  <c r="H17" i="10" s="1"/>
  <c r="H18" i="10" s="1"/>
  <c r="H19" i="10" s="1"/>
  <c r="H20" i="10" s="1"/>
  <c r="H21" i="10" s="1"/>
  <c r="H22" i="10" s="1"/>
  <c r="H23" i="10" s="1"/>
  <c r="H24" i="10" s="1"/>
  <c r="H25" i="10" s="1"/>
  <c r="H26" i="10" s="1"/>
  <c r="H27" i="10" s="1"/>
  <c r="H28" i="10" s="1"/>
  <c r="H29" i="10" s="1"/>
  <c r="H30" i="10" s="1"/>
  <c r="H31" i="10" s="1"/>
  <c r="H32" i="10" s="1"/>
  <c r="H33" i="10" s="1"/>
  <c r="H34" i="10" s="1"/>
  <c r="H35" i="10" s="1"/>
  <c r="H36" i="10" s="1"/>
  <c r="H37" i="10" s="1"/>
  <c r="H38" i="10" s="1"/>
  <c r="H39" i="10" s="1"/>
  <c r="H40" i="10" s="1"/>
  <c r="H41" i="10" s="1"/>
  <c r="H42" i="10" s="1"/>
  <c r="H43" i="10" s="1"/>
  <c r="H44" i="10" s="1"/>
  <c r="H45" i="10" s="1"/>
  <c r="H46" i="10" s="1"/>
  <c r="H47" i="10" s="1"/>
  <c r="H48" i="10" s="1"/>
  <c r="H49" i="10" s="1"/>
  <c r="H50" i="10" s="1"/>
  <c r="H51" i="10" s="1"/>
  <c r="H52" i="10" s="1"/>
  <c r="H53" i="10" s="1"/>
  <c r="B4" i="10"/>
  <c r="B5" i="10" s="1"/>
  <c r="B6" i="10" s="1"/>
  <c r="B7" i="10" s="1"/>
  <c r="B8" i="10" s="1"/>
  <c r="B9" i="10" s="1"/>
  <c r="B10" i="10" s="1"/>
  <c r="B11" i="10" s="1"/>
  <c r="B12" i="10" s="1"/>
  <c r="B13" i="10" s="1"/>
  <c r="B14" i="10" s="1"/>
  <c r="B15" i="10" s="1"/>
  <c r="B16" i="10" s="1"/>
  <c r="B17" i="10" s="1"/>
  <c r="B18" i="10" s="1"/>
  <c r="B19" i="10" s="1"/>
  <c r="B20" i="10" s="1"/>
  <c r="B21" i="10" s="1"/>
  <c r="B22" i="10" s="1"/>
  <c r="B23" i="10" s="1"/>
  <c r="B24" i="10" s="1"/>
  <c r="B25" i="10" s="1"/>
  <c r="B26" i="10" s="1"/>
  <c r="B27" i="10" s="1"/>
  <c r="B28" i="10" s="1"/>
  <c r="B29" i="10" s="1"/>
  <c r="B30" i="10" s="1"/>
  <c r="B31" i="10" s="1"/>
  <c r="B32" i="10" s="1"/>
  <c r="B33" i="10" s="1"/>
  <c r="B34" i="10" s="1"/>
  <c r="B35" i="10" s="1"/>
  <c r="B36" i="10" s="1"/>
  <c r="B37" i="10" s="1"/>
  <c r="B38" i="10" s="1"/>
  <c r="B39" i="10" s="1"/>
  <c r="B40" i="10" s="1"/>
  <c r="B41" i="10" s="1"/>
  <c r="B42" i="10" s="1"/>
  <c r="B43" i="10" s="1"/>
  <c r="B44" i="10" s="1"/>
  <c r="B45" i="10" s="1"/>
  <c r="B46" i="10" s="1"/>
  <c r="B47" i="10" s="1"/>
  <c r="B48" i="10" s="1"/>
  <c r="B49" i="10" s="1"/>
  <c r="B50" i="10" s="1"/>
  <c r="B51" i="10" s="1"/>
  <c r="B52" i="10" s="1"/>
  <c r="B53" i="10" s="1"/>
  <c r="B54" i="10" s="1"/>
  <c r="B55" i="10" s="1"/>
  <c r="B56" i="10" s="1"/>
  <c r="B57" i="10" s="1"/>
  <c r="B58" i="10" s="1"/>
  <c r="B59" i="10" s="1"/>
  <c r="B60" i="10" s="1"/>
  <c r="B61" i="10" s="1"/>
  <c r="B62" i="10" s="1"/>
  <c r="B63" i="10" s="1"/>
  <c r="B64" i="10" s="1"/>
  <c r="B65" i="10" s="1"/>
  <c r="B66" i="10" s="1"/>
  <c r="B67" i="10" s="1"/>
  <c r="B68" i="10" s="1"/>
  <c r="B69" i="10" s="1"/>
  <c r="B70" i="10" s="1"/>
  <c r="B71" i="10" s="1"/>
  <c r="B72" i="10" s="1"/>
  <c r="B73" i="10" s="1"/>
  <c r="B74" i="10" s="1"/>
  <c r="B75" i="10" s="1"/>
  <c r="B76" i="10" s="1"/>
  <c r="B77" i="10" s="1"/>
  <c r="B78" i="10" s="1"/>
  <c r="B79" i="10" s="1"/>
  <c r="B80" i="10" s="1"/>
  <c r="B81" i="10" s="1"/>
  <c r="B82" i="10" s="1"/>
  <c r="B83" i="10" s="1"/>
  <c r="B84" i="10" s="1"/>
  <c r="B85" i="10" s="1"/>
  <c r="B86" i="10" s="1"/>
  <c r="B87" i="10" s="1"/>
  <c r="B88" i="10" s="1"/>
  <c r="B89" i="10" s="1"/>
  <c r="B90" i="10" s="1"/>
  <c r="B91" i="10" s="1"/>
  <c r="B92" i="10" s="1"/>
  <c r="B93" i="10" s="1"/>
  <c r="B94" i="10" s="1"/>
  <c r="B95" i="10" s="1"/>
  <c r="B96" i="10" s="1"/>
  <c r="B97" i="10" s="1"/>
  <c r="B98" i="10" s="1"/>
  <c r="B99" i="10" s="1"/>
  <c r="B100" i="10" s="1"/>
  <c r="B101" i="10" s="1"/>
  <c r="B102" i="10" s="1"/>
  <c r="B103" i="10" s="1"/>
  <c r="B104" i="10" s="1"/>
  <c r="B105" i="10" s="1"/>
  <c r="B106" i="10" s="1"/>
  <c r="B107" i="10" s="1"/>
  <c r="B108" i="10" s="1"/>
  <c r="B109" i="10" s="1"/>
  <c r="B110" i="10" s="1"/>
  <c r="B111" i="10" s="1"/>
  <c r="B112" i="10" s="1"/>
  <c r="B113" i="10" s="1"/>
  <c r="B114" i="10" s="1"/>
  <c r="B115" i="10" s="1"/>
  <c r="B116" i="10" s="1"/>
  <c r="B117" i="10" s="1"/>
  <c r="B118" i="10" s="1"/>
  <c r="B119" i="10" s="1"/>
  <c r="B120" i="10" s="1"/>
  <c r="B121" i="10" s="1"/>
  <c r="B122" i="10" s="1"/>
  <c r="B123" i="10" s="1"/>
  <c r="B124" i="10" s="1"/>
  <c r="B125" i="10" s="1"/>
  <c r="B126" i="10" s="1"/>
  <c r="B127" i="10" s="1"/>
  <c r="B128" i="10" s="1"/>
  <c r="B129" i="10" s="1"/>
  <c r="B130" i="10" s="1"/>
  <c r="B131" i="10" s="1"/>
  <c r="B132" i="10" s="1"/>
  <c r="B133" i="10" s="1"/>
  <c r="B134" i="10" s="1"/>
  <c r="B135" i="10" s="1"/>
  <c r="B136" i="10" s="1"/>
  <c r="B137" i="10" s="1"/>
  <c r="B138" i="10" s="1"/>
  <c r="B139" i="10" s="1"/>
  <c r="B140" i="10" s="1"/>
  <c r="B141" i="10" s="1"/>
  <c r="B142" i="10" s="1"/>
  <c r="B143" i="10" s="1"/>
  <c r="B144" i="10" s="1"/>
  <c r="B145" i="10" s="1"/>
  <c r="B146" i="10" s="1"/>
  <c r="B147" i="10" s="1"/>
  <c r="B148" i="10" s="1"/>
  <c r="B149" i="10" s="1"/>
  <c r="B150" i="10" s="1"/>
  <c r="B151" i="10" s="1"/>
  <c r="B152" i="10" s="1"/>
  <c r="B153" i="10" s="1"/>
  <c r="B154" i="10" s="1"/>
  <c r="B155" i="10" s="1"/>
  <c r="B156" i="10" s="1"/>
  <c r="B157" i="10" s="1"/>
  <c r="B158" i="10" s="1"/>
  <c r="B159" i="10" s="1"/>
  <c r="B160" i="10" s="1"/>
  <c r="B161" i="10" s="1"/>
  <c r="B162" i="10" s="1"/>
  <c r="B163" i="10" s="1"/>
  <c r="B164" i="10" s="1"/>
  <c r="B165" i="10" s="1"/>
  <c r="B166" i="10" s="1"/>
  <c r="B167" i="10" s="1"/>
  <c r="B168" i="10" s="1"/>
  <c r="B169" i="10" s="1"/>
  <c r="B170" i="10" s="1"/>
  <c r="B171" i="10" s="1"/>
  <c r="B172" i="10" s="1"/>
  <c r="B173" i="10" s="1"/>
  <c r="B174" i="10" s="1"/>
  <c r="B175" i="10" s="1"/>
  <c r="B176" i="10" s="1"/>
  <c r="B177" i="10" s="1"/>
  <c r="B178" i="10" s="1"/>
  <c r="B179" i="10" s="1"/>
  <c r="B180" i="10" s="1"/>
  <c r="B181" i="10" s="1"/>
  <c r="B182" i="10" s="1"/>
  <c r="B183" i="10" s="1"/>
  <c r="B184" i="10" s="1"/>
  <c r="B185" i="10" s="1"/>
  <c r="B186" i="10" s="1"/>
  <c r="B187" i="10" s="1"/>
  <c r="B188" i="10" s="1"/>
  <c r="B189" i="10" s="1"/>
  <c r="B190" i="10" s="1"/>
  <c r="B191" i="10" s="1"/>
  <c r="B192" i="10" s="1"/>
  <c r="B193" i="10" s="1"/>
  <c r="B194" i="10" s="1"/>
  <c r="B195" i="10" s="1"/>
  <c r="B196" i="10" s="1"/>
  <c r="B197" i="10" s="1"/>
  <c r="B198" i="10" s="1"/>
  <c r="B199" i="10" s="1"/>
  <c r="B200" i="10" s="1"/>
  <c r="I3" i="10"/>
  <c r="H3" i="10"/>
  <c r="B3" i="10"/>
  <c r="A3" i="10"/>
  <c r="A4" i="10" s="1"/>
  <c r="A5" i="10" s="1"/>
  <c r="A6" i="10" s="1"/>
  <c r="A7" i="10" s="1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A41" i="10" s="1"/>
  <c r="A42" i="10" s="1"/>
  <c r="A43" i="10" s="1"/>
  <c r="A44" i="10" s="1"/>
  <c r="A45" i="10" s="1"/>
  <c r="A46" i="10" s="1"/>
  <c r="A47" i="10" s="1"/>
  <c r="A48" i="10" s="1"/>
  <c r="A49" i="10" s="1"/>
  <c r="A50" i="10" s="1"/>
  <c r="A51" i="10" s="1"/>
  <c r="A52" i="10" s="1"/>
  <c r="A53" i="10" s="1"/>
  <c r="A54" i="10" s="1"/>
  <c r="G200" i="9"/>
  <c r="F200" i="9"/>
  <c r="E200" i="9"/>
  <c r="D200" i="9"/>
  <c r="C200" i="9"/>
  <c r="G199" i="9"/>
  <c r="F199" i="9"/>
  <c r="E199" i="9"/>
  <c r="D199" i="9"/>
  <c r="C199" i="9"/>
  <c r="G198" i="9"/>
  <c r="F198" i="9"/>
  <c r="E198" i="9"/>
  <c r="D198" i="9"/>
  <c r="C198" i="9"/>
  <c r="G197" i="9"/>
  <c r="F197" i="9"/>
  <c r="E197" i="9"/>
  <c r="D197" i="9"/>
  <c r="C197" i="9"/>
  <c r="G196" i="9"/>
  <c r="F196" i="9"/>
  <c r="E196" i="9"/>
  <c r="D196" i="9"/>
  <c r="C196" i="9"/>
  <c r="G195" i="9"/>
  <c r="F195" i="9"/>
  <c r="E195" i="9"/>
  <c r="D195" i="9"/>
  <c r="C195" i="9"/>
  <c r="G194" i="9"/>
  <c r="F194" i="9"/>
  <c r="E194" i="9"/>
  <c r="D194" i="9"/>
  <c r="C194" i="9"/>
  <c r="G193" i="9"/>
  <c r="F193" i="9"/>
  <c r="E193" i="9"/>
  <c r="D193" i="9"/>
  <c r="C193" i="9"/>
  <c r="G192" i="9"/>
  <c r="F192" i="9"/>
  <c r="E192" i="9"/>
  <c r="D192" i="9"/>
  <c r="C192" i="9"/>
  <c r="G191" i="9"/>
  <c r="F191" i="9"/>
  <c r="E191" i="9"/>
  <c r="D191" i="9"/>
  <c r="C191" i="9"/>
  <c r="G190" i="9"/>
  <c r="F190" i="9"/>
  <c r="E190" i="9"/>
  <c r="D190" i="9"/>
  <c r="C190" i="9"/>
  <c r="G189" i="9"/>
  <c r="F189" i="9"/>
  <c r="E189" i="9"/>
  <c r="D189" i="9"/>
  <c r="C189" i="9"/>
  <c r="G188" i="9"/>
  <c r="F188" i="9"/>
  <c r="E188" i="9"/>
  <c r="D188" i="9"/>
  <c r="C188" i="9"/>
  <c r="G187" i="9"/>
  <c r="F187" i="9"/>
  <c r="E187" i="9"/>
  <c r="D187" i="9"/>
  <c r="C187" i="9"/>
  <c r="G186" i="9"/>
  <c r="F186" i="9"/>
  <c r="E186" i="9"/>
  <c r="D186" i="9"/>
  <c r="C186" i="9"/>
  <c r="G185" i="9"/>
  <c r="F185" i="9"/>
  <c r="E185" i="9"/>
  <c r="D185" i="9"/>
  <c r="C185" i="9"/>
  <c r="G184" i="9"/>
  <c r="F184" i="9"/>
  <c r="E184" i="9"/>
  <c r="D184" i="9"/>
  <c r="C184" i="9"/>
  <c r="G183" i="9"/>
  <c r="F183" i="9"/>
  <c r="E183" i="9"/>
  <c r="D183" i="9"/>
  <c r="C183" i="9"/>
  <c r="G182" i="9"/>
  <c r="F182" i="9"/>
  <c r="E182" i="9"/>
  <c r="D182" i="9"/>
  <c r="C182" i="9"/>
  <c r="G181" i="9"/>
  <c r="F181" i="9"/>
  <c r="E181" i="9"/>
  <c r="D181" i="9"/>
  <c r="C181" i="9"/>
  <c r="G180" i="9"/>
  <c r="F180" i="9"/>
  <c r="E180" i="9"/>
  <c r="D180" i="9"/>
  <c r="C180" i="9"/>
  <c r="G179" i="9"/>
  <c r="F179" i="9"/>
  <c r="E179" i="9"/>
  <c r="D179" i="9"/>
  <c r="C179" i="9"/>
  <c r="G178" i="9"/>
  <c r="F178" i="9"/>
  <c r="E178" i="9"/>
  <c r="D178" i="9"/>
  <c r="C178" i="9"/>
  <c r="G177" i="9"/>
  <c r="F177" i="9"/>
  <c r="E177" i="9"/>
  <c r="D177" i="9"/>
  <c r="C177" i="9"/>
  <c r="G176" i="9"/>
  <c r="F176" i="9"/>
  <c r="E176" i="9"/>
  <c r="D176" i="9"/>
  <c r="C176" i="9"/>
  <c r="G175" i="9"/>
  <c r="F175" i="9"/>
  <c r="E175" i="9"/>
  <c r="D175" i="9"/>
  <c r="C175" i="9"/>
  <c r="G174" i="9"/>
  <c r="F174" i="9"/>
  <c r="E174" i="9"/>
  <c r="D174" i="9"/>
  <c r="C174" i="9"/>
  <c r="G173" i="9"/>
  <c r="F173" i="9"/>
  <c r="E173" i="9"/>
  <c r="D173" i="9"/>
  <c r="C173" i="9"/>
  <c r="G172" i="9"/>
  <c r="F172" i="9"/>
  <c r="E172" i="9"/>
  <c r="D172" i="9"/>
  <c r="C172" i="9"/>
  <c r="G171" i="9"/>
  <c r="F171" i="9"/>
  <c r="E171" i="9"/>
  <c r="D171" i="9"/>
  <c r="C171" i="9"/>
  <c r="G170" i="9"/>
  <c r="F170" i="9"/>
  <c r="E170" i="9"/>
  <c r="D170" i="9"/>
  <c r="C170" i="9"/>
  <c r="G169" i="9"/>
  <c r="F169" i="9"/>
  <c r="E169" i="9"/>
  <c r="D169" i="9"/>
  <c r="C169" i="9"/>
  <c r="G168" i="9"/>
  <c r="F168" i="9"/>
  <c r="E168" i="9"/>
  <c r="D168" i="9"/>
  <c r="C168" i="9"/>
  <c r="G167" i="9"/>
  <c r="F167" i="9"/>
  <c r="E167" i="9"/>
  <c r="D167" i="9"/>
  <c r="C167" i="9"/>
  <c r="G166" i="9"/>
  <c r="F166" i="9"/>
  <c r="E166" i="9"/>
  <c r="D166" i="9"/>
  <c r="C166" i="9"/>
  <c r="G165" i="9"/>
  <c r="F165" i="9"/>
  <c r="E165" i="9"/>
  <c r="D165" i="9"/>
  <c r="C165" i="9"/>
  <c r="G164" i="9"/>
  <c r="F164" i="9"/>
  <c r="E164" i="9"/>
  <c r="D164" i="9"/>
  <c r="C164" i="9"/>
  <c r="G163" i="9"/>
  <c r="F163" i="9"/>
  <c r="E163" i="9"/>
  <c r="D163" i="9"/>
  <c r="C163" i="9"/>
  <c r="G162" i="9"/>
  <c r="F162" i="9"/>
  <c r="E162" i="9"/>
  <c r="D162" i="9"/>
  <c r="C162" i="9"/>
  <c r="G161" i="9"/>
  <c r="F161" i="9"/>
  <c r="E161" i="9"/>
  <c r="D161" i="9"/>
  <c r="C161" i="9"/>
  <c r="G160" i="9"/>
  <c r="F160" i="9"/>
  <c r="E160" i="9"/>
  <c r="D160" i="9"/>
  <c r="C160" i="9"/>
  <c r="G159" i="9"/>
  <c r="F159" i="9"/>
  <c r="E159" i="9"/>
  <c r="D159" i="9"/>
  <c r="C159" i="9"/>
  <c r="G158" i="9"/>
  <c r="F158" i="9"/>
  <c r="E158" i="9"/>
  <c r="D158" i="9"/>
  <c r="C158" i="9"/>
  <c r="G157" i="9"/>
  <c r="F157" i="9"/>
  <c r="E157" i="9"/>
  <c r="D157" i="9"/>
  <c r="C157" i="9"/>
  <c r="G156" i="9"/>
  <c r="F156" i="9"/>
  <c r="E156" i="9"/>
  <c r="D156" i="9"/>
  <c r="C156" i="9"/>
  <c r="G155" i="9"/>
  <c r="F155" i="9"/>
  <c r="E155" i="9"/>
  <c r="D155" i="9"/>
  <c r="C155" i="9"/>
  <c r="G154" i="9"/>
  <c r="F154" i="9"/>
  <c r="E154" i="9"/>
  <c r="D154" i="9"/>
  <c r="C154" i="9"/>
  <c r="G153" i="9"/>
  <c r="F153" i="9"/>
  <c r="E153" i="9"/>
  <c r="D153" i="9"/>
  <c r="C153" i="9"/>
  <c r="G152" i="9"/>
  <c r="F152" i="9"/>
  <c r="E152" i="9"/>
  <c r="D152" i="9"/>
  <c r="C152" i="9"/>
  <c r="G151" i="9"/>
  <c r="F151" i="9"/>
  <c r="E151" i="9"/>
  <c r="D151" i="9"/>
  <c r="C151" i="9"/>
  <c r="G150" i="9"/>
  <c r="F150" i="9"/>
  <c r="E150" i="9"/>
  <c r="D150" i="9"/>
  <c r="C150" i="9"/>
  <c r="G149" i="9"/>
  <c r="F149" i="9"/>
  <c r="E149" i="9"/>
  <c r="D149" i="9"/>
  <c r="C149" i="9"/>
  <c r="G148" i="9"/>
  <c r="F148" i="9"/>
  <c r="E148" i="9"/>
  <c r="D148" i="9"/>
  <c r="C148" i="9"/>
  <c r="G147" i="9"/>
  <c r="F147" i="9"/>
  <c r="E147" i="9"/>
  <c r="D147" i="9"/>
  <c r="C147" i="9"/>
  <c r="G146" i="9"/>
  <c r="F146" i="9"/>
  <c r="E146" i="9"/>
  <c r="D146" i="9"/>
  <c r="C146" i="9"/>
  <c r="G145" i="9"/>
  <c r="F145" i="9"/>
  <c r="E145" i="9"/>
  <c r="D145" i="9"/>
  <c r="C145" i="9"/>
  <c r="G144" i="9"/>
  <c r="F144" i="9"/>
  <c r="E144" i="9"/>
  <c r="D144" i="9"/>
  <c r="C144" i="9"/>
  <c r="G143" i="9"/>
  <c r="F143" i="9"/>
  <c r="E143" i="9"/>
  <c r="D143" i="9"/>
  <c r="C143" i="9"/>
  <c r="G142" i="9"/>
  <c r="F142" i="9"/>
  <c r="E142" i="9"/>
  <c r="D142" i="9"/>
  <c r="C142" i="9"/>
  <c r="G141" i="9"/>
  <c r="F141" i="9"/>
  <c r="E141" i="9"/>
  <c r="D141" i="9"/>
  <c r="C141" i="9"/>
  <c r="G140" i="9"/>
  <c r="F140" i="9"/>
  <c r="E140" i="9"/>
  <c r="D140" i="9"/>
  <c r="C140" i="9"/>
  <c r="G139" i="9"/>
  <c r="F139" i="9"/>
  <c r="E139" i="9"/>
  <c r="D139" i="9"/>
  <c r="C139" i="9"/>
  <c r="G138" i="9"/>
  <c r="F138" i="9"/>
  <c r="E138" i="9"/>
  <c r="D138" i="9"/>
  <c r="C138" i="9"/>
  <c r="G137" i="9"/>
  <c r="F137" i="9"/>
  <c r="E137" i="9"/>
  <c r="D137" i="9"/>
  <c r="C137" i="9"/>
  <c r="G136" i="9"/>
  <c r="F136" i="9"/>
  <c r="E136" i="9"/>
  <c r="D136" i="9"/>
  <c r="C136" i="9"/>
  <c r="G135" i="9"/>
  <c r="F135" i="9"/>
  <c r="E135" i="9"/>
  <c r="D135" i="9"/>
  <c r="C135" i="9"/>
  <c r="G134" i="9"/>
  <c r="F134" i="9"/>
  <c r="E134" i="9"/>
  <c r="D134" i="9"/>
  <c r="C134" i="9"/>
  <c r="G133" i="9"/>
  <c r="F133" i="9"/>
  <c r="E133" i="9"/>
  <c r="D133" i="9"/>
  <c r="C133" i="9"/>
  <c r="G132" i="9"/>
  <c r="F132" i="9"/>
  <c r="E132" i="9"/>
  <c r="D132" i="9"/>
  <c r="C132" i="9"/>
  <c r="G131" i="9"/>
  <c r="F131" i="9"/>
  <c r="E131" i="9"/>
  <c r="D131" i="9"/>
  <c r="C131" i="9"/>
  <c r="G130" i="9"/>
  <c r="F130" i="9"/>
  <c r="E130" i="9"/>
  <c r="D130" i="9"/>
  <c r="C130" i="9"/>
  <c r="G129" i="9"/>
  <c r="F129" i="9"/>
  <c r="E129" i="9"/>
  <c r="D129" i="9"/>
  <c r="C129" i="9"/>
  <c r="G128" i="9"/>
  <c r="F128" i="9"/>
  <c r="E128" i="9"/>
  <c r="D128" i="9"/>
  <c r="C128" i="9"/>
  <c r="G127" i="9"/>
  <c r="F127" i="9"/>
  <c r="E127" i="9"/>
  <c r="D127" i="9"/>
  <c r="C127" i="9"/>
  <c r="G126" i="9"/>
  <c r="F126" i="9"/>
  <c r="E126" i="9"/>
  <c r="D126" i="9"/>
  <c r="C126" i="9"/>
  <c r="G125" i="9"/>
  <c r="F125" i="9"/>
  <c r="E125" i="9"/>
  <c r="D125" i="9"/>
  <c r="C125" i="9"/>
  <c r="G124" i="9"/>
  <c r="F124" i="9"/>
  <c r="E124" i="9"/>
  <c r="D124" i="9"/>
  <c r="C124" i="9"/>
  <c r="G123" i="9"/>
  <c r="F123" i="9"/>
  <c r="E123" i="9"/>
  <c r="D123" i="9"/>
  <c r="C123" i="9"/>
  <c r="G122" i="9"/>
  <c r="F122" i="9"/>
  <c r="E122" i="9"/>
  <c r="D122" i="9"/>
  <c r="C122" i="9"/>
  <c r="G121" i="9"/>
  <c r="F121" i="9"/>
  <c r="E121" i="9"/>
  <c r="D121" i="9"/>
  <c r="C121" i="9"/>
  <c r="G120" i="9"/>
  <c r="F120" i="9"/>
  <c r="E120" i="9"/>
  <c r="D120" i="9"/>
  <c r="C120" i="9"/>
  <c r="G119" i="9"/>
  <c r="F119" i="9"/>
  <c r="E119" i="9"/>
  <c r="D119" i="9"/>
  <c r="C119" i="9"/>
  <c r="G118" i="9"/>
  <c r="F118" i="9"/>
  <c r="E118" i="9"/>
  <c r="D118" i="9"/>
  <c r="C118" i="9"/>
  <c r="G117" i="9"/>
  <c r="F117" i="9"/>
  <c r="E117" i="9"/>
  <c r="D117" i="9"/>
  <c r="C117" i="9"/>
  <c r="G116" i="9"/>
  <c r="F116" i="9"/>
  <c r="E116" i="9"/>
  <c r="D116" i="9"/>
  <c r="C116" i="9"/>
  <c r="G115" i="9"/>
  <c r="F115" i="9"/>
  <c r="E115" i="9"/>
  <c r="D115" i="9"/>
  <c r="C115" i="9"/>
  <c r="G114" i="9"/>
  <c r="F114" i="9"/>
  <c r="E114" i="9"/>
  <c r="D114" i="9"/>
  <c r="C114" i="9"/>
  <c r="G113" i="9"/>
  <c r="F113" i="9"/>
  <c r="E113" i="9"/>
  <c r="D113" i="9"/>
  <c r="C113" i="9"/>
  <c r="G112" i="9"/>
  <c r="F112" i="9"/>
  <c r="E112" i="9"/>
  <c r="D112" i="9"/>
  <c r="C112" i="9"/>
  <c r="G111" i="9"/>
  <c r="F111" i="9"/>
  <c r="E111" i="9"/>
  <c r="D111" i="9"/>
  <c r="C111" i="9"/>
  <c r="G110" i="9"/>
  <c r="F110" i="9"/>
  <c r="E110" i="9"/>
  <c r="D110" i="9"/>
  <c r="C110" i="9"/>
  <c r="G109" i="9"/>
  <c r="F109" i="9"/>
  <c r="E109" i="9"/>
  <c r="D109" i="9"/>
  <c r="C109" i="9"/>
  <c r="G108" i="9"/>
  <c r="F108" i="9"/>
  <c r="E108" i="9"/>
  <c r="D108" i="9"/>
  <c r="C108" i="9"/>
  <c r="G107" i="9"/>
  <c r="F107" i="9"/>
  <c r="E107" i="9"/>
  <c r="D107" i="9"/>
  <c r="C107" i="9"/>
  <c r="G106" i="9"/>
  <c r="F106" i="9"/>
  <c r="E106" i="9"/>
  <c r="D106" i="9"/>
  <c r="C106" i="9"/>
  <c r="G105" i="9"/>
  <c r="F105" i="9"/>
  <c r="E105" i="9"/>
  <c r="D105" i="9"/>
  <c r="C105" i="9"/>
  <c r="G104" i="9"/>
  <c r="F104" i="9"/>
  <c r="E104" i="9"/>
  <c r="D104" i="9"/>
  <c r="C104" i="9"/>
  <c r="G103" i="9"/>
  <c r="F103" i="9"/>
  <c r="E103" i="9"/>
  <c r="D103" i="9"/>
  <c r="C103" i="9"/>
  <c r="G102" i="9"/>
  <c r="F102" i="9"/>
  <c r="E102" i="9"/>
  <c r="D102" i="9"/>
  <c r="C102" i="9"/>
  <c r="G101" i="9"/>
  <c r="F101" i="9"/>
  <c r="E101" i="9"/>
  <c r="D101" i="9"/>
  <c r="C101" i="9"/>
  <c r="G100" i="9"/>
  <c r="F100" i="9"/>
  <c r="E100" i="9"/>
  <c r="D100" i="9"/>
  <c r="C100" i="9"/>
  <c r="G99" i="9"/>
  <c r="F99" i="9"/>
  <c r="E99" i="9"/>
  <c r="D99" i="9"/>
  <c r="C99" i="9"/>
  <c r="G98" i="9"/>
  <c r="F98" i="9"/>
  <c r="E98" i="9"/>
  <c r="D98" i="9"/>
  <c r="C98" i="9"/>
  <c r="G97" i="9"/>
  <c r="F97" i="9"/>
  <c r="E97" i="9"/>
  <c r="D97" i="9"/>
  <c r="C97" i="9"/>
  <c r="G96" i="9"/>
  <c r="F96" i="9"/>
  <c r="E96" i="9"/>
  <c r="D96" i="9"/>
  <c r="C96" i="9"/>
  <c r="G95" i="9"/>
  <c r="F95" i="9"/>
  <c r="E95" i="9"/>
  <c r="D95" i="9"/>
  <c r="C95" i="9"/>
  <c r="G94" i="9"/>
  <c r="F94" i="9"/>
  <c r="E94" i="9"/>
  <c r="D94" i="9"/>
  <c r="C94" i="9"/>
  <c r="G93" i="9"/>
  <c r="F93" i="9"/>
  <c r="E93" i="9"/>
  <c r="D93" i="9"/>
  <c r="C93" i="9"/>
  <c r="G92" i="9"/>
  <c r="F92" i="9"/>
  <c r="E92" i="9"/>
  <c r="D92" i="9"/>
  <c r="C92" i="9"/>
  <c r="G91" i="9"/>
  <c r="F91" i="9"/>
  <c r="E91" i="9"/>
  <c r="D91" i="9"/>
  <c r="C91" i="9"/>
  <c r="G90" i="9"/>
  <c r="F90" i="9"/>
  <c r="E90" i="9"/>
  <c r="D90" i="9"/>
  <c r="C90" i="9"/>
  <c r="G89" i="9"/>
  <c r="F89" i="9"/>
  <c r="E89" i="9"/>
  <c r="D89" i="9"/>
  <c r="C89" i="9"/>
  <c r="G88" i="9"/>
  <c r="F88" i="9"/>
  <c r="E88" i="9"/>
  <c r="D88" i="9"/>
  <c r="C88" i="9"/>
  <c r="G87" i="9"/>
  <c r="F87" i="9"/>
  <c r="E87" i="9"/>
  <c r="D87" i="9"/>
  <c r="C87" i="9"/>
  <c r="G86" i="9"/>
  <c r="F86" i="9"/>
  <c r="E86" i="9"/>
  <c r="D86" i="9"/>
  <c r="C86" i="9"/>
  <c r="G85" i="9"/>
  <c r="F85" i="9"/>
  <c r="E85" i="9"/>
  <c r="D85" i="9"/>
  <c r="C85" i="9"/>
  <c r="G84" i="9"/>
  <c r="F84" i="9"/>
  <c r="E84" i="9"/>
  <c r="D84" i="9"/>
  <c r="C84" i="9"/>
  <c r="G83" i="9"/>
  <c r="F83" i="9"/>
  <c r="E83" i="9"/>
  <c r="D83" i="9"/>
  <c r="C83" i="9"/>
  <c r="G82" i="9"/>
  <c r="F82" i="9"/>
  <c r="E82" i="9"/>
  <c r="D82" i="9"/>
  <c r="C82" i="9"/>
  <c r="G81" i="9"/>
  <c r="F81" i="9"/>
  <c r="E81" i="9"/>
  <c r="D81" i="9"/>
  <c r="C81" i="9"/>
  <c r="G80" i="9"/>
  <c r="F80" i="9"/>
  <c r="E80" i="9"/>
  <c r="D80" i="9"/>
  <c r="C80" i="9"/>
  <c r="G79" i="9"/>
  <c r="F79" i="9"/>
  <c r="E79" i="9"/>
  <c r="D79" i="9"/>
  <c r="C79" i="9"/>
  <c r="G78" i="9"/>
  <c r="F78" i="9"/>
  <c r="E78" i="9"/>
  <c r="D78" i="9"/>
  <c r="C78" i="9"/>
  <c r="G77" i="9"/>
  <c r="F77" i="9"/>
  <c r="E77" i="9"/>
  <c r="D77" i="9"/>
  <c r="C77" i="9"/>
  <c r="G76" i="9"/>
  <c r="F76" i="9"/>
  <c r="E76" i="9"/>
  <c r="D76" i="9"/>
  <c r="C76" i="9"/>
  <c r="G75" i="9"/>
  <c r="F75" i="9"/>
  <c r="E75" i="9"/>
  <c r="D75" i="9"/>
  <c r="C75" i="9"/>
  <c r="G74" i="9"/>
  <c r="F74" i="9"/>
  <c r="E74" i="9"/>
  <c r="D74" i="9"/>
  <c r="C74" i="9"/>
  <c r="G73" i="9"/>
  <c r="F73" i="9"/>
  <c r="E73" i="9"/>
  <c r="D73" i="9"/>
  <c r="C73" i="9"/>
  <c r="G72" i="9"/>
  <c r="F72" i="9"/>
  <c r="E72" i="9"/>
  <c r="D72" i="9"/>
  <c r="C72" i="9"/>
  <c r="G71" i="9"/>
  <c r="F71" i="9"/>
  <c r="E71" i="9"/>
  <c r="D71" i="9"/>
  <c r="C71" i="9"/>
  <c r="G70" i="9"/>
  <c r="F70" i="9"/>
  <c r="E70" i="9"/>
  <c r="D70" i="9"/>
  <c r="C70" i="9"/>
  <c r="G69" i="9"/>
  <c r="F69" i="9"/>
  <c r="E69" i="9"/>
  <c r="D69" i="9"/>
  <c r="C69" i="9"/>
  <c r="G68" i="9"/>
  <c r="F68" i="9"/>
  <c r="E68" i="9"/>
  <c r="D68" i="9"/>
  <c r="C68" i="9"/>
  <c r="G67" i="9"/>
  <c r="F67" i="9"/>
  <c r="E67" i="9"/>
  <c r="D67" i="9"/>
  <c r="C67" i="9"/>
  <c r="G66" i="9"/>
  <c r="F66" i="9"/>
  <c r="E66" i="9"/>
  <c r="D66" i="9"/>
  <c r="C66" i="9"/>
  <c r="G65" i="9"/>
  <c r="F65" i="9"/>
  <c r="E65" i="9"/>
  <c r="D65" i="9"/>
  <c r="C65" i="9"/>
  <c r="G64" i="9"/>
  <c r="F64" i="9"/>
  <c r="E64" i="9"/>
  <c r="D64" i="9"/>
  <c r="C64" i="9"/>
  <c r="G63" i="9"/>
  <c r="F63" i="9"/>
  <c r="E63" i="9"/>
  <c r="D63" i="9"/>
  <c r="C63" i="9"/>
  <c r="G62" i="9"/>
  <c r="F62" i="9"/>
  <c r="E62" i="9"/>
  <c r="D62" i="9"/>
  <c r="C62" i="9"/>
  <c r="G61" i="9"/>
  <c r="F61" i="9"/>
  <c r="E61" i="9"/>
  <c r="D61" i="9"/>
  <c r="C61" i="9"/>
  <c r="G60" i="9"/>
  <c r="F60" i="9"/>
  <c r="E60" i="9"/>
  <c r="D60" i="9"/>
  <c r="C60" i="9"/>
  <c r="G59" i="9"/>
  <c r="F59" i="9"/>
  <c r="E59" i="9"/>
  <c r="D59" i="9"/>
  <c r="C59" i="9"/>
  <c r="G58" i="9"/>
  <c r="F58" i="9"/>
  <c r="E58" i="9"/>
  <c r="D58" i="9"/>
  <c r="C58" i="9"/>
  <c r="G57" i="9"/>
  <c r="F57" i="9"/>
  <c r="E57" i="9"/>
  <c r="D57" i="9"/>
  <c r="C57" i="9"/>
  <c r="G56" i="9"/>
  <c r="F56" i="9"/>
  <c r="E56" i="9"/>
  <c r="D56" i="9"/>
  <c r="C56" i="9"/>
  <c r="G55" i="9"/>
  <c r="F55" i="9"/>
  <c r="E55" i="9"/>
  <c r="D55" i="9"/>
  <c r="C55" i="9"/>
  <c r="G54" i="9"/>
  <c r="F54" i="9"/>
  <c r="E54" i="9"/>
  <c r="D54" i="9"/>
  <c r="C54" i="9"/>
  <c r="I3" i="9"/>
  <c r="I4" i="9" s="1"/>
  <c r="I5" i="9" s="1"/>
  <c r="I6" i="9" s="1"/>
  <c r="I7" i="9" s="1"/>
  <c r="I8" i="9" s="1"/>
  <c r="I9" i="9" s="1"/>
  <c r="I10" i="9" s="1"/>
  <c r="I11" i="9" s="1"/>
  <c r="I12" i="9" s="1"/>
  <c r="I13" i="9" s="1"/>
  <c r="I14" i="9" s="1"/>
  <c r="I15" i="9" s="1"/>
  <c r="I16" i="9" s="1"/>
  <c r="I17" i="9" s="1"/>
  <c r="I18" i="9" s="1"/>
  <c r="I19" i="9" s="1"/>
  <c r="I20" i="9" s="1"/>
  <c r="I21" i="9" s="1"/>
  <c r="I22" i="9" s="1"/>
  <c r="I23" i="9" s="1"/>
  <c r="I24" i="9" s="1"/>
  <c r="I25" i="9" s="1"/>
  <c r="I26" i="9" s="1"/>
  <c r="I27" i="9" s="1"/>
  <c r="I28" i="9" s="1"/>
  <c r="I29" i="9" s="1"/>
  <c r="I30" i="9" s="1"/>
  <c r="I31" i="9" s="1"/>
  <c r="I32" i="9" s="1"/>
  <c r="I33" i="9" s="1"/>
  <c r="I34" i="9" s="1"/>
  <c r="I35" i="9" s="1"/>
  <c r="I36" i="9" s="1"/>
  <c r="I37" i="9" s="1"/>
  <c r="I38" i="9" s="1"/>
  <c r="I39" i="9" s="1"/>
  <c r="I40" i="9" s="1"/>
  <c r="I41" i="9" s="1"/>
  <c r="I42" i="9" s="1"/>
  <c r="I43" i="9" s="1"/>
  <c r="I44" i="9" s="1"/>
  <c r="I45" i="9" s="1"/>
  <c r="I46" i="9" s="1"/>
  <c r="I47" i="9" s="1"/>
  <c r="I48" i="9" s="1"/>
  <c r="I49" i="9" s="1"/>
  <c r="I50" i="9" s="1"/>
  <c r="I51" i="9" s="1"/>
  <c r="I52" i="9" s="1"/>
  <c r="I53" i="9" s="1"/>
  <c r="H3" i="9"/>
  <c r="H4" i="9" s="1"/>
  <c r="H5" i="9" s="1"/>
  <c r="H6" i="9" s="1"/>
  <c r="H7" i="9" s="1"/>
  <c r="H8" i="9" s="1"/>
  <c r="H9" i="9" s="1"/>
  <c r="H10" i="9" s="1"/>
  <c r="H11" i="9" s="1"/>
  <c r="H12" i="9" s="1"/>
  <c r="H13" i="9" s="1"/>
  <c r="H14" i="9" s="1"/>
  <c r="H15" i="9" s="1"/>
  <c r="H16" i="9" s="1"/>
  <c r="H17" i="9" s="1"/>
  <c r="H18" i="9" s="1"/>
  <c r="H19" i="9" s="1"/>
  <c r="H20" i="9" s="1"/>
  <c r="H21" i="9" s="1"/>
  <c r="H22" i="9" s="1"/>
  <c r="H23" i="9" s="1"/>
  <c r="H24" i="9" s="1"/>
  <c r="H25" i="9" s="1"/>
  <c r="H26" i="9" s="1"/>
  <c r="H27" i="9" s="1"/>
  <c r="H28" i="9" s="1"/>
  <c r="H29" i="9" s="1"/>
  <c r="H30" i="9" s="1"/>
  <c r="H31" i="9" s="1"/>
  <c r="H32" i="9" s="1"/>
  <c r="H33" i="9" s="1"/>
  <c r="H34" i="9" s="1"/>
  <c r="H35" i="9" s="1"/>
  <c r="H36" i="9" s="1"/>
  <c r="H37" i="9" s="1"/>
  <c r="H38" i="9" s="1"/>
  <c r="H39" i="9" s="1"/>
  <c r="H40" i="9" s="1"/>
  <c r="H41" i="9" s="1"/>
  <c r="H42" i="9" s="1"/>
  <c r="H43" i="9" s="1"/>
  <c r="H44" i="9" s="1"/>
  <c r="H45" i="9" s="1"/>
  <c r="H46" i="9" s="1"/>
  <c r="H47" i="9" s="1"/>
  <c r="H48" i="9" s="1"/>
  <c r="H49" i="9" s="1"/>
  <c r="H50" i="9" s="1"/>
  <c r="H51" i="9" s="1"/>
  <c r="H52" i="9" s="1"/>
  <c r="H53" i="9" s="1"/>
  <c r="B3" i="9"/>
  <c r="B4" i="9" s="1"/>
  <c r="B5" i="9" s="1"/>
  <c r="B6" i="9" s="1"/>
  <c r="B7" i="9" s="1"/>
  <c r="B8" i="9" s="1"/>
  <c r="B9" i="9" s="1"/>
  <c r="B10" i="9" s="1"/>
  <c r="B11" i="9" s="1"/>
  <c r="B12" i="9" s="1"/>
  <c r="B13" i="9" s="1"/>
  <c r="B14" i="9" s="1"/>
  <c r="B15" i="9" s="1"/>
  <c r="B16" i="9" s="1"/>
  <c r="B17" i="9" s="1"/>
  <c r="B18" i="9" s="1"/>
  <c r="B19" i="9" s="1"/>
  <c r="B20" i="9" s="1"/>
  <c r="B21" i="9" s="1"/>
  <c r="B22" i="9" s="1"/>
  <c r="B23" i="9" s="1"/>
  <c r="B24" i="9" s="1"/>
  <c r="B25" i="9" s="1"/>
  <c r="B26" i="9" s="1"/>
  <c r="B27" i="9" s="1"/>
  <c r="B28" i="9" s="1"/>
  <c r="B29" i="9" s="1"/>
  <c r="B30" i="9" s="1"/>
  <c r="B31" i="9" s="1"/>
  <c r="B32" i="9" s="1"/>
  <c r="B33" i="9" s="1"/>
  <c r="B34" i="9" s="1"/>
  <c r="B35" i="9" s="1"/>
  <c r="B36" i="9" s="1"/>
  <c r="B37" i="9" s="1"/>
  <c r="B38" i="9" s="1"/>
  <c r="B39" i="9" s="1"/>
  <c r="B40" i="9" s="1"/>
  <c r="B41" i="9" s="1"/>
  <c r="B42" i="9" s="1"/>
  <c r="B43" i="9" s="1"/>
  <c r="B44" i="9" s="1"/>
  <c r="B45" i="9" s="1"/>
  <c r="B46" i="9" s="1"/>
  <c r="B47" i="9" s="1"/>
  <c r="B48" i="9" s="1"/>
  <c r="B49" i="9" s="1"/>
  <c r="B50" i="9" s="1"/>
  <c r="B51" i="9" s="1"/>
  <c r="B52" i="9" s="1"/>
  <c r="B53" i="9" s="1"/>
  <c r="B54" i="9" s="1"/>
  <c r="B55" i="9" s="1"/>
  <c r="B56" i="9" s="1"/>
  <c r="B57" i="9" s="1"/>
  <c r="B58" i="9" s="1"/>
  <c r="B59" i="9" s="1"/>
  <c r="B60" i="9" s="1"/>
  <c r="B61" i="9" s="1"/>
  <c r="B62" i="9" s="1"/>
  <c r="B63" i="9" s="1"/>
  <c r="B64" i="9" s="1"/>
  <c r="B65" i="9" s="1"/>
  <c r="B66" i="9" s="1"/>
  <c r="B67" i="9" s="1"/>
  <c r="B68" i="9" s="1"/>
  <c r="B69" i="9" s="1"/>
  <c r="B70" i="9" s="1"/>
  <c r="B71" i="9" s="1"/>
  <c r="B72" i="9" s="1"/>
  <c r="B73" i="9" s="1"/>
  <c r="B74" i="9" s="1"/>
  <c r="B75" i="9" s="1"/>
  <c r="B76" i="9" s="1"/>
  <c r="B77" i="9" s="1"/>
  <c r="B78" i="9" s="1"/>
  <c r="B79" i="9" s="1"/>
  <c r="B80" i="9" s="1"/>
  <c r="B81" i="9" s="1"/>
  <c r="B82" i="9" s="1"/>
  <c r="B83" i="9" s="1"/>
  <c r="B84" i="9" s="1"/>
  <c r="B85" i="9" s="1"/>
  <c r="B86" i="9" s="1"/>
  <c r="B87" i="9" s="1"/>
  <c r="B88" i="9" s="1"/>
  <c r="B89" i="9" s="1"/>
  <c r="B90" i="9" s="1"/>
  <c r="B91" i="9" s="1"/>
  <c r="B92" i="9" s="1"/>
  <c r="B93" i="9" s="1"/>
  <c r="B94" i="9" s="1"/>
  <c r="B95" i="9" s="1"/>
  <c r="B96" i="9" s="1"/>
  <c r="B97" i="9" s="1"/>
  <c r="B98" i="9" s="1"/>
  <c r="B99" i="9" s="1"/>
  <c r="B100" i="9" s="1"/>
  <c r="B101" i="9" s="1"/>
  <c r="B102" i="9" s="1"/>
  <c r="B103" i="9" s="1"/>
  <c r="B104" i="9" s="1"/>
  <c r="B105" i="9" s="1"/>
  <c r="B106" i="9" s="1"/>
  <c r="B107" i="9" s="1"/>
  <c r="B108" i="9" s="1"/>
  <c r="B109" i="9" s="1"/>
  <c r="B110" i="9" s="1"/>
  <c r="B111" i="9" s="1"/>
  <c r="B112" i="9" s="1"/>
  <c r="B113" i="9" s="1"/>
  <c r="B114" i="9" s="1"/>
  <c r="B115" i="9" s="1"/>
  <c r="B116" i="9" s="1"/>
  <c r="B117" i="9" s="1"/>
  <c r="B118" i="9" s="1"/>
  <c r="B119" i="9" s="1"/>
  <c r="B120" i="9" s="1"/>
  <c r="B121" i="9" s="1"/>
  <c r="B122" i="9" s="1"/>
  <c r="B123" i="9" s="1"/>
  <c r="B124" i="9" s="1"/>
  <c r="B125" i="9" s="1"/>
  <c r="B126" i="9" s="1"/>
  <c r="B127" i="9" s="1"/>
  <c r="B128" i="9" s="1"/>
  <c r="B129" i="9" s="1"/>
  <c r="B130" i="9" s="1"/>
  <c r="B131" i="9" s="1"/>
  <c r="B132" i="9" s="1"/>
  <c r="B133" i="9" s="1"/>
  <c r="B134" i="9" s="1"/>
  <c r="B135" i="9" s="1"/>
  <c r="B136" i="9" s="1"/>
  <c r="B137" i="9" s="1"/>
  <c r="B138" i="9" s="1"/>
  <c r="B139" i="9" s="1"/>
  <c r="B140" i="9" s="1"/>
  <c r="B141" i="9" s="1"/>
  <c r="B142" i="9" s="1"/>
  <c r="B143" i="9" s="1"/>
  <c r="B144" i="9" s="1"/>
  <c r="B145" i="9" s="1"/>
  <c r="B146" i="9" s="1"/>
  <c r="B147" i="9" s="1"/>
  <c r="B148" i="9" s="1"/>
  <c r="B149" i="9" s="1"/>
  <c r="B150" i="9" s="1"/>
  <c r="B151" i="9" s="1"/>
  <c r="B152" i="9" s="1"/>
  <c r="B153" i="9" s="1"/>
  <c r="B154" i="9" s="1"/>
  <c r="B155" i="9" s="1"/>
  <c r="B156" i="9" s="1"/>
  <c r="B157" i="9" s="1"/>
  <c r="B158" i="9" s="1"/>
  <c r="B159" i="9" s="1"/>
  <c r="B160" i="9" s="1"/>
  <c r="B161" i="9" s="1"/>
  <c r="B162" i="9" s="1"/>
  <c r="B163" i="9" s="1"/>
  <c r="B164" i="9" s="1"/>
  <c r="B165" i="9" s="1"/>
  <c r="B166" i="9" s="1"/>
  <c r="B167" i="9" s="1"/>
  <c r="B168" i="9" s="1"/>
  <c r="B169" i="9" s="1"/>
  <c r="B170" i="9" s="1"/>
  <c r="B171" i="9" s="1"/>
  <c r="B172" i="9" s="1"/>
  <c r="B173" i="9" s="1"/>
  <c r="B174" i="9" s="1"/>
  <c r="B175" i="9" s="1"/>
  <c r="B176" i="9" s="1"/>
  <c r="B177" i="9" s="1"/>
  <c r="B178" i="9" s="1"/>
  <c r="B179" i="9" s="1"/>
  <c r="B180" i="9" s="1"/>
  <c r="B181" i="9" s="1"/>
  <c r="B182" i="9" s="1"/>
  <c r="B183" i="9" s="1"/>
  <c r="B184" i="9" s="1"/>
  <c r="B185" i="9" s="1"/>
  <c r="B186" i="9" s="1"/>
  <c r="B187" i="9" s="1"/>
  <c r="B188" i="9" s="1"/>
  <c r="B189" i="9" s="1"/>
  <c r="B190" i="9" s="1"/>
  <c r="B191" i="9" s="1"/>
  <c r="B192" i="9" s="1"/>
  <c r="B193" i="9" s="1"/>
  <c r="B194" i="9" s="1"/>
  <c r="B195" i="9" s="1"/>
  <c r="B196" i="9" s="1"/>
  <c r="B197" i="9" s="1"/>
  <c r="B198" i="9" s="1"/>
  <c r="B199" i="9" s="1"/>
  <c r="B200" i="9" s="1"/>
  <c r="A3" i="9"/>
  <c r="A4" i="9" s="1"/>
  <c r="A5" i="9" s="1"/>
  <c r="A6" i="9" s="1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56" i="9" s="1"/>
  <c r="A57" i="9" s="1"/>
  <c r="A58" i="9" s="1"/>
  <c r="A59" i="9" s="1"/>
  <c r="A60" i="9" s="1"/>
  <c r="A61" i="9" s="1"/>
  <c r="A62" i="9" s="1"/>
  <c r="A63" i="9" s="1"/>
  <c r="A64" i="9" s="1"/>
  <c r="A65" i="9" s="1"/>
  <c r="A66" i="9" s="1"/>
  <c r="A67" i="9" s="1"/>
  <c r="A68" i="9" s="1"/>
  <c r="A69" i="9" s="1"/>
  <c r="A70" i="9" s="1"/>
  <c r="A71" i="9" s="1"/>
  <c r="A72" i="9" s="1"/>
  <c r="A73" i="9" s="1"/>
  <c r="A74" i="9" s="1"/>
  <c r="A75" i="9" s="1"/>
  <c r="A76" i="9" s="1"/>
  <c r="A77" i="9" s="1"/>
  <c r="A78" i="9" s="1"/>
  <c r="A79" i="9" s="1"/>
  <c r="A80" i="9" s="1"/>
  <c r="A81" i="9" s="1"/>
  <c r="A82" i="9" s="1"/>
  <c r="A83" i="9" s="1"/>
  <c r="A84" i="9" s="1"/>
  <c r="A85" i="9" s="1"/>
  <c r="A86" i="9" s="1"/>
  <c r="A87" i="9" s="1"/>
  <c r="A88" i="9" s="1"/>
  <c r="A89" i="9" s="1"/>
  <c r="A90" i="9" s="1"/>
  <c r="A91" i="9" s="1"/>
  <c r="A92" i="9" s="1"/>
  <c r="A93" i="9" s="1"/>
  <c r="A94" i="9" s="1"/>
  <c r="A95" i="9" s="1"/>
  <c r="A96" i="9" s="1"/>
  <c r="A97" i="9" s="1"/>
  <c r="A98" i="9" s="1"/>
  <c r="A99" i="9" s="1"/>
  <c r="A100" i="9" s="1"/>
  <c r="A101" i="9" s="1"/>
  <c r="A102" i="9" s="1"/>
  <c r="A103" i="9" s="1"/>
  <c r="A104" i="9" s="1"/>
  <c r="A105" i="9" s="1"/>
  <c r="A106" i="9" s="1"/>
  <c r="A107" i="9" s="1"/>
  <c r="A108" i="9" s="1"/>
  <c r="A109" i="9" s="1"/>
  <c r="A110" i="9" s="1"/>
  <c r="A111" i="9" s="1"/>
  <c r="A112" i="9" s="1"/>
  <c r="A113" i="9" s="1"/>
  <c r="A114" i="9" s="1"/>
  <c r="A115" i="9" s="1"/>
  <c r="A116" i="9" s="1"/>
  <c r="A117" i="9" s="1"/>
  <c r="A118" i="9" s="1"/>
  <c r="A119" i="9" s="1"/>
  <c r="A120" i="9" s="1"/>
  <c r="A121" i="9" s="1"/>
  <c r="A122" i="9" s="1"/>
  <c r="A123" i="9" s="1"/>
  <c r="A124" i="9" s="1"/>
  <c r="A125" i="9" s="1"/>
  <c r="A126" i="9" s="1"/>
  <c r="A127" i="9" s="1"/>
  <c r="A128" i="9" s="1"/>
  <c r="A129" i="9" s="1"/>
  <c r="A130" i="9" s="1"/>
  <c r="A131" i="9" s="1"/>
  <c r="A132" i="9" s="1"/>
  <c r="A133" i="9" s="1"/>
  <c r="A134" i="9" s="1"/>
  <c r="A135" i="9" s="1"/>
  <c r="A136" i="9" s="1"/>
  <c r="A137" i="9" s="1"/>
  <c r="A138" i="9" s="1"/>
  <c r="A139" i="9" s="1"/>
  <c r="A140" i="9" s="1"/>
  <c r="A141" i="9" s="1"/>
  <c r="A142" i="9" s="1"/>
  <c r="A143" i="9" s="1"/>
  <c r="A144" i="9" s="1"/>
  <c r="A145" i="9" s="1"/>
  <c r="A146" i="9" s="1"/>
  <c r="A147" i="9" s="1"/>
  <c r="A148" i="9" s="1"/>
  <c r="A149" i="9" s="1"/>
  <c r="A150" i="9" s="1"/>
  <c r="A151" i="9" s="1"/>
  <c r="A152" i="9" s="1"/>
  <c r="A153" i="9" s="1"/>
  <c r="A154" i="9" s="1"/>
  <c r="A155" i="9" s="1"/>
  <c r="A156" i="9" s="1"/>
  <c r="A157" i="9" s="1"/>
  <c r="A158" i="9" s="1"/>
  <c r="A159" i="9" s="1"/>
  <c r="A160" i="9" s="1"/>
  <c r="A161" i="9" s="1"/>
  <c r="A162" i="9" s="1"/>
  <c r="A163" i="9" s="1"/>
  <c r="A164" i="9" s="1"/>
  <c r="A165" i="9" s="1"/>
  <c r="A166" i="9" s="1"/>
  <c r="A167" i="9" s="1"/>
  <c r="A168" i="9" s="1"/>
  <c r="A169" i="9" s="1"/>
  <c r="A170" i="9" s="1"/>
  <c r="A171" i="9" s="1"/>
  <c r="A172" i="9" s="1"/>
  <c r="A173" i="9" s="1"/>
  <c r="A174" i="9" s="1"/>
  <c r="A175" i="9" s="1"/>
  <c r="A176" i="9" s="1"/>
  <c r="A177" i="9" s="1"/>
  <c r="A178" i="9" s="1"/>
  <c r="A179" i="9" s="1"/>
  <c r="A180" i="9" s="1"/>
  <c r="A181" i="9" s="1"/>
  <c r="A182" i="9" s="1"/>
  <c r="A183" i="9" s="1"/>
  <c r="A184" i="9" s="1"/>
  <c r="A185" i="9" s="1"/>
  <c r="A186" i="9" s="1"/>
  <c r="A187" i="9" s="1"/>
  <c r="A188" i="9" s="1"/>
  <c r="A189" i="9" s="1"/>
  <c r="A190" i="9" s="1"/>
  <c r="A191" i="9" s="1"/>
  <c r="A192" i="9" s="1"/>
  <c r="A193" i="9" s="1"/>
  <c r="A194" i="9" s="1"/>
  <c r="A195" i="9" s="1"/>
  <c r="A196" i="9" s="1"/>
  <c r="A197" i="9" s="1"/>
  <c r="A198" i="9" s="1"/>
  <c r="A199" i="9" s="1"/>
  <c r="A200" i="9" s="1"/>
  <c r="A3" i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I3" i="1"/>
  <c r="I4" i="1" s="1"/>
  <c r="I5" i="1" s="1"/>
  <c r="I6" i="1" s="1"/>
  <c r="I7" i="1" s="1"/>
  <c r="I8" i="1" s="1"/>
  <c r="I9" i="1" s="1"/>
  <c r="I10" i="1" s="1"/>
  <c r="I11" i="1" s="1"/>
  <c r="I12" i="1" s="1"/>
  <c r="I13" i="1" s="1"/>
  <c r="I14" i="1" s="1"/>
  <c r="I15" i="1" s="1"/>
  <c r="I16" i="1" s="1"/>
  <c r="I17" i="1" s="1"/>
  <c r="I18" i="1" s="1"/>
  <c r="I19" i="1" s="1"/>
  <c r="I20" i="1" s="1"/>
  <c r="I21" i="1" s="1"/>
  <c r="I22" i="1" s="1"/>
  <c r="I23" i="1" s="1"/>
  <c r="I24" i="1" s="1"/>
  <c r="I25" i="1" s="1"/>
  <c r="I26" i="1" s="1"/>
  <c r="I27" i="1" s="1"/>
  <c r="I28" i="1" s="1"/>
  <c r="I29" i="1" s="1"/>
  <c r="I30" i="1" s="1"/>
  <c r="I31" i="1" s="1"/>
  <c r="I32" i="1" s="1"/>
  <c r="I33" i="1" s="1"/>
  <c r="I34" i="1" s="1"/>
  <c r="I35" i="1" s="1"/>
  <c r="I36" i="1" s="1"/>
  <c r="I37" i="1" s="1"/>
  <c r="I38" i="1" s="1"/>
  <c r="I39" i="1" s="1"/>
  <c r="I40" i="1" s="1"/>
  <c r="I41" i="1" s="1"/>
  <c r="I42" i="1" s="1"/>
  <c r="I43" i="1" s="1"/>
  <c r="I44" i="1" s="1"/>
  <c r="I45" i="1" s="1"/>
  <c r="I46" i="1" s="1"/>
  <c r="I47" i="1" s="1"/>
  <c r="I48" i="1" s="1"/>
  <c r="I49" i="1" s="1"/>
  <c r="I50" i="1" s="1"/>
  <c r="I51" i="1" s="1"/>
  <c r="I52" i="1" s="1"/>
  <c r="I53" i="1" s="1"/>
  <c r="H3" i="1"/>
  <c r="H4" i="1" s="1"/>
  <c r="H5" i="1" s="1"/>
  <c r="H6" i="1" s="1"/>
  <c r="H7" i="1" s="1"/>
  <c r="H8" i="1" s="1"/>
  <c r="H9" i="1" s="1"/>
  <c r="H10" i="1" s="1"/>
  <c r="H11" i="1" s="1"/>
  <c r="H12" i="1" s="1"/>
  <c r="H13" i="1" s="1"/>
  <c r="H14" i="1" s="1"/>
  <c r="H15" i="1" s="1"/>
  <c r="H16" i="1" s="1"/>
  <c r="H17" i="1" s="1"/>
  <c r="H18" i="1" s="1"/>
  <c r="H19" i="1" s="1"/>
  <c r="H20" i="1" s="1"/>
  <c r="H21" i="1" s="1"/>
  <c r="H22" i="1" s="1"/>
  <c r="H23" i="1" s="1"/>
  <c r="H24" i="1" s="1"/>
  <c r="H25" i="1" s="1"/>
  <c r="H26" i="1" s="1"/>
  <c r="H27" i="1" s="1"/>
  <c r="H28" i="1" s="1"/>
  <c r="H29" i="1" s="1"/>
  <c r="H30" i="1" s="1"/>
  <c r="H31" i="1" s="1"/>
  <c r="H32" i="1" s="1"/>
  <c r="H33" i="1" s="1"/>
  <c r="H34" i="1" s="1"/>
  <c r="H35" i="1" s="1"/>
  <c r="H36" i="1" s="1"/>
  <c r="H37" i="1" s="1"/>
  <c r="H38" i="1" s="1"/>
  <c r="H39" i="1" s="1"/>
  <c r="H40" i="1" s="1"/>
  <c r="H41" i="1" s="1"/>
  <c r="H42" i="1" s="1"/>
  <c r="H43" i="1" s="1"/>
  <c r="H44" i="1" s="1"/>
  <c r="H45" i="1" s="1"/>
  <c r="H46" i="1" s="1"/>
  <c r="H47" i="1" s="1"/>
  <c r="H48" i="1" s="1"/>
  <c r="H49" i="1" s="1"/>
  <c r="H50" i="1" s="1"/>
  <c r="H51" i="1" s="1"/>
  <c r="H52" i="1" s="1"/>
  <c r="H53" i="1" s="1"/>
  <c r="A4" i="8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A1" i="8"/>
  <c r="A2" i="8" l="1"/>
  <c r="A54" i="1" l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B3" i="1"/>
  <c r="B4" i="1" s="1"/>
  <c r="B5" i="1" s="1"/>
  <c r="B6" i="1" s="1"/>
  <c r="B7" i="1" s="1"/>
  <c r="B8" i="1" s="1"/>
  <c r="B9" i="1" s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B40" i="1" s="1"/>
  <c r="B41" i="1" s="1"/>
  <c r="B42" i="1" s="1"/>
  <c r="B43" i="1" s="1"/>
  <c r="B44" i="1" s="1"/>
  <c r="B45" i="1" s="1"/>
  <c r="B46" i="1" s="1"/>
  <c r="B47" i="1" s="1"/>
  <c r="B48" i="1" s="1"/>
  <c r="B49" i="1" s="1"/>
  <c r="B50" i="1" s="1"/>
  <c r="B51" i="1" s="1"/>
  <c r="B52" i="1" s="1"/>
  <c r="B53" i="1" s="1"/>
  <c r="B54" i="1" s="1"/>
  <c r="B55" i="1" s="1"/>
  <c r="B56" i="1" s="1"/>
  <c r="B57" i="1" s="1"/>
  <c r="B58" i="1" s="1"/>
  <c r="B59" i="1" s="1"/>
  <c r="B60" i="1" s="1"/>
  <c r="B61" i="1" s="1"/>
  <c r="B62" i="1" s="1"/>
  <c r="B63" i="1" s="1"/>
  <c r="B64" i="1" s="1"/>
  <c r="B65" i="1" s="1"/>
  <c r="B66" i="1" s="1"/>
  <c r="B67" i="1" s="1"/>
  <c r="B68" i="1" s="1"/>
  <c r="B69" i="1" s="1"/>
  <c r="B70" i="1" s="1"/>
  <c r="B71" i="1" s="1"/>
  <c r="B72" i="1" s="1"/>
  <c r="B73" i="1" s="1"/>
  <c r="B74" i="1" s="1"/>
  <c r="B75" i="1" s="1"/>
  <c r="B76" i="1" s="1"/>
  <c r="B77" i="1" s="1"/>
  <c r="B78" i="1" s="1"/>
  <c r="B79" i="1" s="1"/>
  <c r="B80" i="1" s="1"/>
  <c r="B81" i="1" s="1"/>
  <c r="B82" i="1" s="1"/>
  <c r="B83" i="1" s="1"/>
  <c r="B84" i="1" s="1"/>
  <c r="B85" i="1" s="1"/>
  <c r="B86" i="1" s="1"/>
  <c r="B87" i="1" s="1"/>
  <c r="B88" i="1" s="1"/>
  <c r="B89" i="1" s="1"/>
  <c r="B90" i="1" s="1"/>
  <c r="B91" i="1" s="1"/>
  <c r="B92" i="1" s="1"/>
  <c r="B93" i="1" s="1"/>
  <c r="B94" i="1" s="1"/>
  <c r="B95" i="1" s="1"/>
  <c r="B96" i="1" s="1"/>
  <c r="B97" i="1" s="1"/>
  <c r="B98" i="1" s="1"/>
  <c r="B99" i="1" s="1"/>
  <c r="B100" i="1" s="1"/>
  <c r="B101" i="1" s="1"/>
  <c r="B102" i="1" s="1"/>
  <c r="B103" i="1" s="1"/>
  <c r="B104" i="1" s="1"/>
  <c r="B105" i="1" s="1"/>
  <c r="B106" i="1" s="1"/>
  <c r="B107" i="1" s="1"/>
  <c r="B108" i="1" s="1"/>
  <c r="B109" i="1" s="1"/>
  <c r="B110" i="1" s="1"/>
  <c r="B111" i="1" s="1"/>
  <c r="B112" i="1" s="1"/>
  <c r="B113" i="1" s="1"/>
  <c r="B114" i="1" s="1"/>
  <c r="B115" i="1" s="1"/>
  <c r="B116" i="1" s="1"/>
  <c r="B117" i="1" s="1"/>
  <c r="B118" i="1" s="1"/>
  <c r="B119" i="1" s="1"/>
  <c r="B120" i="1" s="1"/>
  <c r="B121" i="1" s="1"/>
  <c r="B122" i="1" s="1"/>
  <c r="B123" i="1" s="1"/>
  <c r="B124" i="1" s="1"/>
  <c r="B125" i="1" s="1"/>
  <c r="B126" i="1" s="1"/>
  <c r="B127" i="1" s="1"/>
  <c r="B128" i="1" s="1"/>
  <c r="B129" i="1" s="1"/>
  <c r="B130" i="1" s="1"/>
  <c r="B131" i="1" s="1"/>
  <c r="B132" i="1" s="1"/>
  <c r="B133" i="1" s="1"/>
  <c r="B134" i="1" s="1"/>
  <c r="B135" i="1" s="1"/>
  <c r="B136" i="1" s="1"/>
  <c r="B137" i="1" s="1"/>
  <c r="B138" i="1" s="1"/>
  <c r="B139" i="1" s="1"/>
  <c r="B140" i="1" s="1"/>
  <c r="B141" i="1" s="1"/>
  <c r="B142" i="1" s="1"/>
  <c r="B143" i="1" s="1"/>
  <c r="B144" i="1" s="1"/>
  <c r="B145" i="1" s="1"/>
  <c r="B146" i="1" s="1"/>
  <c r="B147" i="1" s="1"/>
  <c r="B148" i="1" s="1"/>
  <c r="B149" i="1" s="1"/>
  <c r="B150" i="1" s="1"/>
  <c r="B151" i="1" s="1"/>
  <c r="B152" i="1" s="1"/>
  <c r="B153" i="1" s="1"/>
  <c r="B154" i="1" s="1"/>
  <c r="B155" i="1" s="1"/>
  <c r="B156" i="1" s="1"/>
  <c r="B157" i="1" s="1"/>
  <c r="B158" i="1" s="1"/>
  <c r="B159" i="1" s="1"/>
  <c r="B160" i="1" s="1"/>
  <c r="B161" i="1" s="1"/>
  <c r="B162" i="1" s="1"/>
  <c r="B163" i="1" s="1"/>
  <c r="B164" i="1" s="1"/>
  <c r="B165" i="1" s="1"/>
  <c r="B166" i="1" s="1"/>
  <c r="B167" i="1" s="1"/>
  <c r="B168" i="1" s="1"/>
  <c r="B169" i="1" s="1"/>
  <c r="B170" i="1" s="1"/>
  <c r="B171" i="1" s="1"/>
  <c r="B172" i="1" s="1"/>
  <c r="B173" i="1" s="1"/>
  <c r="B174" i="1" s="1"/>
  <c r="B175" i="1" s="1"/>
  <c r="B176" i="1" s="1"/>
  <c r="B177" i="1" s="1"/>
  <c r="B178" i="1" s="1"/>
  <c r="B179" i="1" s="1"/>
  <c r="B180" i="1" s="1"/>
  <c r="B181" i="1" s="1"/>
  <c r="B182" i="1" s="1"/>
  <c r="B183" i="1" s="1"/>
  <c r="B184" i="1" s="1"/>
  <c r="B185" i="1" s="1"/>
  <c r="B186" i="1" s="1"/>
  <c r="B187" i="1" s="1"/>
  <c r="B188" i="1" s="1"/>
  <c r="B189" i="1" s="1"/>
  <c r="B190" i="1" s="1"/>
  <c r="B191" i="1" s="1"/>
  <c r="B192" i="1" s="1"/>
  <c r="B193" i="1" s="1"/>
  <c r="B194" i="1" s="1"/>
  <c r="B195" i="1" s="1"/>
  <c r="B196" i="1" s="1"/>
  <c r="B197" i="1" s="1"/>
  <c r="B198" i="1" s="1"/>
  <c r="B199" i="1" s="1"/>
  <c r="B200" i="1" s="1"/>
</calcChain>
</file>

<file path=xl/sharedStrings.xml><?xml version="1.0" encoding="utf-8"?>
<sst xmlns="http://schemas.openxmlformats.org/spreadsheetml/2006/main" count="91" uniqueCount="28">
  <si>
    <t>ゼロ</t>
    <phoneticPr fontId="1"/>
  </si>
  <si>
    <t>カリブレーション</t>
    <phoneticPr fontId="1"/>
  </si>
  <si>
    <t>ベンチマーク</t>
    <phoneticPr fontId="1"/>
  </si>
  <si>
    <t>貼付</t>
    <rPh sb="0" eb="1">
      <t>ハ</t>
    </rPh>
    <rPh sb="1" eb="2">
      <t>ツ</t>
    </rPh>
    <phoneticPr fontId="1"/>
  </si>
  <si>
    <t>出力</t>
    <rPh sb="0" eb="2">
      <t>シュツリョク</t>
    </rPh>
    <phoneticPr fontId="1"/>
  </si>
  <si>
    <t>result</t>
    <phoneticPr fontId="1"/>
  </si>
  <si>
    <t>←出力・貼り付けファイルの列数を取得（マクロ用・編集厳禁）</t>
    <rPh sb="1" eb="3">
      <t>シュツリョク</t>
    </rPh>
    <rPh sb="4" eb="5">
      <t>ハ</t>
    </rPh>
    <rPh sb="6" eb="7">
      <t>ツ</t>
    </rPh>
    <rPh sb="13" eb="15">
      <t>レツスウ</t>
    </rPh>
    <rPh sb="16" eb="18">
      <t>シュトク</t>
    </rPh>
    <rPh sb="22" eb="23">
      <t>ヨウ</t>
    </rPh>
    <rPh sb="24" eb="28">
      <t>ヘンシュウゲンキン</t>
    </rPh>
    <phoneticPr fontId="1"/>
  </si>
  <si>
    <t>←当ファイル名</t>
    <rPh sb="1" eb="2">
      <t>トウ</t>
    </rPh>
    <rPh sb="6" eb="7">
      <t>メイ</t>
    </rPh>
    <phoneticPr fontId="1"/>
  </si>
  <si>
    <r>
      <t>↑セル位置変更・列挿入はしないでください</t>
    </r>
    <r>
      <rPr>
        <b/>
        <sz val="10"/>
        <color rgb="FFC00000"/>
        <rFont val="游ゴシック"/>
        <family val="3"/>
        <charset val="128"/>
        <scheme val="minor"/>
      </rPr>
      <t>（マクロに読み込むため）</t>
    </r>
    <rPh sb="3" eb="5">
      <t>イチ</t>
    </rPh>
    <rPh sb="5" eb="7">
      <t>ヘンコウ</t>
    </rPh>
    <rPh sb="8" eb="9">
      <t>レツ</t>
    </rPh>
    <rPh sb="9" eb="11">
      <t>ソウニュウ</t>
    </rPh>
    <rPh sb="25" eb="26">
      <t>ヨ</t>
    </rPh>
    <rPh sb="27" eb="28">
      <t>コ</t>
    </rPh>
    <phoneticPr fontId="1"/>
  </si>
  <si>
    <t>←出力ファイルが格納されているフォルダ名を入力</t>
    <rPh sb="1" eb="3">
      <t>シュツリョク</t>
    </rPh>
    <rPh sb="8" eb="10">
      <t>カクノウ</t>
    </rPh>
    <rPh sb="19" eb="20">
      <t>メイ</t>
    </rPh>
    <rPh sb="21" eb="23">
      <t>ニュウリョク</t>
    </rPh>
    <phoneticPr fontId="1"/>
  </si>
  <si>
    <t>需給ギャップ</t>
    <rPh sb="0" eb="2">
      <t>ジュキュウ</t>
    </rPh>
    <phoneticPr fontId="1"/>
  </si>
  <si>
    <t>インフレ率</t>
    <rPh sb="4" eb="5">
      <t>リツ</t>
    </rPh>
    <phoneticPr fontId="1"/>
  </si>
  <si>
    <t>期待インフレ率</t>
    <rPh sb="0" eb="2">
      <t>キタイ</t>
    </rPh>
    <rPh sb="6" eb="7">
      <t>リツ</t>
    </rPh>
    <phoneticPr fontId="1"/>
  </si>
  <si>
    <t>物価観</t>
    <rPh sb="0" eb="2">
      <t>ブッカ</t>
    </rPh>
    <rPh sb="2" eb="3">
      <t>カン</t>
    </rPh>
    <phoneticPr fontId="1"/>
  </si>
  <si>
    <t>名目金利</t>
    <rPh sb="0" eb="4">
      <t>メイモクキンリ</t>
    </rPh>
    <phoneticPr fontId="1"/>
  </si>
  <si>
    <t>期</t>
    <rPh sb="0" eb="1">
      <t>キ</t>
    </rPh>
    <phoneticPr fontId="1"/>
  </si>
  <si>
    <t>物価目標</t>
    <rPh sb="0" eb="4">
      <t>ブッカモクヒョウ</t>
    </rPh>
    <phoneticPr fontId="1"/>
  </si>
  <si>
    <t>ターミナルレート</t>
    <phoneticPr fontId="1"/>
  </si>
  <si>
    <t>縦軸</t>
    <rPh sb="0" eb="2">
      <t>タテジク</t>
    </rPh>
    <phoneticPr fontId="1"/>
  </si>
  <si>
    <t>benchmark</t>
  </si>
  <si>
    <t>25bps利上げパターン</t>
    <rPh sb="5" eb="7">
      <t>リア</t>
    </rPh>
    <phoneticPr fontId="1"/>
  </si>
  <si>
    <t>25hike</t>
  </si>
  <si>
    <t>25bps利上げ&amp;直近で輸入物価ショック5％</t>
    <rPh sb="5" eb="7">
      <t>リア</t>
    </rPh>
    <rPh sb="9" eb="11">
      <t>チョッキン</t>
    </rPh>
    <rPh sb="12" eb="14">
      <t>ユニュウ</t>
    </rPh>
    <rPh sb="14" eb="16">
      <t>ブッカ</t>
    </rPh>
    <phoneticPr fontId="1"/>
  </si>
  <si>
    <t>IPI_plus</t>
  </si>
  <si>
    <t>25bps利上げ&amp;ターミナルレート付近で輸入物価ショック5％</t>
    <rPh sb="5" eb="7">
      <t>リア</t>
    </rPh>
    <rPh sb="17" eb="19">
      <t>フキン</t>
    </rPh>
    <rPh sb="20" eb="22">
      <t>ユニュウ</t>
    </rPh>
    <rPh sb="22" eb="24">
      <t>ブッカ</t>
    </rPh>
    <phoneticPr fontId="1"/>
  </si>
  <si>
    <t>IPI_minus</t>
  </si>
  <si>
    <t>IPI_minus</t>
    <phoneticPr fontId="1"/>
  </si>
  <si>
    <t>25bps利上げ&amp;直近で輸入物価ショック▲5％</t>
    <rPh sb="5" eb="7">
      <t>リア</t>
    </rPh>
    <rPh sb="9" eb="11">
      <t>チョッキン</t>
    </rPh>
    <rPh sb="12" eb="14">
      <t>ユニュウ</t>
    </rPh>
    <rPh sb="14" eb="16">
      <t>ブッカ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</si>
</sst>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_ "/>
  </numFmts>
  <fonts count="1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0"/>
      <color theme="1"/>
      <name val="游ゴシック"/>
      <family val="3"/>
      <charset val="128"/>
      <scheme val="minor"/>
    </font>
    <font>
      <b/>
      <sz val="16"/>
      <color theme="1"/>
      <name val="游ゴシック"/>
      <family val="3"/>
      <charset val="128"/>
      <scheme val="minor"/>
    </font>
    <font>
      <b/>
      <sz val="11"/>
      <color rgb="FF000000"/>
      <name val="メイリオ"/>
      <family val="3"/>
      <charset val="128"/>
    </font>
    <font>
      <sz val="11"/>
      <color rgb="FF0000FF"/>
      <name val="游ゴシック"/>
      <family val="3"/>
      <charset val="128"/>
      <scheme val="minor"/>
    </font>
    <font>
      <b/>
      <sz val="11"/>
      <color rgb="FFC00000"/>
      <name val="游ゴシック"/>
      <family val="3"/>
      <charset val="128"/>
      <scheme val="minor"/>
    </font>
    <font>
      <sz val="11"/>
      <color rgb="FF0000FF"/>
      <name val="游ゴシック"/>
      <family val="2"/>
      <charset val="128"/>
      <scheme val="minor"/>
    </font>
    <font>
      <b/>
      <sz val="10"/>
      <color rgb="FFC0000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0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0"/>
      <color rgb="FF0000FF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0" fontId="2" fillId="0" borderId="0" xfId="0" applyFont="1" applyAlignment="1">
      <alignment vertical="center" wrapText="1"/>
    </xf>
    <xf numFmtId="0" fontId="3" fillId="0" borderId="0" xfId="0" applyFont="1">
      <alignment vertical="center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3" borderId="0" xfId="0" applyFill="1">
      <alignment vertical="center"/>
    </xf>
    <xf numFmtId="0" fontId="6" fillId="3" borderId="0" xfId="0" applyFont="1" applyFill="1">
      <alignment vertical="center"/>
    </xf>
    <xf numFmtId="0" fontId="2" fillId="0" borderId="0" xfId="0" applyFont="1">
      <alignment vertical="center"/>
    </xf>
    <xf numFmtId="0" fontId="7" fillId="0" borderId="0" xfId="0" applyFont="1">
      <alignment vertical="center"/>
    </xf>
    <xf numFmtId="0" fontId="5" fillId="0" borderId="0" xfId="0" applyFont="1" applyAlignment="1">
      <alignment horizontal="left" vertical="center"/>
    </xf>
    <xf numFmtId="0" fontId="6" fillId="0" borderId="0" xfId="0" applyFont="1">
      <alignment vertical="center"/>
    </xf>
    <xf numFmtId="0" fontId="9" fillId="2" borderId="1" xfId="0" applyFont="1" applyFill="1" applyBorder="1">
      <alignment vertical="center"/>
    </xf>
    <xf numFmtId="176" fontId="10" fillId="0" borderId="0" xfId="0" applyNumberFormat="1" applyFont="1" applyAlignment="1">
      <alignment vertical="center" wrapText="1"/>
    </xf>
    <xf numFmtId="176" fontId="9" fillId="0" borderId="0" xfId="0" applyNumberFormat="1" applyFont="1">
      <alignment vertical="center"/>
    </xf>
    <xf numFmtId="0" fontId="12" fillId="0" borderId="0" xfId="0" applyFont="1" applyAlignment="1">
      <alignment vertical="center" wrapText="1"/>
    </xf>
    <xf numFmtId="176" fontId="5" fillId="0" borderId="0" xfId="0" applyNumberFormat="1" applyFont="1">
      <alignment vertical="center"/>
    </xf>
    <xf numFmtId="0" fontId="5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176" fontId="9" fillId="2" borderId="0" xfId="0" applyNumberFormat="1" applyFont="1" applyFill="1">
      <alignment vertical="center"/>
    </xf>
    <xf numFmtId="0" fontId="2" fillId="2" borderId="2" xfId="0" applyFont="1" applyFill="1" applyBorder="1">
      <alignment vertical="center"/>
    </xf>
    <xf numFmtId="0" fontId="2" fillId="2" borderId="3" xfId="0" applyFont="1" applyFill="1" applyBorder="1">
      <alignment vertical="center"/>
    </xf>
    <xf numFmtId="0" fontId="11" fillId="2" borderId="4" xfId="0" applyFont="1" applyFill="1" applyBorder="1">
      <alignment vertical="center"/>
    </xf>
    <xf numFmtId="0" fontId="11" fillId="2" borderId="5" xfId="0" applyFont="1" applyFill="1" applyBorder="1">
      <alignment vertical="center"/>
    </xf>
    <xf numFmtId="0" fontId="0" fillId="2" borderId="6" xfId="0" applyFill="1" applyBorder="1">
      <alignment vertical="center"/>
    </xf>
    <xf numFmtId="0" fontId="0" fillId="2" borderId="7" xfId="0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5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7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8.xml"/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0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1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3.xml"/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4.xml"/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6.xml"/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7.xml"/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9.xml"/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0.xml"/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2.xml"/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3.xml"/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40233076776417"/>
          <c:y val="9.5123027297075252E-2"/>
          <c:w val="0.83208394199593816"/>
          <c:h val="0.81169163212805151"/>
        </c:manualLayout>
      </c:layout>
      <c:barChart>
        <c:barDir val="col"/>
        <c:grouping val="clustered"/>
        <c:varyColors val="0"/>
        <c:ser>
          <c:idx val="4"/>
          <c:order val="5"/>
          <c:tx>
            <c:strRef>
              <c:f>benchmark!$J$1</c:f>
              <c:strCache>
                <c:ptCount val="1"/>
                <c:pt idx="0">
                  <c:v>縦軸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val>
            <c:numRef>
              <c:f>benchmark!$J$2:$J$24</c:f>
              <c:numCache>
                <c:formatCode>0.00_ </c:formatCode>
                <c:ptCount val="23"/>
                <c:pt idx="0">
                  <c:v>-200</c:v>
                </c:pt>
                <c:pt idx="1">
                  <c:v>-200</c:v>
                </c:pt>
                <c:pt idx="2">
                  <c:v>-200</c:v>
                </c:pt>
                <c:pt idx="3">
                  <c:v>-200</c:v>
                </c:pt>
                <c:pt idx="4">
                  <c:v>100</c:v>
                </c:pt>
                <c:pt idx="5">
                  <c:v>-200</c:v>
                </c:pt>
                <c:pt idx="6">
                  <c:v>-200</c:v>
                </c:pt>
                <c:pt idx="7">
                  <c:v>-200</c:v>
                </c:pt>
                <c:pt idx="8">
                  <c:v>-200</c:v>
                </c:pt>
                <c:pt idx="9">
                  <c:v>-200</c:v>
                </c:pt>
                <c:pt idx="10">
                  <c:v>-200</c:v>
                </c:pt>
                <c:pt idx="11">
                  <c:v>-200</c:v>
                </c:pt>
                <c:pt idx="12">
                  <c:v>-200</c:v>
                </c:pt>
                <c:pt idx="13">
                  <c:v>-200</c:v>
                </c:pt>
                <c:pt idx="14">
                  <c:v>-200</c:v>
                </c:pt>
                <c:pt idx="15">
                  <c:v>-200</c:v>
                </c:pt>
                <c:pt idx="16">
                  <c:v>-200</c:v>
                </c:pt>
                <c:pt idx="17">
                  <c:v>-200</c:v>
                </c:pt>
                <c:pt idx="18">
                  <c:v>-200</c:v>
                </c:pt>
                <c:pt idx="19">
                  <c:v>-200</c:v>
                </c:pt>
                <c:pt idx="20">
                  <c:v>-200</c:v>
                </c:pt>
                <c:pt idx="21">
                  <c:v>-200</c:v>
                </c:pt>
                <c:pt idx="22">
                  <c:v>-200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FE-4A75-BC3F-DAC4A86402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axId val="344480831"/>
        <c:axId val="344486591"/>
      </c:barChart>
      <c:lineChart>
        <c:grouping val="standard"/>
        <c:varyColors val="0"/>
        <c:ser>
          <c:idx val="1"/>
          <c:order val="0"/>
          <c:tx>
            <c:strRef>
              <c:f>benchmark!$D$1</c:f>
              <c:strCache>
                <c:ptCount val="1"/>
                <c:pt idx="0">
                  <c:v>インフレ率</c:v>
                </c:pt>
              </c:strCache>
            </c:strRef>
          </c:tx>
          <c:spPr>
            <a:ln w="25400" cap="rnd">
              <a:solidFill>
                <a:srgbClr val="00206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benchmark!$A$2:$A$24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benchmark!$D$2:$D$24</c:f>
              <c:numCache>
                <c:formatCode>0.00_ </c:formatCode>
                <c:ptCount val="23"/>
                <c:pt idx="0">
                  <c:v>1.5</c:v>
                </c:pt>
                <c:pt idx="1">
                  <c:v>1.6573876655055337</c:v>
                </c:pt>
                <c:pt idx="2">
                  <c:v>1.7882324643576384</c:v>
                </c:pt>
                <c:pt idx="3">
                  <c:v>1.910973836650006</c:v>
                </c:pt>
                <c:pt idx="4">
                  <c:v>2.0120817236021336</c:v>
                </c:pt>
                <c:pt idx="5">
                  <c:v>2.074014150281954</c:v>
                </c:pt>
                <c:pt idx="6">
                  <c:v>2.0965754683781084</c:v>
                </c:pt>
                <c:pt idx="7">
                  <c:v>2.0915092251004235</c:v>
                </c:pt>
                <c:pt idx="8">
                  <c:v>2.0733268137091172</c:v>
                </c:pt>
                <c:pt idx="9">
                  <c:v>2.0533338527440046</c:v>
                </c:pt>
                <c:pt idx="10">
                  <c:v>2.0376571570136939</c:v>
                </c:pt>
                <c:pt idx="11">
                  <c:v>2.0279533862063412</c:v>
                </c:pt>
                <c:pt idx="12">
                  <c:v>2.023195555525088</c:v>
                </c:pt>
                <c:pt idx="13">
                  <c:v>2.0213980027328438</c:v>
                </c:pt>
                <c:pt idx="14">
                  <c:v>2.0207517225958886</c:v>
                </c:pt>
                <c:pt idx="15">
                  <c:v>2.0201093588094317</c:v>
                </c:pt>
                <c:pt idx="16">
                  <c:v>2.0190023817166916</c:v>
                </c:pt>
                <c:pt idx="17">
                  <c:v>2.017429602387669</c:v>
                </c:pt>
                <c:pt idx="18">
                  <c:v>2.0156053618207128</c:v>
                </c:pt>
                <c:pt idx="19">
                  <c:v>2.0137702701887856</c:v>
                </c:pt>
                <c:pt idx="20">
                  <c:v>2.0120931817988272</c:v>
                </c:pt>
                <c:pt idx="21">
                  <c:v>2.0106484309397934</c:v>
                </c:pt>
                <c:pt idx="22">
                  <c:v>2.0094362307319713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2FE-4A75-BC3F-DAC4A864028F}"/>
            </c:ext>
          </c:extLst>
        </c:ser>
        <c:ser>
          <c:idx val="2"/>
          <c:order val="1"/>
          <c:tx>
            <c:strRef>
              <c:f>benchmark!$E$1</c:f>
              <c:strCache>
                <c:ptCount val="1"/>
                <c:pt idx="0">
                  <c:v>期待インフレ率</c:v>
                </c:pt>
              </c:strCache>
            </c:strRef>
          </c:tx>
          <c:spPr>
            <a:ln w="19050" cap="rnd">
              <a:solidFill>
                <a:srgbClr val="00B05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benchmark!$A$2:$A$24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benchmark!$E$2:$E$24</c:f>
              <c:numCache>
                <c:formatCode>0.00_ </c:formatCode>
                <c:ptCount val="23"/>
                <c:pt idx="0">
                  <c:v>1.5</c:v>
                </c:pt>
                <c:pt idx="1">
                  <c:v>1.6200488214049564</c:v>
                </c:pt>
                <c:pt idx="2">
                  <c:v>1.700919232560256</c:v>
                </c:pt>
                <c:pt idx="3">
                  <c:v>1.7733501337212731</c:v>
                </c:pt>
                <c:pt idx="4">
                  <c:v>1.832075349157313</c:v>
                </c:pt>
                <c:pt idx="5">
                  <c:v>1.8737954754274537</c:v>
                </c:pt>
                <c:pt idx="6">
                  <c:v>1.8990045530898327</c:v>
                </c:pt>
                <c:pt idx="7">
                  <c:v>1.9121026729121597</c:v>
                </c:pt>
                <c:pt idx="8">
                  <c:v>1.918549084468727</c:v>
                </c:pt>
                <c:pt idx="9">
                  <c:v>1.9227184010319971</c:v>
                </c:pt>
                <c:pt idx="10">
                  <c:v>1.9271154910336268</c:v>
                </c:pt>
                <c:pt idx="11">
                  <c:v>1.9325789896771899</c:v>
                </c:pt>
                <c:pt idx="12">
                  <c:v>1.9389110926285533</c:v>
                </c:pt>
                <c:pt idx="13">
                  <c:v>1.9455106934577913</c:v>
                </c:pt>
                <c:pt idx="14">
                  <c:v>1.9518034150084116</c:v>
                </c:pt>
                <c:pt idx="15">
                  <c:v>1.9574354104869285</c:v>
                </c:pt>
                <c:pt idx="16">
                  <c:v>1.9622918255522432</c:v>
                </c:pt>
                <c:pt idx="17">
                  <c:v>1.9664259214045989</c:v>
                </c:pt>
                <c:pt idx="18">
                  <c:v>1.9699688709923135</c:v>
                </c:pt>
                <c:pt idx="19">
                  <c:v>1.9730598506052397</c:v>
                </c:pt>
                <c:pt idx="20">
                  <c:v>1.9758086939689155</c:v>
                </c:pt>
                <c:pt idx="21">
                  <c:v>1.9782863374358695</c:v>
                </c:pt>
                <c:pt idx="22">
                  <c:v>1.980531749078104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2FE-4A75-BC3F-DAC4A864028F}"/>
            </c:ext>
          </c:extLst>
        </c:ser>
        <c:ser>
          <c:idx val="3"/>
          <c:order val="2"/>
          <c:tx>
            <c:strRef>
              <c:f>benchmark!$F$1</c:f>
              <c:strCache>
                <c:ptCount val="1"/>
                <c:pt idx="0">
                  <c:v>物価観</c:v>
                </c:pt>
              </c:strCache>
            </c:strRef>
          </c:tx>
          <c:spPr>
            <a:ln w="22225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benchmark!$A$2:$A$24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benchmark!$F$2:$F$24</c:f>
              <c:numCache>
                <c:formatCode>0.00_ </c:formatCode>
                <c:ptCount val="23"/>
                <c:pt idx="0">
                  <c:v>1.5</c:v>
                </c:pt>
                <c:pt idx="1">
                  <c:v>1.514164889895498</c:v>
                </c:pt>
                <c:pt idx="2">
                  <c:v>1.5388309715970907</c:v>
                </c:pt>
                <c:pt idx="3">
                  <c:v>1.5723238294518531</c:v>
                </c:pt>
                <c:pt idx="4">
                  <c:v>1.6119020399253783</c:v>
                </c:pt>
                <c:pt idx="5">
                  <c:v>1.6534921298574701</c:v>
                </c:pt>
                <c:pt idx="6">
                  <c:v>1.6933696303243275</c:v>
                </c:pt>
                <c:pt idx="7">
                  <c:v>1.7292021938541762</c:v>
                </c:pt>
                <c:pt idx="8">
                  <c:v>1.760173409641121</c:v>
                </c:pt>
                <c:pt idx="9">
                  <c:v>1.7865578495203804</c:v>
                </c:pt>
                <c:pt idx="10">
                  <c:v>1.8091567871947787</c:v>
                </c:pt>
                <c:pt idx="11">
                  <c:v>1.8288484811058192</c:v>
                </c:pt>
                <c:pt idx="12">
                  <c:v>1.8463397178035534</c:v>
                </c:pt>
                <c:pt idx="13">
                  <c:v>1.8620949634471895</c:v>
                </c:pt>
                <c:pt idx="14">
                  <c:v>1.8763740717705726</c:v>
                </c:pt>
                <c:pt idx="15">
                  <c:v>1.88931024760407</c:v>
                </c:pt>
                <c:pt idx="16">
                  <c:v>1.9009825396742059</c:v>
                </c:pt>
                <c:pt idx="17">
                  <c:v>1.9114627753184177</c:v>
                </c:pt>
                <c:pt idx="18">
                  <c:v>1.9208356081036242</c:v>
                </c:pt>
                <c:pt idx="19">
                  <c:v>1.9291997276912887</c:v>
                </c:pt>
                <c:pt idx="20">
                  <c:v>1.9366601385609672</c:v>
                </c:pt>
                <c:pt idx="21">
                  <c:v>1.9433190848750617</c:v>
                </c:pt>
                <c:pt idx="22">
                  <c:v>1.9492696280021835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2FE-4A75-BC3F-DAC4A864028F}"/>
            </c:ext>
          </c:extLst>
        </c:ser>
        <c:ser>
          <c:idx val="6"/>
          <c:order val="3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benchmark!$B$2:$B$24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2FE-4A75-BC3F-DAC4A864028F}"/>
            </c:ext>
          </c:extLst>
        </c:ser>
        <c:ser>
          <c:idx val="0"/>
          <c:order val="4"/>
          <c:tx>
            <c:strRef>
              <c:f>benchmark!$H$1</c:f>
              <c:strCache>
                <c:ptCount val="1"/>
                <c:pt idx="0">
                  <c:v>物価目標</c:v>
                </c:pt>
              </c:strCache>
            </c:strRef>
          </c:tx>
          <c:spPr>
            <a:ln w="1270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benchmark!$H$2:$H$24</c:f>
              <c:numCache>
                <c:formatCode>0.00_ </c:formatCode>
                <c:ptCount val="2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2FE-4A75-BC3F-DAC4A86402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480831"/>
        <c:axId val="344486591"/>
      </c:lineChart>
      <c:catAx>
        <c:axId val="34448083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6591"/>
        <c:crossesAt val="-100"/>
        <c:auto val="1"/>
        <c:lblAlgn val="ctr"/>
        <c:lblOffset val="100"/>
        <c:tickLblSkip val="4"/>
        <c:tickMarkSkip val="1"/>
        <c:noMultiLvlLbl val="0"/>
      </c:catAx>
      <c:valAx>
        <c:axId val="344486591"/>
        <c:scaling>
          <c:orientation val="minMax"/>
          <c:max val="2.2000000000000002"/>
          <c:min val="1.4"/>
        </c:scaling>
        <c:delete val="0"/>
        <c:axPos val="l"/>
        <c:numFmt formatCode="0.0_ " sourceLinked="0"/>
        <c:majorTickMark val="out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0831"/>
        <c:crosses val="autoZero"/>
        <c:crossBetween val="midCat"/>
        <c:majorUnit val="0.1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  <a:effectLst/>
      </c:spPr>
    </c:plotArea>
    <c:legend>
      <c:legendPos val="b"/>
      <c:legendEntry>
        <c:idx val="0"/>
        <c:delete val="1"/>
      </c:legendEntry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0.44889714464188846"/>
          <c:y val="0.63088409705779325"/>
          <c:w val="0.51769993260237046"/>
          <c:h val="0.21690984576381592"/>
        </c:manualLayout>
      </c:layout>
      <c:overlay val="0"/>
      <c:spPr>
        <a:noFill/>
        <a:ln w="2540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rgbClr val="000000"/>
              </a:solidFill>
              <a:latin typeface="ＭＳ ゴシック"/>
              <a:ea typeface="ＭＳ ゴシック"/>
              <a:cs typeface="ＭＳ ゴシック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25400" cap="flat" cmpd="sng" algn="ctr">
      <a:noFill/>
      <a:round/>
    </a:ln>
    <a:effectLst/>
  </c:spPr>
  <c:txPr>
    <a:bodyPr/>
    <a:lstStyle/>
    <a:p>
      <a:pPr>
        <a:defRPr>
          <a:solidFill>
            <a:srgbClr val="000000"/>
          </a:solidFill>
          <a:latin typeface="ＭＳ ゴシック"/>
          <a:ea typeface="ＭＳ ゴシック"/>
          <a:cs typeface="ＭＳ ゴシック"/>
        </a:defRPr>
      </a:pPr>
      <a:endParaRPr lang="ja-JP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40233076776417"/>
          <c:y val="9.5123027297075252E-2"/>
          <c:w val="0.83208394199593816"/>
          <c:h val="0.81169163212805151"/>
        </c:manualLayout>
      </c:layout>
      <c:barChart>
        <c:barDir val="col"/>
        <c:grouping val="clustered"/>
        <c:varyColors val="0"/>
        <c:ser>
          <c:idx val="3"/>
          <c:order val="4"/>
          <c:tx>
            <c:strRef>
              <c:f>benchmark!$J$1</c:f>
              <c:strCache>
                <c:ptCount val="1"/>
                <c:pt idx="0">
                  <c:v>縦軸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val>
            <c:numRef>
              <c:f>benchmark!$J$2:$J$24</c:f>
              <c:numCache>
                <c:formatCode>0.00_ </c:formatCode>
                <c:ptCount val="23"/>
                <c:pt idx="0">
                  <c:v>-200</c:v>
                </c:pt>
                <c:pt idx="1">
                  <c:v>-200</c:v>
                </c:pt>
                <c:pt idx="2">
                  <c:v>-200</c:v>
                </c:pt>
                <c:pt idx="3">
                  <c:v>-200</c:v>
                </c:pt>
                <c:pt idx="4">
                  <c:v>100</c:v>
                </c:pt>
                <c:pt idx="5">
                  <c:v>-200</c:v>
                </c:pt>
                <c:pt idx="6">
                  <c:v>-200</c:v>
                </c:pt>
                <c:pt idx="7">
                  <c:v>-200</c:v>
                </c:pt>
                <c:pt idx="8">
                  <c:v>-200</c:v>
                </c:pt>
                <c:pt idx="9">
                  <c:v>-200</c:v>
                </c:pt>
                <c:pt idx="10">
                  <c:v>-200</c:v>
                </c:pt>
                <c:pt idx="11">
                  <c:v>-200</c:v>
                </c:pt>
                <c:pt idx="12">
                  <c:v>-200</c:v>
                </c:pt>
                <c:pt idx="13">
                  <c:v>-200</c:v>
                </c:pt>
                <c:pt idx="14">
                  <c:v>-200</c:v>
                </c:pt>
                <c:pt idx="15">
                  <c:v>-200</c:v>
                </c:pt>
                <c:pt idx="16">
                  <c:v>-200</c:v>
                </c:pt>
                <c:pt idx="17">
                  <c:v>-200</c:v>
                </c:pt>
                <c:pt idx="18">
                  <c:v>-200</c:v>
                </c:pt>
                <c:pt idx="19">
                  <c:v>-200</c:v>
                </c:pt>
                <c:pt idx="20">
                  <c:v>-200</c:v>
                </c:pt>
                <c:pt idx="21">
                  <c:v>-200</c:v>
                </c:pt>
                <c:pt idx="22">
                  <c:v>-200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A4-4B32-802A-F8CD1AEBB6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axId val="344480831"/>
        <c:axId val="344486591"/>
      </c:barChart>
      <c:lineChart>
        <c:grouping val="standard"/>
        <c:varyColors val="0"/>
        <c:ser>
          <c:idx val="0"/>
          <c:order val="0"/>
          <c:tx>
            <c:strRef>
              <c:f>benchmark!$G$1</c:f>
              <c:strCache>
                <c:ptCount val="1"/>
                <c:pt idx="0">
                  <c:v>名目金利</c:v>
                </c:pt>
              </c:strCache>
            </c:strRef>
          </c:tx>
          <c:spPr>
            <a:ln w="25400" cap="rnd">
              <a:solidFill>
                <a:srgbClr val="002060"/>
              </a:solidFill>
              <a:prstDash val="solid"/>
              <a:round/>
            </a:ln>
            <a:effectLst/>
          </c:spPr>
          <c:marker>
            <c:symbol val="circle"/>
            <c:size val="8"/>
            <c:spPr>
              <a:solidFill>
                <a:srgbClr val="002060"/>
              </a:solidFill>
              <a:ln w="12700">
                <a:solidFill>
                  <a:srgbClr val="002060"/>
                </a:solidFill>
                <a:prstDash val="solid"/>
              </a:ln>
              <a:effectLst/>
            </c:spPr>
          </c:marker>
          <c:val>
            <c:numRef>
              <c:f>benchmark!$G$2:$G$24</c:f>
              <c:numCache>
                <c:formatCode>0.00_ </c:formatCode>
                <c:ptCount val="23"/>
                <c:pt idx="0">
                  <c:v>0</c:v>
                </c:pt>
                <c:pt idx="1">
                  <c:v>-9.9999999999964517E-6</c:v>
                </c:pt>
                <c:pt idx="2">
                  <c:v>-9.9999999999969363E-6</c:v>
                </c:pt>
                <c:pt idx="3">
                  <c:v>-9.9999999999961231E-6</c:v>
                </c:pt>
                <c:pt idx="4">
                  <c:v>0.14648745553971695</c:v>
                </c:pt>
                <c:pt idx="5">
                  <c:v>0.35642061867104624</c:v>
                </c:pt>
                <c:pt idx="6">
                  <c:v>0.48164652485099568</c:v>
                </c:pt>
                <c:pt idx="7">
                  <c:v>0.52915482804008873</c:v>
                </c:pt>
                <c:pt idx="8">
                  <c:v>0.52645840883100115</c:v>
                </c:pt>
                <c:pt idx="9">
                  <c:v>0.50250334972984656</c:v>
                </c:pt>
                <c:pt idx="10">
                  <c:v>0.47772419226448648</c:v>
                </c:pt>
                <c:pt idx="11">
                  <c:v>0.46193950463197841</c:v>
                </c:pt>
                <c:pt idx="12">
                  <c:v>0.45675491150406788</c:v>
                </c:pt>
                <c:pt idx="13">
                  <c:v>0.45936221004051464</c:v>
                </c:pt>
                <c:pt idx="14">
                  <c:v>0.46577836472872614</c:v>
                </c:pt>
                <c:pt idx="15">
                  <c:v>0.47276784843905889</c:v>
                </c:pt>
                <c:pt idx="16">
                  <c:v>0.47851381104397489</c:v>
                </c:pt>
                <c:pt idx="17">
                  <c:v>0.48247536774889072</c:v>
                </c:pt>
                <c:pt idx="18">
                  <c:v>0.48490373264472236</c:v>
                </c:pt>
                <c:pt idx="19">
                  <c:v>0.48635325968919124</c:v>
                </c:pt>
                <c:pt idx="20">
                  <c:v>0.48734911982212709</c:v>
                </c:pt>
                <c:pt idx="21">
                  <c:v>0.48823772933549975</c:v>
                </c:pt>
                <c:pt idx="22">
                  <c:v>0.48917292536110113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3A4-4B32-802A-F8CD1AEBB628}"/>
            </c:ext>
          </c:extLst>
        </c:ser>
        <c:ser>
          <c:idx val="1"/>
          <c:order val="1"/>
          <c:tx>
            <c:strRef>
              <c:f>benchmark!$C$1</c:f>
              <c:strCache>
                <c:ptCount val="1"/>
                <c:pt idx="0">
                  <c:v>需給ギャップ</c:v>
                </c:pt>
              </c:strCache>
            </c:strRef>
          </c:tx>
          <c:spPr>
            <a:ln w="19050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benchmark!$A$2:$A$24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benchmark!$C$2:$C$24</c:f>
              <c:numCache>
                <c:formatCode>0.00_ </c:formatCode>
                <c:ptCount val="23"/>
                <c:pt idx="0">
                  <c:v>0</c:v>
                </c:pt>
                <c:pt idx="1">
                  <c:v>3.3488205426709321E-2</c:v>
                </c:pt>
                <c:pt idx="2">
                  <c:v>9.0769099612936457E-2</c:v>
                </c:pt>
                <c:pt idx="3">
                  <c:v>0.16516032460820018</c:v>
                </c:pt>
                <c:pt idx="4">
                  <c:v>0.22635885034944389</c:v>
                </c:pt>
                <c:pt idx="5">
                  <c:v>0.24992084702376424</c:v>
                </c:pt>
                <c:pt idx="6">
                  <c:v>0.23978613835948714</c:v>
                </c:pt>
                <c:pt idx="7">
                  <c:v>0.21030707432105028</c:v>
                </c:pt>
                <c:pt idx="8">
                  <c:v>0.17550581645697874</c:v>
                </c:pt>
                <c:pt idx="9">
                  <c:v>0.14445152085888557</c:v>
                </c:pt>
                <c:pt idx="10">
                  <c:v>0.12079314247462751</c:v>
                </c:pt>
                <c:pt idx="11">
                  <c:v>0.10434109574713313</c:v>
                </c:pt>
                <c:pt idx="12">
                  <c:v>9.3085048777225204E-2</c:v>
                </c:pt>
                <c:pt idx="13">
                  <c:v>8.4755400293326275E-2</c:v>
                </c:pt>
                <c:pt idx="14">
                  <c:v>7.765697948701196E-2</c:v>
                </c:pt>
                <c:pt idx="15">
                  <c:v>7.0883866381532878E-2</c:v>
                </c:pt>
                <c:pt idx="16">
                  <c:v>6.4168919136775512E-2</c:v>
                </c:pt>
                <c:pt idx="17">
                  <c:v>5.7607755483568272E-2</c:v>
                </c:pt>
                <c:pt idx="18">
                  <c:v>5.1412300290928678E-2</c:v>
                </c:pt>
                <c:pt idx="19">
                  <c:v>4.5758230688951816E-2</c:v>
                </c:pt>
                <c:pt idx="20">
                  <c:v>4.0726473588489118E-2</c:v>
                </c:pt>
                <c:pt idx="21">
                  <c:v>3.6308281639759334E-2</c:v>
                </c:pt>
                <c:pt idx="22">
                  <c:v>3.243872265461261E-2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3A4-4B32-802A-F8CD1AEBB628}"/>
            </c:ext>
          </c:extLst>
        </c:ser>
        <c:ser>
          <c:idx val="6"/>
          <c:order val="2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benchmark!$B$2:$B$24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3A4-4B32-802A-F8CD1AEBB628}"/>
            </c:ext>
          </c:extLst>
        </c:ser>
        <c:ser>
          <c:idx val="2"/>
          <c:order val="3"/>
          <c:tx>
            <c:strRef>
              <c:f>benchmark!$I$1</c:f>
              <c:strCache>
                <c:ptCount val="1"/>
                <c:pt idx="0">
                  <c:v>ターミナルレート</c:v>
                </c:pt>
              </c:strCache>
            </c:strRef>
          </c:tx>
          <c:spPr>
            <a:ln w="1270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benchmark!$I$2:$I$24</c:f>
              <c:numCache>
                <c:formatCode>0.00_ </c:formatCode>
                <c:ptCount val="23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0.5</c:v>
                </c:pt>
                <c:pt idx="12">
                  <c:v>0.5</c:v>
                </c:pt>
                <c:pt idx="13">
                  <c:v>0.5</c:v>
                </c:pt>
                <c:pt idx="14">
                  <c:v>0.5</c:v>
                </c:pt>
                <c:pt idx="15">
                  <c:v>0.5</c:v>
                </c:pt>
                <c:pt idx="16">
                  <c:v>0.5</c:v>
                </c:pt>
                <c:pt idx="17">
                  <c:v>0.5</c:v>
                </c:pt>
                <c:pt idx="18">
                  <c:v>0.5</c:v>
                </c:pt>
                <c:pt idx="19">
                  <c:v>0.5</c:v>
                </c:pt>
                <c:pt idx="20">
                  <c:v>0.5</c:v>
                </c:pt>
                <c:pt idx="21">
                  <c:v>0.5</c:v>
                </c:pt>
                <c:pt idx="22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3A4-4B32-802A-F8CD1AEBB6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480831"/>
        <c:axId val="344486591"/>
      </c:lineChart>
      <c:catAx>
        <c:axId val="34448083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6591"/>
        <c:crossesAt val="-100"/>
        <c:auto val="1"/>
        <c:lblAlgn val="ctr"/>
        <c:lblOffset val="100"/>
        <c:tickLblSkip val="4"/>
        <c:tickMarkSkip val="1"/>
        <c:noMultiLvlLbl val="0"/>
      </c:catAx>
      <c:valAx>
        <c:axId val="344486591"/>
        <c:scaling>
          <c:orientation val="minMax"/>
          <c:max val="0.75000000000000011"/>
          <c:min val="-0.25"/>
        </c:scaling>
        <c:delete val="0"/>
        <c:axPos val="l"/>
        <c:numFmt formatCode="0.00_ " sourceLinked="0"/>
        <c:majorTickMark val="out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0831"/>
        <c:crosses val="autoZero"/>
        <c:crossBetween val="midCat"/>
        <c:majorUnit val="0.25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  <a:effectLst/>
      </c:spPr>
    </c:plotArea>
    <c:legend>
      <c:legendPos val="b"/>
      <c:legendEntry>
        <c:idx val="0"/>
        <c:delete val="1"/>
      </c:legendEntry>
      <c:legendEntry>
        <c:idx val="3"/>
        <c:delete val="1"/>
      </c:legendEntry>
      <c:legendEntry>
        <c:idx val="4"/>
        <c:delete val="1"/>
      </c:legendEntry>
      <c:layout>
        <c:manualLayout>
          <c:xMode val="edge"/>
          <c:yMode val="edge"/>
          <c:x val="0.53034386156642821"/>
          <c:y val="0.72332065523978384"/>
          <c:w val="0.4388255418582177"/>
          <c:h val="0.15985385709312802"/>
        </c:manualLayout>
      </c:layout>
      <c:overlay val="0"/>
      <c:spPr>
        <a:noFill/>
        <a:ln w="2540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rgbClr val="000000"/>
              </a:solidFill>
              <a:latin typeface="ＭＳ ゴシック"/>
              <a:ea typeface="ＭＳ ゴシック"/>
              <a:cs typeface="ＭＳ ゴシック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25400" cap="flat" cmpd="sng" algn="ctr">
      <a:noFill/>
      <a:round/>
    </a:ln>
    <a:effectLst/>
  </c:spPr>
  <c:txPr>
    <a:bodyPr/>
    <a:lstStyle/>
    <a:p>
      <a:pPr>
        <a:defRPr>
          <a:solidFill>
            <a:srgbClr val="000000"/>
          </a:solidFill>
          <a:latin typeface="ＭＳ ゴシック"/>
          <a:ea typeface="ＭＳ ゴシック"/>
          <a:cs typeface="ＭＳ ゴシック"/>
        </a:defRPr>
      </a:pPr>
      <a:endParaRPr lang="ja-JP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40233076776417"/>
          <c:y val="9.5123027297075252E-2"/>
          <c:w val="0.83208394199593816"/>
          <c:h val="0.81169163212805151"/>
        </c:manualLayout>
      </c:layout>
      <c:barChart>
        <c:barDir val="col"/>
        <c:grouping val="clustered"/>
        <c:varyColors val="0"/>
        <c:ser>
          <c:idx val="4"/>
          <c:order val="5"/>
          <c:tx>
            <c:strRef>
              <c:f>'25hike'!$J$1</c:f>
              <c:strCache>
                <c:ptCount val="1"/>
                <c:pt idx="0">
                  <c:v>縦軸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val>
            <c:numRef>
              <c:f>'25hike'!$J$2:$J$24</c:f>
              <c:numCache>
                <c:formatCode>0.00_ </c:formatCode>
                <c:ptCount val="23"/>
                <c:pt idx="0">
                  <c:v>-200</c:v>
                </c:pt>
                <c:pt idx="1">
                  <c:v>-200</c:v>
                </c:pt>
                <c:pt idx="2">
                  <c:v>-200</c:v>
                </c:pt>
                <c:pt idx="3">
                  <c:v>-200</c:v>
                </c:pt>
                <c:pt idx="4">
                  <c:v>100</c:v>
                </c:pt>
                <c:pt idx="5">
                  <c:v>-200</c:v>
                </c:pt>
                <c:pt idx="6">
                  <c:v>-200</c:v>
                </c:pt>
                <c:pt idx="7">
                  <c:v>-200</c:v>
                </c:pt>
                <c:pt idx="8">
                  <c:v>-200</c:v>
                </c:pt>
                <c:pt idx="9">
                  <c:v>-200</c:v>
                </c:pt>
                <c:pt idx="10">
                  <c:v>-200</c:v>
                </c:pt>
                <c:pt idx="11">
                  <c:v>-200</c:v>
                </c:pt>
                <c:pt idx="12">
                  <c:v>-200</c:v>
                </c:pt>
                <c:pt idx="13">
                  <c:v>-200</c:v>
                </c:pt>
                <c:pt idx="14">
                  <c:v>-200</c:v>
                </c:pt>
                <c:pt idx="15">
                  <c:v>-200</c:v>
                </c:pt>
                <c:pt idx="16">
                  <c:v>-200</c:v>
                </c:pt>
                <c:pt idx="17">
                  <c:v>-200</c:v>
                </c:pt>
                <c:pt idx="18">
                  <c:v>-200</c:v>
                </c:pt>
                <c:pt idx="19">
                  <c:v>-200</c:v>
                </c:pt>
                <c:pt idx="20">
                  <c:v>-200</c:v>
                </c:pt>
                <c:pt idx="21">
                  <c:v>-200</c:v>
                </c:pt>
                <c:pt idx="22">
                  <c:v>-200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83-486F-AA24-93523B0B5A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axId val="344480831"/>
        <c:axId val="344486591"/>
      </c:barChart>
      <c:lineChart>
        <c:grouping val="standard"/>
        <c:varyColors val="0"/>
        <c:ser>
          <c:idx val="1"/>
          <c:order val="0"/>
          <c:tx>
            <c:strRef>
              <c:f>'25hike'!$D$1</c:f>
              <c:strCache>
                <c:ptCount val="1"/>
                <c:pt idx="0">
                  <c:v>インフレ率</c:v>
                </c:pt>
              </c:strCache>
            </c:strRef>
          </c:tx>
          <c:spPr>
            <a:ln w="25400" cap="rnd">
              <a:solidFill>
                <a:srgbClr val="00206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'25hike'!$A$2:$A$24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'25hike'!$D$2:$D$24</c:f>
              <c:numCache>
                <c:formatCode>0.00_ </c:formatCode>
                <c:ptCount val="23"/>
                <c:pt idx="0">
                  <c:v>1.5</c:v>
                </c:pt>
                <c:pt idx="1">
                  <c:v>1.6462433417342477</c:v>
                </c:pt>
                <c:pt idx="2">
                  <c:v>1.7657322218491545</c:v>
                </c:pt>
                <c:pt idx="3">
                  <c:v>1.8818733517853243</c:v>
                </c:pt>
                <c:pt idx="4">
                  <c:v>1.9703615215428429</c:v>
                </c:pt>
                <c:pt idx="5">
                  <c:v>2.036564111280676</c:v>
                </c:pt>
                <c:pt idx="6">
                  <c:v>2.073431329672629</c:v>
                </c:pt>
                <c:pt idx="7">
                  <c:v>2.0833333160338103</c:v>
                </c:pt>
                <c:pt idx="8">
                  <c:v>2.0755424342005377</c:v>
                </c:pt>
                <c:pt idx="9">
                  <c:v>2.0602911641751995</c:v>
                </c:pt>
                <c:pt idx="10">
                  <c:v>2.0450482783717234</c:v>
                </c:pt>
                <c:pt idx="11">
                  <c:v>2.0335288955309085</c:v>
                </c:pt>
                <c:pt idx="12">
                  <c:v>2.0264298571342856</c:v>
                </c:pt>
                <c:pt idx="13">
                  <c:v>2.0227648917015708</c:v>
                </c:pt>
                <c:pt idx="14">
                  <c:v>2.0210519910594695</c:v>
                </c:pt>
                <c:pt idx="15">
                  <c:v>2.020042978641023</c:v>
                </c:pt>
                <c:pt idx="16">
                  <c:v>2.0189968244809462</c:v>
                </c:pt>
                <c:pt idx="17">
                  <c:v>2.017646229320992</c:v>
                </c:pt>
                <c:pt idx="18">
                  <c:v>2.0160286736418067</c:v>
                </c:pt>
                <c:pt idx="19">
                  <c:v>2.0143076689380703</c:v>
                </c:pt>
                <c:pt idx="20">
                  <c:v>2.0126473399898699</c:v>
                </c:pt>
                <c:pt idx="21">
                  <c:v>2.0111531072126869</c:v>
                </c:pt>
                <c:pt idx="22">
                  <c:v>2.0098630477770651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E83-486F-AA24-93523B0B5A77}"/>
            </c:ext>
          </c:extLst>
        </c:ser>
        <c:ser>
          <c:idx val="2"/>
          <c:order val="1"/>
          <c:tx>
            <c:strRef>
              <c:f>'25hike'!$E$1</c:f>
              <c:strCache>
                <c:ptCount val="1"/>
                <c:pt idx="0">
                  <c:v>期待インフレ率</c:v>
                </c:pt>
              </c:strCache>
            </c:strRef>
          </c:tx>
          <c:spPr>
            <a:ln w="19050" cap="rnd">
              <a:solidFill>
                <a:srgbClr val="00B05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'25hike'!$A$2:$A$24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'25hike'!$E$2:$E$24</c:f>
              <c:numCache>
                <c:formatCode>0.00_ </c:formatCode>
                <c:ptCount val="23"/>
                <c:pt idx="0">
                  <c:v>1.5</c:v>
                </c:pt>
                <c:pt idx="1">
                  <c:v>1.610677470400173</c:v>
                </c:pt>
                <c:pt idx="2">
                  <c:v>1.6866924362564863</c:v>
                </c:pt>
                <c:pt idx="3">
                  <c:v>1.7513251220551751</c:v>
                </c:pt>
                <c:pt idx="4">
                  <c:v>1.8098180846363439</c:v>
                </c:pt>
                <c:pt idx="5">
                  <c:v>1.8541824296664009</c:v>
                </c:pt>
                <c:pt idx="6">
                  <c:v>1.8851395795117543</c:v>
                </c:pt>
                <c:pt idx="7">
                  <c:v>1.9042444860119256</c:v>
                </c:pt>
                <c:pt idx="8">
                  <c:v>1.9150699066811228</c:v>
                </c:pt>
                <c:pt idx="9">
                  <c:v>1.9215286229935808</c:v>
                </c:pt>
                <c:pt idx="10">
                  <c:v>1.9265662508139252</c:v>
                </c:pt>
                <c:pt idx="11">
                  <c:v>1.9317604258239711</c:v>
                </c:pt>
                <c:pt idx="12">
                  <c:v>1.9375546267828012</c:v>
                </c:pt>
                <c:pt idx="13">
                  <c:v>1.9437335744266151</c:v>
                </c:pt>
                <c:pt idx="14">
                  <c:v>1.9498616634469434</c:v>
                </c:pt>
                <c:pt idx="15">
                  <c:v>1.9555614359562465</c:v>
                </c:pt>
                <c:pt idx="16">
                  <c:v>1.9606253066299471</c:v>
                </c:pt>
                <c:pt idx="17">
                  <c:v>1.9650116041937349</c:v>
                </c:pt>
                <c:pt idx="18">
                  <c:v>1.9687869316821138</c:v>
                </c:pt>
                <c:pt idx="19">
                  <c:v>1.9720618532400325</c:v>
                </c:pt>
                <c:pt idx="20">
                  <c:v>1.9749444741284758</c:v>
                </c:pt>
                <c:pt idx="21">
                  <c:v>1.9775177760839828</c:v>
                </c:pt>
                <c:pt idx="22">
                  <c:v>1.9798357802503694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E83-486F-AA24-93523B0B5A77}"/>
            </c:ext>
          </c:extLst>
        </c:ser>
        <c:ser>
          <c:idx val="3"/>
          <c:order val="2"/>
          <c:tx>
            <c:strRef>
              <c:f>'25hike'!$F$1</c:f>
              <c:strCache>
                <c:ptCount val="1"/>
                <c:pt idx="0">
                  <c:v>物価観</c:v>
                </c:pt>
              </c:strCache>
            </c:strRef>
          </c:tx>
          <c:spPr>
            <a:ln w="22225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'25hike'!$A$2:$A$24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'25hike'!$F$2:$F$24</c:f>
              <c:numCache>
                <c:formatCode>0.00_ </c:formatCode>
                <c:ptCount val="23"/>
                <c:pt idx="0">
                  <c:v>1.5</c:v>
                </c:pt>
                <c:pt idx="1">
                  <c:v>1.5131619007560824</c:v>
                </c:pt>
                <c:pt idx="2">
                  <c:v>1.5358932296544587</c:v>
                </c:pt>
                <c:pt idx="3">
                  <c:v>1.5670314406462367</c:v>
                </c:pt>
                <c:pt idx="4">
                  <c:v>1.6033311479269312</c:v>
                </c:pt>
                <c:pt idx="5">
                  <c:v>1.6423221146287683</c:v>
                </c:pt>
                <c:pt idx="6">
                  <c:v>1.6811219439827156</c:v>
                </c:pt>
                <c:pt idx="7">
                  <c:v>1.7173209674673142</c:v>
                </c:pt>
                <c:pt idx="8">
                  <c:v>1.7495608994733043</c:v>
                </c:pt>
                <c:pt idx="9">
                  <c:v>1.7775266232964748</c:v>
                </c:pt>
                <c:pt idx="10">
                  <c:v>1.8016035722532471</c:v>
                </c:pt>
                <c:pt idx="11">
                  <c:v>1.8224768513482368</c:v>
                </c:pt>
                <c:pt idx="12">
                  <c:v>1.840832621868981</c:v>
                </c:pt>
                <c:pt idx="13">
                  <c:v>1.8572065261539141</c:v>
                </c:pt>
                <c:pt idx="14">
                  <c:v>1.8719526179954142</c:v>
                </c:pt>
                <c:pt idx="15">
                  <c:v>1.8852807504535189</c:v>
                </c:pt>
                <c:pt idx="16">
                  <c:v>1.8973151971159874</c:v>
                </c:pt>
                <c:pt idx="17">
                  <c:v>1.908144990014438</c:v>
                </c:pt>
                <c:pt idx="18">
                  <c:v>1.9178545215409011</c:v>
                </c:pt>
                <c:pt idx="19">
                  <c:v>1.9265353048066463</c:v>
                </c:pt>
                <c:pt idx="20">
                  <c:v>1.9342853879731363</c:v>
                </c:pt>
                <c:pt idx="21">
                  <c:v>1.941203482704696</c:v>
                </c:pt>
                <c:pt idx="22">
                  <c:v>1.9473828435612093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E83-486F-AA24-93523B0B5A77}"/>
            </c:ext>
          </c:extLst>
        </c:ser>
        <c:ser>
          <c:idx val="6"/>
          <c:order val="3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'25hike'!$B$2:$B$24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E83-486F-AA24-93523B0B5A77}"/>
            </c:ext>
          </c:extLst>
        </c:ser>
        <c:ser>
          <c:idx val="0"/>
          <c:order val="4"/>
          <c:tx>
            <c:strRef>
              <c:f>'25hike'!$H$1</c:f>
              <c:strCache>
                <c:ptCount val="1"/>
                <c:pt idx="0">
                  <c:v>物価目標</c:v>
                </c:pt>
              </c:strCache>
            </c:strRef>
          </c:tx>
          <c:spPr>
            <a:ln w="1270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'25hike'!$H$2:$H$24</c:f>
              <c:numCache>
                <c:formatCode>0.00_ </c:formatCode>
                <c:ptCount val="2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E83-486F-AA24-93523B0B5A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480831"/>
        <c:axId val="344486591"/>
      </c:lineChart>
      <c:catAx>
        <c:axId val="34448083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6591"/>
        <c:crossesAt val="-100"/>
        <c:auto val="1"/>
        <c:lblAlgn val="ctr"/>
        <c:lblOffset val="100"/>
        <c:tickLblSkip val="4"/>
        <c:tickMarkSkip val="1"/>
        <c:noMultiLvlLbl val="0"/>
      </c:catAx>
      <c:valAx>
        <c:axId val="344486591"/>
        <c:scaling>
          <c:orientation val="minMax"/>
          <c:max val="2.2000000000000002"/>
          <c:min val="1.4"/>
        </c:scaling>
        <c:delete val="0"/>
        <c:axPos val="l"/>
        <c:numFmt formatCode="0.0_ " sourceLinked="0"/>
        <c:majorTickMark val="out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0831"/>
        <c:crosses val="autoZero"/>
        <c:crossBetween val="midCat"/>
        <c:majorUnit val="0.1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  <a:effectLst/>
      </c:spPr>
    </c:plotArea>
    <c:legend>
      <c:legendPos val="b"/>
      <c:legendEntry>
        <c:idx val="0"/>
        <c:delete val="1"/>
      </c:legendEntry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0.44889714464188846"/>
          <c:y val="0.63088409705779325"/>
          <c:w val="0.51769993260237046"/>
          <c:h val="0.21690984576381592"/>
        </c:manualLayout>
      </c:layout>
      <c:overlay val="0"/>
      <c:spPr>
        <a:noFill/>
        <a:ln w="2540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rgbClr val="000000"/>
              </a:solidFill>
              <a:latin typeface="ＭＳ ゴシック"/>
              <a:ea typeface="ＭＳ ゴシック"/>
              <a:cs typeface="ＭＳ ゴシック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25400" cap="flat" cmpd="sng" algn="ctr">
      <a:noFill/>
      <a:round/>
    </a:ln>
    <a:effectLst/>
  </c:spPr>
  <c:txPr>
    <a:bodyPr/>
    <a:lstStyle/>
    <a:p>
      <a:pPr>
        <a:defRPr>
          <a:solidFill>
            <a:srgbClr val="000000"/>
          </a:solidFill>
          <a:latin typeface="ＭＳ ゴシック"/>
          <a:ea typeface="ＭＳ ゴシック"/>
          <a:cs typeface="ＭＳ ゴシック"/>
        </a:defRPr>
      </a:pPr>
      <a:endParaRPr lang="ja-JP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40233076776417"/>
          <c:y val="9.5123027297075252E-2"/>
          <c:w val="0.83208394199593816"/>
          <c:h val="0.81169163212805151"/>
        </c:manualLayout>
      </c:layout>
      <c:barChart>
        <c:barDir val="col"/>
        <c:grouping val="clustered"/>
        <c:varyColors val="0"/>
        <c:ser>
          <c:idx val="3"/>
          <c:order val="4"/>
          <c:tx>
            <c:strRef>
              <c:f>'25hike'!$J$1</c:f>
              <c:strCache>
                <c:ptCount val="1"/>
                <c:pt idx="0">
                  <c:v>縦軸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val>
            <c:numRef>
              <c:f>'25hike'!$J$2:$J$24</c:f>
              <c:numCache>
                <c:formatCode>0.00_ </c:formatCode>
                <c:ptCount val="23"/>
                <c:pt idx="0">
                  <c:v>-200</c:v>
                </c:pt>
                <c:pt idx="1">
                  <c:v>-200</c:v>
                </c:pt>
                <c:pt idx="2">
                  <c:v>-200</c:v>
                </c:pt>
                <c:pt idx="3">
                  <c:v>-200</c:v>
                </c:pt>
                <c:pt idx="4">
                  <c:v>100</c:v>
                </c:pt>
                <c:pt idx="5">
                  <c:v>-200</c:v>
                </c:pt>
                <c:pt idx="6">
                  <c:v>-200</c:v>
                </c:pt>
                <c:pt idx="7">
                  <c:v>-200</c:v>
                </c:pt>
                <c:pt idx="8">
                  <c:v>-200</c:v>
                </c:pt>
                <c:pt idx="9">
                  <c:v>-200</c:v>
                </c:pt>
                <c:pt idx="10">
                  <c:v>-200</c:v>
                </c:pt>
                <c:pt idx="11">
                  <c:v>-200</c:v>
                </c:pt>
                <c:pt idx="12">
                  <c:v>-200</c:v>
                </c:pt>
                <c:pt idx="13">
                  <c:v>-200</c:v>
                </c:pt>
                <c:pt idx="14">
                  <c:v>-200</c:v>
                </c:pt>
                <c:pt idx="15">
                  <c:v>-200</c:v>
                </c:pt>
                <c:pt idx="16">
                  <c:v>-200</c:v>
                </c:pt>
                <c:pt idx="17">
                  <c:v>-200</c:v>
                </c:pt>
                <c:pt idx="18">
                  <c:v>-200</c:v>
                </c:pt>
                <c:pt idx="19">
                  <c:v>-200</c:v>
                </c:pt>
                <c:pt idx="20">
                  <c:v>-200</c:v>
                </c:pt>
                <c:pt idx="21">
                  <c:v>-200</c:v>
                </c:pt>
                <c:pt idx="22">
                  <c:v>-200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271-426C-9552-7415379BA9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axId val="344480831"/>
        <c:axId val="344486591"/>
      </c:barChart>
      <c:lineChart>
        <c:grouping val="standard"/>
        <c:varyColors val="0"/>
        <c:ser>
          <c:idx val="0"/>
          <c:order val="0"/>
          <c:tx>
            <c:strRef>
              <c:f>'25hike'!$G$1</c:f>
              <c:strCache>
                <c:ptCount val="1"/>
                <c:pt idx="0">
                  <c:v>名目金利</c:v>
                </c:pt>
              </c:strCache>
            </c:strRef>
          </c:tx>
          <c:spPr>
            <a:ln w="25400" cap="rnd">
              <a:solidFill>
                <a:srgbClr val="002060"/>
              </a:solidFill>
              <a:prstDash val="solid"/>
              <a:round/>
            </a:ln>
            <a:effectLst/>
          </c:spPr>
          <c:marker>
            <c:symbol val="circle"/>
            <c:size val="8"/>
            <c:spPr>
              <a:solidFill>
                <a:srgbClr val="002060"/>
              </a:solidFill>
              <a:ln w="12700">
                <a:solidFill>
                  <a:srgbClr val="002060"/>
                </a:solidFill>
                <a:prstDash val="solid"/>
              </a:ln>
              <a:effectLst/>
            </c:spPr>
          </c:marker>
          <c:val>
            <c:numRef>
              <c:f>'25hike'!$G$2:$G$24</c:f>
              <c:numCache>
                <c:formatCode>0.00_ </c:formatCode>
                <c:ptCount val="23"/>
                <c:pt idx="0">
                  <c:v>0</c:v>
                </c:pt>
                <c:pt idx="1">
                  <c:v>-9.9999999999997789E-6</c:v>
                </c:pt>
                <c:pt idx="2">
                  <c:v>-9.9999999999977494E-6</c:v>
                </c:pt>
                <c:pt idx="3">
                  <c:v>-9.9999999999683675E-6</c:v>
                </c:pt>
                <c:pt idx="4">
                  <c:v>0.24999999999999997</c:v>
                </c:pt>
                <c:pt idx="5">
                  <c:v>0.25306540702103297</c:v>
                </c:pt>
                <c:pt idx="6">
                  <c:v>0.40107210422482914</c:v>
                </c:pt>
                <c:pt idx="7">
                  <c:v>0.48313701640321871</c:v>
                </c:pt>
                <c:pt idx="8">
                  <c:v>0.5107062159073843</c:v>
                </c:pt>
                <c:pt idx="9">
                  <c:v>0.50559444354617222</c:v>
                </c:pt>
                <c:pt idx="10">
                  <c:v>0.48826886739233172</c:v>
                </c:pt>
                <c:pt idx="11">
                  <c:v>0.47217438581416071</c:v>
                </c:pt>
                <c:pt idx="12">
                  <c:v>0.4631368615438009</c:v>
                </c:pt>
                <c:pt idx="13">
                  <c:v>0.46149825195998745</c:v>
                </c:pt>
                <c:pt idx="14">
                  <c:v>0.46489772160546011</c:v>
                </c:pt>
                <c:pt idx="15">
                  <c:v>0.47046862593301064</c:v>
                </c:pt>
                <c:pt idx="16">
                  <c:v>0.47604680119608583</c:v>
                </c:pt>
                <c:pt idx="17">
                  <c:v>0.48051622852383929</c:v>
                </c:pt>
                <c:pt idx="18">
                  <c:v>0.48363178245697092</c:v>
                </c:pt>
                <c:pt idx="19">
                  <c:v>0.48565067549612367</c:v>
                </c:pt>
                <c:pt idx="20">
                  <c:v>0.48699269885362229</c:v>
                </c:pt>
                <c:pt idx="21">
                  <c:v>0.48802473395176971</c:v>
                </c:pt>
                <c:pt idx="22">
                  <c:v>0.48897458455963527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271-426C-9552-7415379BA98E}"/>
            </c:ext>
          </c:extLst>
        </c:ser>
        <c:ser>
          <c:idx val="1"/>
          <c:order val="1"/>
          <c:tx>
            <c:strRef>
              <c:f>'25hike'!$C$1</c:f>
              <c:strCache>
                <c:ptCount val="1"/>
                <c:pt idx="0">
                  <c:v>需給ギャップ</c:v>
                </c:pt>
              </c:strCache>
            </c:strRef>
          </c:tx>
          <c:spPr>
            <a:ln w="19050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'25hike'!$A$2:$A$24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'25hike'!$C$2:$C$24</c:f>
              <c:numCache>
                <c:formatCode>0.00_ </c:formatCode>
                <c:ptCount val="23"/>
                <c:pt idx="0">
                  <c:v>0</c:v>
                </c:pt>
                <c:pt idx="1">
                  <c:v>3.1117072709414391E-2</c:v>
                </c:pt>
                <c:pt idx="2">
                  <c:v>8.3897235166905282E-2</c:v>
                </c:pt>
                <c:pt idx="3">
                  <c:v>0.15307479395180196</c:v>
                </c:pt>
                <c:pt idx="4">
                  <c:v>0.19213376074924216</c:v>
                </c:pt>
                <c:pt idx="5">
                  <c:v>0.22322451739157906</c:v>
                </c:pt>
                <c:pt idx="6">
                  <c:v>0.22887099969176919</c:v>
                </c:pt>
                <c:pt idx="7">
                  <c:v>0.21280601468807236</c:v>
                </c:pt>
                <c:pt idx="8">
                  <c:v>0.18545420779372485</c:v>
                </c:pt>
                <c:pt idx="9">
                  <c:v>0.15632552948468659</c:v>
                </c:pt>
                <c:pt idx="10">
                  <c:v>0.13114879224798467</c:v>
                </c:pt>
                <c:pt idx="11">
                  <c:v>0.1118772084920385</c:v>
                </c:pt>
                <c:pt idx="12">
                  <c:v>9.7963809223820197E-2</c:v>
                </c:pt>
                <c:pt idx="13">
                  <c:v>8.7798371806341979E-2</c:v>
                </c:pt>
                <c:pt idx="14">
                  <c:v>7.9745506825307746E-2</c:v>
                </c:pt>
                <c:pt idx="15">
                  <c:v>7.2652499710578272E-2</c:v>
                </c:pt>
                <c:pt idx="16">
                  <c:v>6.5938382515271912E-2</c:v>
                </c:pt>
                <c:pt idx="17">
                  <c:v>5.9453983698643111E-2</c:v>
                </c:pt>
                <c:pt idx="18">
                  <c:v>5.3277971101208479E-2</c:v>
                </c:pt>
                <c:pt idx="19">
                  <c:v>4.7548380286539099E-2</c:v>
                </c:pt>
                <c:pt idx="20">
                  <c:v>4.2365530573428643E-2</c:v>
                </c:pt>
                <c:pt idx="21">
                  <c:v>3.7760256148343767E-2</c:v>
                </c:pt>
                <c:pt idx="22">
                  <c:v>3.3703348959565817E-2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271-426C-9552-7415379BA98E}"/>
            </c:ext>
          </c:extLst>
        </c:ser>
        <c:ser>
          <c:idx val="6"/>
          <c:order val="2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'25hike'!$B$2:$B$24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271-426C-9552-7415379BA98E}"/>
            </c:ext>
          </c:extLst>
        </c:ser>
        <c:ser>
          <c:idx val="2"/>
          <c:order val="3"/>
          <c:tx>
            <c:strRef>
              <c:f>'25hike'!$I$1</c:f>
              <c:strCache>
                <c:ptCount val="1"/>
                <c:pt idx="0">
                  <c:v>ターミナルレート</c:v>
                </c:pt>
              </c:strCache>
            </c:strRef>
          </c:tx>
          <c:spPr>
            <a:ln w="1270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'25hike'!$I$2:$I$24</c:f>
              <c:numCache>
                <c:formatCode>0.00_ </c:formatCode>
                <c:ptCount val="23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0.5</c:v>
                </c:pt>
                <c:pt idx="12">
                  <c:v>0.5</c:v>
                </c:pt>
                <c:pt idx="13">
                  <c:v>0.5</c:v>
                </c:pt>
                <c:pt idx="14">
                  <c:v>0.5</c:v>
                </c:pt>
                <c:pt idx="15">
                  <c:v>0.5</c:v>
                </c:pt>
                <c:pt idx="16">
                  <c:v>0.5</c:v>
                </c:pt>
                <c:pt idx="17">
                  <c:v>0.5</c:v>
                </c:pt>
                <c:pt idx="18">
                  <c:v>0.5</c:v>
                </c:pt>
                <c:pt idx="19">
                  <c:v>0.5</c:v>
                </c:pt>
                <c:pt idx="20">
                  <c:v>0.5</c:v>
                </c:pt>
                <c:pt idx="21">
                  <c:v>0.5</c:v>
                </c:pt>
                <c:pt idx="22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271-426C-9552-7415379BA9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480831"/>
        <c:axId val="344486591"/>
      </c:lineChart>
      <c:catAx>
        <c:axId val="34448083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6591"/>
        <c:crossesAt val="-100"/>
        <c:auto val="1"/>
        <c:lblAlgn val="ctr"/>
        <c:lblOffset val="100"/>
        <c:tickLblSkip val="4"/>
        <c:tickMarkSkip val="1"/>
        <c:noMultiLvlLbl val="0"/>
      </c:catAx>
      <c:valAx>
        <c:axId val="344486591"/>
        <c:scaling>
          <c:orientation val="minMax"/>
          <c:max val="0.75000000000000011"/>
          <c:min val="-0.25"/>
        </c:scaling>
        <c:delete val="0"/>
        <c:axPos val="l"/>
        <c:numFmt formatCode="0.00_ " sourceLinked="0"/>
        <c:majorTickMark val="out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0831"/>
        <c:crosses val="autoZero"/>
        <c:crossBetween val="midCat"/>
        <c:majorUnit val="0.25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  <a:effectLst/>
      </c:spPr>
    </c:plotArea>
    <c:legend>
      <c:legendPos val="b"/>
      <c:legendEntry>
        <c:idx val="0"/>
        <c:delete val="1"/>
      </c:legendEntry>
      <c:legendEntry>
        <c:idx val="3"/>
        <c:delete val="1"/>
      </c:legendEntry>
      <c:legendEntry>
        <c:idx val="4"/>
        <c:delete val="1"/>
      </c:legendEntry>
      <c:layout>
        <c:manualLayout>
          <c:xMode val="edge"/>
          <c:yMode val="edge"/>
          <c:x val="0.53034386156642821"/>
          <c:y val="0.72332065523978384"/>
          <c:w val="0.4388255418582177"/>
          <c:h val="0.15985385709312802"/>
        </c:manualLayout>
      </c:layout>
      <c:overlay val="0"/>
      <c:spPr>
        <a:noFill/>
        <a:ln w="2540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rgbClr val="000000"/>
              </a:solidFill>
              <a:latin typeface="ＭＳ ゴシック"/>
              <a:ea typeface="ＭＳ ゴシック"/>
              <a:cs typeface="ＭＳ ゴシック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25400" cap="flat" cmpd="sng" algn="ctr">
      <a:noFill/>
      <a:round/>
    </a:ln>
    <a:effectLst/>
  </c:spPr>
  <c:txPr>
    <a:bodyPr/>
    <a:lstStyle/>
    <a:p>
      <a:pPr>
        <a:defRPr>
          <a:solidFill>
            <a:srgbClr val="000000"/>
          </a:solidFill>
          <a:latin typeface="ＭＳ ゴシック"/>
          <a:ea typeface="ＭＳ ゴシック"/>
          <a:cs typeface="ＭＳ ゴシック"/>
        </a:defRPr>
      </a:pPr>
      <a:endParaRPr lang="ja-JP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40233076776417"/>
          <c:y val="9.5123027297075252E-2"/>
          <c:w val="0.83208394199593816"/>
          <c:h val="0.81169163212805151"/>
        </c:manualLayout>
      </c:layout>
      <c:barChart>
        <c:barDir val="col"/>
        <c:grouping val="clustered"/>
        <c:varyColors val="0"/>
        <c:ser>
          <c:idx val="4"/>
          <c:order val="5"/>
          <c:tx>
            <c:strRef>
              <c:f>'25hike_IPInear'!$J$1</c:f>
              <c:strCache>
                <c:ptCount val="1"/>
                <c:pt idx="0">
                  <c:v>縦軸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val>
            <c:numRef>
              <c:f>'25hike_IPInear'!$J$2:$J$24</c:f>
              <c:numCache>
                <c:formatCode>0.00_ </c:formatCode>
                <c:ptCount val="23"/>
                <c:pt idx="0">
                  <c:v>-200</c:v>
                </c:pt>
                <c:pt idx="1">
                  <c:v>-200</c:v>
                </c:pt>
                <c:pt idx="2">
                  <c:v>-200</c:v>
                </c:pt>
                <c:pt idx="3">
                  <c:v>-200</c:v>
                </c:pt>
                <c:pt idx="4">
                  <c:v>100</c:v>
                </c:pt>
                <c:pt idx="5">
                  <c:v>-200</c:v>
                </c:pt>
                <c:pt idx="6">
                  <c:v>-200</c:v>
                </c:pt>
                <c:pt idx="7">
                  <c:v>-200</c:v>
                </c:pt>
                <c:pt idx="8">
                  <c:v>-200</c:v>
                </c:pt>
                <c:pt idx="9">
                  <c:v>-200</c:v>
                </c:pt>
                <c:pt idx="10">
                  <c:v>-200</c:v>
                </c:pt>
                <c:pt idx="11">
                  <c:v>-200</c:v>
                </c:pt>
                <c:pt idx="12">
                  <c:v>-200</c:v>
                </c:pt>
                <c:pt idx="13">
                  <c:v>-200</c:v>
                </c:pt>
                <c:pt idx="14">
                  <c:v>-200</c:v>
                </c:pt>
                <c:pt idx="15">
                  <c:v>-200</c:v>
                </c:pt>
                <c:pt idx="16">
                  <c:v>-200</c:v>
                </c:pt>
                <c:pt idx="17">
                  <c:v>-200</c:v>
                </c:pt>
                <c:pt idx="18">
                  <c:v>-200</c:v>
                </c:pt>
                <c:pt idx="19">
                  <c:v>-200</c:v>
                </c:pt>
                <c:pt idx="20">
                  <c:v>-200</c:v>
                </c:pt>
                <c:pt idx="21">
                  <c:v>-200</c:v>
                </c:pt>
                <c:pt idx="22">
                  <c:v>-200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4C-4452-B22A-99FA8261E8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axId val="344480831"/>
        <c:axId val="344486591"/>
      </c:barChart>
      <c:lineChart>
        <c:grouping val="standard"/>
        <c:varyColors val="0"/>
        <c:ser>
          <c:idx val="1"/>
          <c:order val="0"/>
          <c:tx>
            <c:strRef>
              <c:f>'25hike_IPInear'!$D$1</c:f>
              <c:strCache>
                <c:ptCount val="1"/>
                <c:pt idx="0">
                  <c:v>インフレ率</c:v>
                </c:pt>
              </c:strCache>
            </c:strRef>
          </c:tx>
          <c:spPr>
            <a:ln w="25400" cap="rnd">
              <a:solidFill>
                <a:srgbClr val="00206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'25hike_IPInear'!$A$2:$A$24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'25hike_IPInear'!$D$2:$D$24</c:f>
              <c:numCache>
                <c:formatCode>0.00_ </c:formatCode>
                <c:ptCount val="23"/>
                <c:pt idx="0">
                  <c:v>1.5</c:v>
                </c:pt>
                <c:pt idx="1">
                  <c:v>1.6462433417342477</c:v>
                </c:pt>
                <c:pt idx="2">
                  <c:v>1.7657322218491545</c:v>
                </c:pt>
                <c:pt idx="3">
                  <c:v>1.8818733517853243</c:v>
                </c:pt>
                <c:pt idx="4">
                  <c:v>1.9703615215428429</c:v>
                </c:pt>
                <c:pt idx="5">
                  <c:v>2.6928149193522475</c:v>
                </c:pt>
                <c:pt idx="6">
                  <c:v>2.4835646826921187</c:v>
                </c:pt>
                <c:pt idx="7">
                  <c:v>2.2279126179877835</c:v>
                </c:pt>
                <c:pt idx="8">
                  <c:v>2.0729534177996585</c:v>
                </c:pt>
                <c:pt idx="9">
                  <c:v>2.0057276715960786</c:v>
                </c:pt>
                <c:pt idx="10">
                  <c:v>1.9904562855584431</c:v>
                </c:pt>
                <c:pt idx="11">
                  <c:v>1.9980529565304115</c:v>
                </c:pt>
                <c:pt idx="12">
                  <c:v>2.0105599060452803</c:v>
                </c:pt>
                <c:pt idx="13">
                  <c:v>2.0195124573135561</c:v>
                </c:pt>
                <c:pt idx="14">
                  <c:v>2.0228038465199738</c:v>
                </c:pt>
                <c:pt idx="15">
                  <c:v>2.0216174017666457</c:v>
                </c:pt>
                <c:pt idx="16">
                  <c:v>2.0181387082991997</c:v>
                </c:pt>
                <c:pt idx="17">
                  <c:v>2.0142457476942739</c:v>
                </c:pt>
                <c:pt idx="18">
                  <c:v>2.0110280124349669</c:v>
                </c:pt>
                <c:pt idx="19">
                  <c:v>2.0088307205629481</c:v>
                </c:pt>
                <c:pt idx="20">
                  <c:v>2.0075244740057223</c:v>
                </c:pt>
                <c:pt idx="21">
                  <c:v>2.0067907020460249</c:v>
                </c:pt>
                <c:pt idx="22">
                  <c:v>2.0063203100310654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24C-4452-B22A-99FA8261E86B}"/>
            </c:ext>
          </c:extLst>
        </c:ser>
        <c:ser>
          <c:idx val="2"/>
          <c:order val="1"/>
          <c:tx>
            <c:strRef>
              <c:f>'25hike_IPInear'!$E$1</c:f>
              <c:strCache>
                <c:ptCount val="1"/>
                <c:pt idx="0">
                  <c:v>期待インフレ率</c:v>
                </c:pt>
              </c:strCache>
            </c:strRef>
          </c:tx>
          <c:spPr>
            <a:ln w="19050" cap="rnd">
              <a:solidFill>
                <a:srgbClr val="00B05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'25hike_IPInear'!$A$2:$A$24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'25hike_IPInear'!$E$2:$E$24</c:f>
              <c:numCache>
                <c:formatCode>0.00_ </c:formatCode>
                <c:ptCount val="23"/>
                <c:pt idx="0">
                  <c:v>1.5</c:v>
                </c:pt>
                <c:pt idx="1">
                  <c:v>1.610677470400173</c:v>
                </c:pt>
                <c:pt idx="2">
                  <c:v>1.6866924362564863</c:v>
                </c:pt>
                <c:pt idx="3">
                  <c:v>1.7513251220551751</c:v>
                </c:pt>
                <c:pt idx="4">
                  <c:v>1.8098180846363439</c:v>
                </c:pt>
                <c:pt idx="5">
                  <c:v>2.0250029711990183</c:v>
                </c:pt>
                <c:pt idx="6">
                  <c:v>2.069398105263232</c:v>
                </c:pt>
                <c:pt idx="7">
                  <c:v>2.0039868154039286</c:v>
                </c:pt>
                <c:pt idx="8">
                  <c:v>1.9554354618914906</c:v>
                </c:pt>
                <c:pt idx="9">
                  <c:v>1.9359796577164303</c:v>
                </c:pt>
                <c:pt idx="10">
                  <c:v>1.9356722301630143</c:v>
                </c:pt>
                <c:pt idx="11">
                  <c:v>1.9440121566387925</c:v>
                </c:pt>
                <c:pt idx="12">
                  <c:v>1.9541103348225137</c:v>
                </c:pt>
                <c:pt idx="13">
                  <c:v>1.9626044448301065</c:v>
                </c:pt>
                <c:pt idx="14">
                  <c:v>1.9685774126863782</c:v>
                </c:pt>
                <c:pt idx="15">
                  <c:v>1.9724137166473081</c:v>
                </c:pt>
                <c:pt idx="16">
                  <c:v>1.9749282816826403</c:v>
                </c:pt>
                <c:pt idx="17">
                  <c:v>1.9768562640560472</c:v>
                </c:pt>
                <c:pt idx="18">
                  <c:v>1.9786541395900243</c:v>
                </c:pt>
                <c:pt idx="19">
                  <c:v>1.9805021501062665</c:v>
                </c:pt>
                <c:pt idx="20">
                  <c:v>1.982397210433426</c:v>
                </c:pt>
                <c:pt idx="21">
                  <c:v>1.9842569377837314</c:v>
                </c:pt>
                <c:pt idx="22">
                  <c:v>1.9859945573533366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24C-4452-B22A-99FA8261E86B}"/>
            </c:ext>
          </c:extLst>
        </c:ser>
        <c:ser>
          <c:idx val="3"/>
          <c:order val="2"/>
          <c:tx>
            <c:strRef>
              <c:f>'25hike_IPInear'!$F$1</c:f>
              <c:strCache>
                <c:ptCount val="1"/>
                <c:pt idx="0">
                  <c:v>物価観</c:v>
                </c:pt>
              </c:strCache>
            </c:strRef>
          </c:tx>
          <c:spPr>
            <a:ln w="22225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'25hike_IPInear'!$A$2:$A$24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'25hike_IPInear'!$F$2:$F$24</c:f>
              <c:numCache>
                <c:formatCode>0.00_ </c:formatCode>
                <c:ptCount val="23"/>
                <c:pt idx="0">
                  <c:v>1.5</c:v>
                </c:pt>
                <c:pt idx="1">
                  <c:v>1.5131619007560824</c:v>
                </c:pt>
                <c:pt idx="2">
                  <c:v>1.5358932296544587</c:v>
                </c:pt>
                <c:pt idx="3">
                  <c:v>1.5670314406462367</c:v>
                </c:pt>
                <c:pt idx="4">
                  <c:v>1.6033311479269312</c:v>
                </c:pt>
                <c:pt idx="5">
                  <c:v>1.7013846873552096</c:v>
                </c:pt>
                <c:pt idx="6">
                  <c:v>1.7717808869355314</c:v>
                </c:pt>
                <c:pt idx="7">
                  <c:v>1.8128327427302342</c:v>
                </c:pt>
                <c:pt idx="8">
                  <c:v>1.8362436034864824</c:v>
                </c:pt>
                <c:pt idx="9">
                  <c:v>1.851497169616346</c:v>
                </c:pt>
                <c:pt idx="10">
                  <c:v>1.8640034900511346</c:v>
                </c:pt>
                <c:pt idx="11">
                  <c:v>1.8760679420342696</c:v>
                </c:pt>
                <c:pt idx="12">
                  <c:v>1.8881722187952605</c:v>
                </c:pt>
                <c:pt idx="13">
                  <c:v>1.8999928402619071</c:v>
                </c:pt>
                <c:pt idx="14">
                  <c:v>1.9110458308251332</c:v>
                </c:pt>
                <c:pt idx="15">
                  <c:v>1.9209972722098694</c:v>
                </c:pt>
                <c:pt idx="16">
                  <c:v>1.9297400014579091</c:v>
                </c:pt>
                <c:pt idx="17">
                  <c:v>1.9373455186191821</c:v>
                </c:pt>
                <c:pt idx="18">
                  <c:v>1.9439769430626026</c:v>
                </c:pt>
                <c:pt idx="19">
                  <c:v>1.9498137830376336</c:v>
                </c:pt>
                <c:pt idx="20">
                  <c:v>1.9550077452247616</c:v>
                </c:pt>
                <c:pt idx="21">
                  <c:v>1.9596682113386754</c:v>
                </c:pt>
                <c:pt idx="22">
                  <c:v>1.9638669002209905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24C-4452-B22A-99FA8261E86B}"/>
            </c:ext>
          </c:extLst>
        </c:ser>
        <c:ser>
          <c:idx val="6"/>
          <c:order val="3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'25hike_IPInear'!$B$2:$B$24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24C-4452-B22A-99FA8261E86B}"/>
            </c:ext>
          </c:extLst>
        </c:ser>
        <c:ser>
          <c:idx val="0"/>
          <c:order val="4"/>
          <c:tx>
            <c:strRef>
              <c:f>'25hike_IPInear'!$H$1</c:f>
              <c:strCache>
                <c:ptCount val="1"/>
                <c:pt idx="0">
                  <c:v>物価目標</c:v>
                </c:pt>
              </c:strCache>
            </c:strRef>
          </c:tx>
          <c:spPr>
            <a:ln w="1270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'25hike_IPInear'!$H$2:$H$24</c:f>
              <c:numCache>
                <c:formatCode>0.00_ </c:formatCode>
                <c:ptCount val="2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24C-4452-B22A-99FA8261E8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480831"/>
        <c:axId val="344486591"/>
      </c:lineChart>
      <c:catAx>
        <c:axId val="34448083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6591"/>
        <c:crossesAt val="-100"/>
        <c:auto val="1"/>
        <c:lblAlgn val="ctr"/>
        <c:lblOffset val="100"/>
        <c:tickLblSkip val="4"/>
        <c:tickMarkSkip val="1"/>
        <c:noMultiLvlLbl val="0"/>
      </c:catAx>
      <c:valAx>
        <c:axId val="344486591"/>
        <c:scaling>
          <c:orientation val="minMax"/>
          <c:max val="2.8"/>
          <c:min val="1.4"/>
        </c:scaling>
        <c:delete val="0"/>
        <c:axPos val="l"/>
        <c:numFmt formatCode="0.0_ " sourceLinked="0"/>
        <c:majorTickMark val="out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0831"/>
        <c:crosses val="autoZero"/>
        <c:crossBetween val="midCat"/>
        <c:majorUnit val="0.2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  <a:effectLst/>
      </c:spPr>
    </c:plotArea>
    <c:legend>
      <c:legendPos val="b"/>
      <c:legendEntry>
        <c:idx val="0"/>
        <c:delete val="1"/>
      </c:legendEntry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0.41827779878245913"/>
          <c:y val="0.10379674532529161"/>
          <c:w val="0.51769993260237046"/>
          <c:h val="0.21690984576381592"/>
        </c:manualLayout>
      </c:layout>
      <c:overlay val="0"/>
      <c:spPr>
        <a:noFill/>
        <a:ln w="2540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rgbClr val="000000"/>
              </a:solidFill>
              <a:latin typeface="ＭＳ ゴシック"/>
              <a:ea typeface="ＭＳ ゴシック"/>
              <a:cs typeface="ＭＳ ゴシック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25400" cap="flat" cmpd="sng" algn="ctr">
      <a:noFill/>
      <a:round/>
    </a:ln>
    <a:effectLst/>
  </c:spPr>
  <c:txPr>
    <a:bodyPr/>
    <a:lstStyle/>
    <a:p>
      <a:pPr>
        <a:defRPr>
          <a:solidFill>
            <a:srgbClr val="000000"/>
          </a:solidFill>
          <a:latin typeface="ＭＳ ゴシック"/>
          <a:ea typeface="ＭＳ ゴシック"/>
          <a:cs typeface="ＭＳ ゴシック"/>
        </a:defRPr>
      </a:pPr>
      <a:endParaRPr lang="ja-JP"/>
    </a:p>
  </c:txPr>
  <c:printSettings>
    <c:headerFooter/>
    <c:pageMargins b="0.75" l="0.7" r="0.7" t="0.75" header="0.3" footer="0.3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40233076776417"/>
          <c:y val="9.5123027297075252E-2"/>
          <c:w val="0.83208394199593816"/>
          <c:h val="0.81169163212805151"/>
        </c:manualLayout>
      </c:layout>
      <c:barChart>
        <c:barDir val="col"/>
        <c:grouping val="clustered"/>
        <c:varyColors val="0"/>
        <c:ser>
          <c:idx val="3"/>
          <c:order val="4"/>
          <c:tx>
            <c:strRef>
              <c:f>'25hike_IPInear'!$J$1</c:f>
              <c:strCache>
                <c:ptCount val="1"/>
                <c:pt idx="0">
                  <c:v>縦軸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val>
            <c:numRef>
              <c:f>'25hike_IPInear'!$J$2:$J$24</c:f>
              <c:numCache>
                <c:formatCode>0.00_ </c:formatCode>
                <c:ptCount val="23"/>
                <c:pt idx="0">
                  <c:v>-200</c:v>
                </c:pt>
                <c:pt idx="1">
                  <c:v>-200</c:v>
                </c:pt>
                <c:pt idx="2">
                  <c:v>-200</c:v>
                </c:pt>
                <c:pt idx="3">
                  <c:v>-200</c:v>
                </c:pt>
                <c:pt idx="4">
                  <c:v>100</c:v>
                </c:pt>
                <c:pt idx="5">
                  <c:v>-200</c:v>
                </c:pt>
                <c:pt idx="6">
                  <c:v>-200</c:v>
                </c:pt>
                <c:pt idx="7">
                  <c:v>-200</c:v>
                </c:pt>
                <c:pt idx="8">
                  <c:v>-200</c:v>
                </c:pt>
                <c:pt idx="9">
                  <c:v>-200</c:v>
                </c:pt>
                <c:pt idx="10">
                  <c:v>-200</c:v>
                </c:pt>
                <c:pt idx="11">
                  <c:v>-200</c:v>
                </c:pt>
                <c:pt idx="12">
                  <c:v>-200</c:v>
                </c:pt>
                <c:pt idx="13">
                  <c:v>-200</c:v>
                </c:pt>
                <c:pt idx="14">
                  <c:v>-200</c:v>
                </c:pt>
                <c:pt idx="15">
                  <c:v>-200</c:v>
                </c:pt>
                <c:pt idx="16">
                  <c:v>-200</c:v>
                </c:pt>
                <c:pt idx="17">
                  <c:v>-200</c:v>
                </c:pt>
                <c:pt idx="18">
                  <c:v>-200</c:v>
                </c:pt>
                <c:pt idx="19">
                  <c:v>-200</c:v>
                </c:pt>
                <c:pt idx="20">
                  <c:v>-200</c:v>
                </c:pt>
                <c:pt idx="21">
                  <c:v>-200</c:v>
                </c:pt>
                <c:pt idx="22">
                  <c:v>-200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0B-46E3-9F9C-11331CA604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axId val="344480831"/>
        <c:axId val="344486591"/>
      </c:barChart>
      <c:lineChart>
        <c:grouping val="standard"/>
        <c:varyColors val="0"/>
        <c:ser>
          <c:idx val="0"/>
          <c:order val="0"/>
          <c:tx>
            <c:strRef>
              <c:f>'25hike_IPInear'!$G$1</c:f>
              <c:strCache>
                <c:ptCount val="1"/>
                <c:pt idx="0">
                  <c:v>名目金利</c:v>
                </c:pt>
              </c:strCache>
            </c:strRef>
          </c:tx>
          <c:spPr>
            <a:ln w="25400" cap="rnd">
              <a:solidFill>
                <a:srgbClr val="002060"/>
              </a:solidFill>
              <a:prstDash val="solid"/>
              <a:round/>
            </a:ln>
            <a:effectLst/>
          </c:spPr>
          <c:marker>
            <c:symbol val="circle"/>
            <c:size val="8"/>
            <c:spPr>
              <a:solidFill>
                <a:srgbClr val="002060"/>
              </a:solidFill>
              <a:ln w="12700">
                <a:solidFill>
                  <a:srgbClr val="002060"/>
                </a:solidFill>
                <a:prstDash val="solid"/>
              </a:ln>
              <a:effectLst/>
            </c:spPr>
          </c:marker>
          <c:val>
            <c:numRef>
              <c:f>'25hike_IPInear'!$G$2:$G$24</c:f>
              <c:numCache>
                <c:formatCode>0.00_ </c:formatCode>
                <c:ptCount val="23"/>
                <c:pt idx="0">
                  <c:v>0</c:v>
                </c:pt>
                <c:pt idx="1">
                  <c:v>-9.9999999999997789E-6</c:v>
                </c:pt>
                <c:pt idx="2">
                  <c:v>-9.9999999999977494E-6</c:v>
                </c:pt>
                <c:pt idx="3">
                  <c:v>-9.9999999999683675E-6</c:v>
                </c:pt>
                <c:pt idx="4">
                  <c:v>0.24999999999999997</c:v>
                </c:pt>
                <c:pt idx="5">
                  <c:v>0.66111937595409964</c:v>
                </c:pt>
                <c:pt idx="6">
                  <c:v>0.78397563635575251</c:v>
                </c:pt>
                <c:pt idx="7">
                  <c:v>0.65186649159684373</c:v>
                </c:pt>
                <c:pt idx="8">
                  <c:v>0.48983930594596259</c:v>
                </c:pt>
                <c:pt idx="9">
                  <c:v>0.39212842873603154</c:v>
                </c:pt>
                <c:pt idx="10">
                  <c:v>0.36748495321895275</c:v>
                </c:pt>
                <c:pt idx="11">
                  <c:v>0.38976583485297556</c:v>
                </c:pt>
                <c:pt idx="12">
                  <c:v>0.42888997448204702</c:v>
                </c:pt>
                <c:pt idx="13">
                  <c:v>0.46426905845593314</c:v>
                </c:pt>
                <c:pt idx="14">
                  <c:v>0.48705470140133228</c:v>
                </c:pt>
                <c:pt idx="15">
                  <c:v>0.4970221430603633</c:v>
                </c:pt>
                <c:pt idx="16">
                  <c:v>0.49816890083845716</c:v>
                </c:pt>
                <c:pt idx="17">
                  <c:v>0.49521524164211317</c:v>
                </c:pt>
                <c:pt idx="18">
                  <c:v>0.49169562555857838</c:v>
                </c:pt>
                <c:pt idx="19">
                  <c:v>0.48943418095754032</c:v>
                </c:pt>
                <c:pt idx="20">
                  <c:v>0.48885092459876162</c:v>
                </c:pt>
                <c:pt idx="21">
                  <c:v>0.48956409377778931</c:v>
                </c:pt>
                <c:pt idx="22">
                  <c:v>0.49093753212267094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10B-46E3-9F9C-11331CA604EA}"/>
            </c:ext>
          </c:extLst>
        </c:ser>
        <c:ser>
          <c:idx val="1"/>
          <c:order val="1"/>
          <c:tx>
            <c:strRef>
              <c:f>'25hike_IPInear'!$C$1</c:f>
              <c:strCache>
                <c:ptCount val="1"/>
                <c:pt idx="0">
                  <c:v>需給ギャップ</c:v>
                </c:pt>
              </c:strCache>
            </c:strRef>
          </c:tx>
          <c:spPr>
            <a:ln w="19050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'25hike_IPInear'!$A$2:$A$24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'25hike_IPInear'!$C$2:$C$24</c:f>
              <c:numCache>
                <c:formatCode>0.00_ </c:formatCode>
                <c:ptCount val="23"/>
                <c:pt idx="0">
                  <c:v>0</c:v>
                </c:pt>
                <c:pt idx="1">
                  <c:v>3.1117072709414391E-2</c:v>
                </c:pt>
                <c:pt idx="2">
                  <c:v>8.3897235166905282E-2</c:v>
                </c:pt>
                <c:pt idx="3">
                  <c:v>0.15307479395180196</c:v>
                </c:pt>
                <c:pt idx="4">
                  <c:v>0.19213376074924216</c:v>
                </c:pt>
                <c:pt idx="5">
                  <c:v>0.18592527686131427</c:v>
                </c:pt>
                <c:pt idx="6">
                  <c:v>0.13132349118609163</c:v>
                </c:pt>
                <c:pt idx="7">
                  <c:v>7.3896602943031964E-2</c:v>
                </c:pt>
                <c:pt idx="8">
                  <c:v>4.0880879284122956E-2</c:v>
                </c:pt>
                <c:pt idx="9">
                  <c:v>3.4365778153044271E-2</c:v>
                </c:pt>
                <c:pt idx="10">
                  <c:v>4.3613600281949633E-2</c:v>
                </c:pt>
                <c:pt idx="11">
                  <c:v>5.6543448010731551E-2</c:v>
                </c:pt>
                <c:pt idx="12">
                  <c:v>6.5379565098690029E-2</c:v>
                </c:pt>
                <c:pt idx="13">
                  <c:v>6.749396167756104E-2</c:v>
                </c:pt>
                <c:pt idx="14">
                  <c:v>6.3832449401534486E-2</c:v>
                </c:pt>
                <c:pt idx="15">
                  <c:v>5.6843791024977899E-2</c:v>
                </c:pt>
                <c:pt idx="16">
                  <c:v>4.8930680980735414E-2</c:v>
                </c:pt>
                <c:pt idx="17">
                  <c:v>4.1695595059153073E-2</c:v>
                </c:pt>
                <c:pt idx="18">
                  <c:v>3.5829815315125232E-2</c:v>
                </c:pt>
                <c:pt idx="19">
                  <c:v>3.1353096132255176E-2</c:v>
                </c:pt>
                <c:pt idx="20">
                  <c:v>2.7945685489625179E-2</c:v>
                </c:pt>
                <c:pt idx="21">
                  <c:v>2.5217576143328244E-2</c:v>
                </c:pt>
                <c:pt idx="22">
                  <c:v>2.2860673643270914E-2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10B-46E3-9F9C-11331CA604EA}"/>
            </c:ext>
          </c:extLst>
        </c:ser>
        <c:ser>
          <c:idx val="6"/>
          <c:order val="2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'25hike_IPInear'!$B$2:$B$24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10B-46E3-9F9C-11331CA604EA}"/>
            </c:ext>
          </c:extLst>
        </c:ser>
        <c:ser>
          <c:idx val="2"/>
          <c:order val="3"/>
          <c:tx>
            <c:strRef>
              <c:f>'25hike_IPInear'!$I$1</c:f>
              <c:strCache>
                <c:ptCount val="1"/>
                <c:pt idx="0">
                  <c:v>ターミナルレート</c:v>
                </c:pt>
              </c:strCache>
            </c:strRef>
          </c:tx>
          <c:spPr>
            <a:ln w="1270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'25hike_IPInear'!$I$2:$I$24</c:f>
              <c:numCache>
                <c:formatCode>0.00_ </c:formatCode>
                <c:ptCount val="23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0.5</c:v>
                </c:pt>
                <c:pt idx="12">
                  <c:v>0.5</c:v>
                </c:pt>
                <c:pt idx="13">
                  <c:v>0.5</c:v>
                </c:pt>
                <c:pt idx="14">
                  <c:v>0.5</c:v>
                </c:pt>
                <c:pt idx="15">
                  <c:v>0.5</c:v>
                </c:pt>
                <c:pt idx="16">
                  <c:v>0.5</c:v>
                </c:pt>
                <c:pt idx="17">
                  <c:v>0.5</c:v>
                </c:pt>
                <c:pt idx="18">
                  <c:v>0.5</c:v>
                </c:pt>
                <c:pt idx="19">
                  <c:v>0.5</c:v>
                </c:pt>
                <c:pt idx="20">
                  <c:v>0.5</c:v>
                </c:pt>
                <c:pt idx="21">
                  <c:v>0.5</c:v>
                </c:pt>
                <c:pt idx="22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10B-46E3-9F9C-11331CA604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480831"/>
        <c:axId val="344486591"/>
      </c:lineChart>
      <c:catAx>
        <c:axId val="34448083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6591"/>
        <c:crossesAt val="-100"/>
        <c:auto val="1"/>
        <c:lblAlgn val="ctr"/>
        <c:lblOffset val="100"/>
        <c:tickLblSkip val="4"/>
        <c:tickMarkSkip val="1"/>
        <c:noMultiLvlLbl val="0"/>
      </c:catAx>
      <c:valAx>
        <c:axId val="344486591"/>
        <c:scaling>
          <c:orientation val="minMax"/>
          <c:max val="1"/>
          <c:min val="-0.25"/>
        </c:scaling>
        <c:delete val="0"/>
        <c:axPos val="l"/>
        <c:numFmt formatCode="0.00_ " sourceLinked="0"/>
        <c:majorTickMark val="out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0831"/>
        <c:crosses val="autoZero"/>
        <c:crossBetween val="midCat"/>
        <c:majorUnit val="0.25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  <a:effectLst/>
      </c:spPr>
    </c:plotArea>
    <c:legend>
      <c:legendPos val="b"/>
      <c:legendEntry>
        <c:idx val="0"/>
        <c:delete val="1"/>
      </c:legendEntry>
      <c:legendEntry>
        <c:idx val="3"/>
        <c:delete val="1"/>
      </c:legendEntry>
      <c:legendEntry>
        <c:idx val="4"/>
        <c:delete val="1"/>
      </c:legendEntry>
      <c:layout>
        <c:manualLayout>
          <c:xMode val="edge"/>
          <c:yMode val="edge"/>
          <c:x val="0.53314664307327864"/>
          <c:y val="0.11763367814100763"/>
          <c:w val="0.4388255418582177"/>
          <c:h val="0.15985385709312802"/>
        </c:manualLayout>
      </c:layout>
      <c:overlay val="0"/>
      <c:spPr>
        <a:noFill/>
        <a:ln w="2540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rgbClr val="000000"/>
              </a:solidFill>
              <a:latin typeface="ＭＳ ゴシック"/>
              <a:ea typeface="ＭＳ ゴシック"/>
              <a:cs typeface="ＭＳ ゴシック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25400" cap="flat" cmpd="sng" algn="ctr">
      <a:noFill/>
      <a:round/>
    </a:ln>
    <a:effectLst/>
  </c:spPr>
  <c:txPr>
    <a:bodyPr/>
    <a:lstStyle/>
    <a:p>
      <a:pPr>
        <a:defRPr>
          <a:solidFill>
            <a:srgbClr val="000000"/>
          </a:solidFill>
          <a:latin typeface="ＭＳ ゴシック"/>
          <a:ea typeface="ＭＳ ゴシック"/>
          <a:cs typeface="ＭＳ ゴシック"/>
        </a:defRPr>
      </a:pPr>
      <a:endParaRPr lang="ja-JP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40233076776417"/>
          <c:y val="9.5123027297075252E-2"/>
          <c:w val="0.83208394199593816"/>
          <c:h val="0.81169163212805151"/>
        </c:manualLayout>
      </c:layout>
      <c:barChart>
        <c:barDir val="col"/>
        <c:grouping val="clustered"/>
        <c:varyColors val="0"/>
        <c:ser>
          <c:idx val="4"/>
          <c:order val="5"/>
          <c:tx>
            <c:strRef>
              <c:f>'25hike_IPIfar'!$J$1</c:f>
              <c:strCache>
                <c:ptCount val="1"/>
                <c:pt idx="0">
                  <c:v>縦軸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val>
            <c:numRef>
              <c:f>'25hike_IPIfar'!$J$2:$J$24</c:f>
              <c:numCache>
                <c:formatCode>0.00_ </c:formatCode>
                <c:ptCount val="23"/>
                <c:pt idx="0">
                  <c:v>-200</c:v>
                </c:pt>
                <c:pt idx="1">
                  <c:v>-200</c:v>
                </c:pt>
                <c:pt idx="2">
                  <c:v>-200</c:v>
                </c:pt>
                <c:pt idx="3">
                  <c:v>-200</c:v>
                </c:pt>
                <c:pt idx="4">
                  <c:v>100</c:v>
                </c:pt>
                <c:pt idx="5">
                  <c:v>-200</c:v>
                </c:pt>
                <c:pt idx="6">
                  <c:v>-200</c:v>
                </c:pt>
                <c:pt idx="7">
                  <c:v>100</c:v>
                </c:pt>
                <c:pt idx="8">
                  <c:v>-200</c:v>
                </c:pt>
                <c:pt idx="9">
                  <c:v>-200</c:v>
                </c:pt>
                <c:pt idx="10">
                  <c:v>-200</c:v>
                </c:pt>
                <c:pt idx="11">
                  <c:v>-200</c:v>
                </c:pt>
                <c:pt idx="12">
                  <c:v>-200</c:v>
                </c:pt>
                <c:pt idx="13">
                  <c:v>-200</c:v>
                </c:pt>
                <c:pt idx="14">
                  <c:v>-200</c:v>
                </c:pt>
                <c:pt idx="15">
                  <c:v>-200</c:v>
                </c:pt>
                <c:pt idx="16">
                  <c:v>-200</c:v>
                </c:pt>
                <c:pt idx="17">
                  <c:v>-200</c:v>
                </c:pt>
                <c:pt idx="18">
                  <c:v>-200</c:v>
                </c:pt>
                <c:pt idx="19">
                  <c:v>-200</c:v>
                </c:pt>
                <c:pt idx="20">
                  <c:v>-200</c:v>
                </c:pt>
                <c:pt idx="21">
                  <c:v>-200</c:v>
                </c:pt>
                <c:pt idx="22">
                  <c:v>-200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5B-40E4-8ED2-2223A4E52B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axId val="344480831"/>
        <c:axId val="344486591"/>
      </c:barChart>
      <c:lineChart>
        <c:grouping val="standard"/>
        <c:varyColors val="0"/>
        <c:ser>
          <c:idx val="1"/>
          <c:order val="0"/>
          <c:tx>
            <c:strRef>
              <c:f>'25hike_IPIfar'!$D$1</c:f>
              <c:strCache>
                <c:ptCount val="1"/>
                <c:pt idx="0">
                  <c:v>インフレ率</c:v>
                </c:pt>
              </c:strCache>
            </c:strRef>
          </c:tx>
          <c:spPr>
            <a:ln w="25400" cap="rnd">
              <a:solidFill>
                <a:srgbClr val="00206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'25hike_IPIfar'!$A$2:$A$24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'25hike_IPIfar'!$D$2:$D$24</c:f>
              <c:numCache>
                <c:formatCode>0.00_ </c:formatCode>
                <c:ptCount val="23"/>
                <c:pt idx="0">
                  <c:v>1.5</c:v>
                </c:pt>
                <c:pt idx="1">
                  <c:v>1.6462433417342477</c:v>
                </c:pt>
                <c:pt idx="2">
                  <c:v>1.7657322218491545</c:v>
                </c:pt>
                <c:pt idx="3">
                  <c:v>1.8818733517853243</c:v>
                </c:pt>
                <c:pt idx="4">
                  <c:v>1.9703615215428429</c:v>
                </c:pt>
                <c:pt idx="5">
                  <c:v>2.036564111280676</c:v>
                </c:pt>
                <c:pt idx="6">
                  <c:v>2.073431329672629</c:v>
                </c:pt>
                <c:pt idx="7">
                  <c:v>2.0833333160338103</c:v>
                </c:pt>
                <c:pt idx="8">
                  <c:v>2.7317932422721092</c:v>
                </c:pt>
                <c:pt idx="9">
                  <c:v>2.4704245171946893</c:v>
                </c:pt>
                <c:pt idx="10">
                  <c:v>2.1896275803256966</c:v>
                </c:pt>
                <c:pt idx="11">
                  <c:v>2.0309398791300293</c:v>
                </c:pt>
                <c:pt idx="12">
                  <c:v>1.9718663645551646</c:v>
                </c:pt>
                <c:pt idx="13">
                  <c:v>1.9681728988882905</c:v>
                </c:pt>
                <c:pt idx="14">
                  <c:v>1.9855760520589725</c:v>
                </c:pt>
                <c:pt idx="15">
                  <c:v>2.0041730275520178</c:v>
                </c:pt>
                <c:pt idx="16">
                  <c:v>2.0157443900929315</c:v>
                </c:pt>
                <c:pt idx="17">
                  <c:v>2.0193980847814963</c:v>
                </c:pt>
                <c:pt idx="18">
                  <c:v>2.0176030967674294</c:v>
                </c:pt>
                <c:pt idx="19">
                  <c:v>2.0134495527563239</c:v>
                </c:pt>
                <c:pt idx="20">
                  <c:v>2.0092468583631518</c:v>
                </c:pt>
                <c:pt idx="21">
                  <c:v>2.0061524460058471</c:v>
                </c:pt>
                <c:pt idx="22">
                  <c:v>2.0043860994019429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05B-40E4-8ED2-2223A4E52B31}"/>
            </c:ext>
          </c:extLst>
        </c:ser>
        <c:ser>
          <c:idx val="2"/>
          <c:order val="1"/>
          <c:tx>
            <c:strRef>
              <c:f>'25hike_IPIfar'!$E$1</c:f>
              <c:strCache>
                <c:ptCount val="1"/>
                <c:pt idx="0">
                  <c:v>期待インフレ率</c:v>
                </c:pt>
              </c:strCache>
            </c:strRef>
          </c:tx>
          <c:spPr>
            <a:ln w="19050" cap="rnd">
              <a:solidFill>
                <a:srgbClr val="00B05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'25hike_IPIfar'!$A$2:$A$24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'25hike_IPIfar'!$E$2:$E$24</c:f>
              <c:numCache>
                <c:formatCode>0.00_ </c:formatCode>
                <c:ptCount val="23"/>
                <c:pt idx="0">
                  <c:v>1.5</c:v>
                </c:pt>
                <c:pt idx="1">
                  <c:v>1.610677470400173</c:v>
                </c:pt>
                <c:pt idx="2">
                  <c:v>1.6866924362564863</c:v>
                </c:pt>
                <c:pt idx="3">
                  <c:v>1.7513251220551751</c:v>
                </c:pt>
                <c:pt idx="4">
                  <c:v>1.8098180846363439</c:v>
                </c:pt>
                <c:pt idx="5">
                  <c:v>1.8541824296664009</c:v>
                </c:pt>
                <c:pt idx="6">
                  <c:v>1.8851395795117543</c:v>
                </c:pt>
                <c:pt idx="7">
                  <c:v>1.9042444860119256</c:v>
                </c:pt>
                <c:pt idx="8">
                  <c:v>2.0858904482137404</c:v>
                </c:pt>
                <c:pt idx="9">
                  <c:v>2.1057871487450588</c:v>
                </c:pt>
                <c:pt idx="10">
                  <c:v>2.026308580205928</c:v>
                </c:pt>
                <c:pt idx="11">
                  <c:v>1.972125981034339</c:v>
                </c:pt>
                <c:pt idx="12">
                  <c:v>1.9520056615056507</c:v>
                </c:pt>
                <c:pt idx="13">
                  <c:v>1.952839553775704</c:v>
                </c:pt>
                <c:pt idx="14">
                  <c:v>1.9621133942617648</c:v>
                </c:pt>
                <c:pt idx="15">
                  <c:v>1.9721171439959591</c:v>
                </c:pt>
                <c:pt idx="16">
                  <c:v>1.9794961770334385</c:v>
                </c:pt>
                <c:pt idx="17">
                  <c:v>1.9837273534331696</c:v>
                </c:pt>
                <c:pt idx="18">
                  <c:v>1.9856392123731754</c:v>
                </c:pt>
                <c:pt idx="19">
                  <c:v>1.9863648282927258</c:v>
                </c:pt>
                <c:pt idx="20">
                  <c:v>1.9867891339907882</c:v>
                </c:pt>
                <c:pt idx="21">
                  <c:v>1.9873849839918933</c:v>
                </c:pt>
                <c:pt idx="22">
                  <c:v>1.9882760771166035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05B-40E4-8ED2-2223A4E52B31}"/>
            </c:ext>
          </c:extLst>
        </c:ser>
        <c:ser>
          <c:idx val="3"/>
          <c:order val="2"/>
          <c:tx>
            <c:strRef>
              <c:f>'25hike_IPIfar'!$F$1</c:f>
              <c:strCache>
                <c:ptCount val="1"/>
                <c:pt idx="0">
                  <c:v>物価観</c:v>
                </c:pt>
              </c:strCache>
            </c:strRef>
          </c:tx>
          <c:spPr>
            <a:ln w="22225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'25hike_IPIfar'!$A$2:$A$24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'25hike_IPIfar'!$F$2:$F$24</c:f>
              <c:numCache>
                <c:formatCode>0.00_ </c:formatCode>
                <c:ptCount val="23"/>
                <c:pt idx="0">
                  <c:v>1.5</c:v>
                </c:pt>
                <c:pt idx="1">
                  <c:v>1.5131619007560824</c:v>
                </c:pt>
                <c:pt idx="2">
                  <c:v>1.5358932296544587</c:v>
                </c:pt>
                <c:pt idx="3">
                  <c:v>1.5670314406462367</c:v>
                </c:pt>
                <c:pt idx="4">
                  <c:v>1.6033311479269312</c:v>
                </c:pt>
                <c:pt idx="5">
                  <c:v>1.6423221146287683</c:v>
                </c:pt>
                <c:pt idx="6">
                  <c:v>1.6811219439827156</c:v>
                </c:pt>
                <c:pt idx="7">
                  <c:v>1.7173209674673142</c:v>
                </c:pt>
                <c:pt idx="8">
                  <c:v>1.8086234721997456</c:v>
                </c:pt>
                <c:pt idx="9">
                  <c:v>1.8681855662492906</c:v>
                </c:pt>
                <c:pt idx="10">
                  <c:v>1.8971153475161671</c:v>
                </c:pt>
                <c:pt idx="11">
                  <c:v>1.9091595553614149</c:v>
                </c:pt>
                <c:pt idx="12">
                  <c:v>1.9148031681888522</c:v>
                </c:pt>
                <c:pt idx="13">
                  <c:v>1.9196064439518017</c:v>
                </c:pt>
                <c:pt idx="14">
                  <c:v>1.9255437086814471</c:v>
                </c:pt>
                <c:pt idx="15">
                  <c:v>1.9326203473797985</c:v>
                </c:pt>
                <c:pt idx="16">
                  <c:v>1.9401015112239803</c:v>
                </c:pt>
                <c:pt idx="17">
                  <c:v>1.9472382028441571</c:v>
                </c:pt>
                <c:pt idx="18">
                  <c:v>1.9535710432972515</c:v>
                </c:pt>
                <c:pt idx="19">
                  <c:v>1.958960109148568</c:v>
                </c:pt>
                <c:pt idx="20">
                  <c:v>1.9634859165778804</c:v>
                </c:pt>
                <c:pt idx="21">
                  <c:v>1.9673259042263975</c:v>
                </c:pt>
                <c:pt idx="22">
                  <c:v>1.9706613217921967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05B-40E4-8ED2-2223A4E52B31}"/>
            </c:ext>
          </c:extLst>
        </c:ser>
        <c:ser>
          <c:idx val="6"/>
          <c:order val="3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'25hike_IPIfar'!$B$2:$B$24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05B-40E4-8ED2-2223A4E52B31}"/>
            </c:ext>
          </c:extLst>
        </c:ser>
        <c:ser>
          <c:idx val="0"/>
          <c:order val="4"/>
          <c:tx>
            <c:strRef>
              <c:f>'25hike_IPIfar'!$H$1</c:f>
              <c:strCache>
                <c:ptCount val="1"/>
                <c:pt idx="0">
                  <c:v>物価目標</c:v>
                </c:pt>
              </c:strCache>
            </c:strRef>
          </c:tx>
          <c:spPr>
            <a:ln w="1270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'25hike_IPIfar'!$H$2:$H$24</c:f>
              <c:numCache>
                <c:formatCode>0.00_ </c:formatCode>
                <c:ptCount val="2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05B-40E4-8ED2-2223A4E52B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480831"/>
        <c:axId val="344486591"/>
      </c:lineChart>
      <c:catAx>
        <c:axId val="34448083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6591"/>
        <c:crossesAt val="-100"/>
        <c:auto val="1"/>
        <c:lblAlgn val="ctr"/>
        <c:lblOffset val="100"/>
        <c:tickLblSkip val="4"/>
        <c:tickMarkSkip val="1"/>
        <c:noMultiLvlLbl val="0"/>
      </c:catAx>
      <c:valAx>
        <c:axId val="344486591"/>
        <c:scaling>
          <c:orientation val="minMax"/>
          <c:max val="2.8"/>
          <c:min val="1.4"/>
        </c:scaling>
        <c:delete val="0"/>
        <c:axPos val="l"/>
        <c:numFmt formatCode="0.0_ " sourceLinked="0"/>
        <c:majorTickMark val="out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0831"/>
        <c:crosses val="autoZero"/>
        <c:crossBetween val="midCat"/>
        <c:majorUnit val="0.2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  <a:effectLst/>
      </c:spPr>
    </c:plotArea>
    <c:legend>
      <c:legendPos val="b"/>
      <c:legendEntry>
        <c:idx val="0"/>
        <c:delete val="1"/>
      </c:legendEntry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0.45168072153820021"/>
          <c:y val="0.11273042925296112"/>
          <c:w val="0.51769993260237046"/>
          <c:h val="0.21690984576381592"/>
        </c:manualLayout>
      </c:layout>
      <c:overlay val="0"/>
      <c:spPr>
        <a:noFill/>
        <a:ln w="2540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rgbClr val="000000"/>
              </a:solidFill>
              <a:latin typeface="ＭＳ ゴシック"/>
              <a:ea typeface="ＭＳ ゴシック"/>
              <a:cs typeface="ＭＳ ゴシック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25400" cap="flat" cmpd="sng" algn="ctr">
      <a:noFill/>
      <a:round/>
    </a:ln>
    <a:effectLst/>
  </c:spPr>
  <c:txPr>
    <a:bodyPr/>
    <a:lstStyle/>
    <a:p>
      <a:pPr>
        <a:defRPr>
          <a:solidFill>
            <a:srgbClr val="000000"/>
          </a:solidFill>
          <a:latin typeface="ＭＳ ゴシック"/>
          <a:ea typeface="ＭＳ ゴシック"/>
          <a:cs typeface="ＭＳ ゴシック"/>
        </a:defRPr>
      </a:pPr>
      <a:endParaRPr lang="ja-JP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40233076776417"/>
          <c:y val="9.5123027297075252E-2"/>
          <c:w val="0.83208394199593816"/>
          <c:h val="0.81169163212805151"/>
        </c:manualLayout>
      </c:layout>
      <c:barChart>
        <c:barDir val="col"/>
        <c:grouping val="clustered"/>
        <c:varyColors val="0"/>
        <c:ser>
          <c:idx val="3"/>
          <c:order val="4"/>
          <c:tx>
            <c:strRef>
              <c:f>'25hike_IPIfar'!$J$1</c:f>
              <c:strCache>
                <c:ptCount val="1"/>
                <c:pt idx="0">
                  <c:v>縦軸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val>
            <c:numRef>
              <c:f>'25hike_IPIfar'!$J$2:$J$24</c:f>
              <c:numCache>
                <c:formatCode>0.00_ </c:formatCode>
                <c:ptCount val="23"/>
                <c:pt idx="0">
                  <c:v>-200</c:v>
                </c:pt>
                <c:pt idx="1">
                  <c:v>-200</c:v>
                </c:pt>
                <c:pt idx="2">
                  <c:v>-200</c:v>
                </c:pt>
                <c:pt idx="3">
                  <c:v>-200</c:v>
                </c:pt>
                <c:pt idx="4">
                  <c:v>100</c:v>
                </c:pt>
                <c:pt idx="5">
                  <c:v>-200</c:v>
                </c:pt>
                <c:pt idx="6">
                  <c:v>-200</c:v>
                </c:pt>
                <c:pt idx="7">
                  <c:v>100</c:v>
                </c:pt>
                <c:pt idx="8">
                  <c:v>-200</c:v>
                </c:pt>
                <c:pt idx="9">
                  <c:v>-200</c:v>
                </c:pt>
                <c:pt idx="10">
                  <c:v>-200</c:v>
                </c:pt>
                <c:pt idx="11">
                  <c:v>-200</c:v>
                </c:pt>
                <c:pt idx="12">
                  <c:v>-200</c:v>
                </c:pt>
                <c:pt idx="13">
                  <c:v>-200</c:v>
                </c:pt>
                <c:pt idx="14">
                  <c:v>-200</c:v>
                </c:pt>
                <c:pt idx="15">
                  <c:v>-200</c:v>
                </c:pt>
                <c:pt idx="16">
                  <c:v>-200</c:v>
                </c:pt>
                <c:pt idx="17">
                  <c:v>-200</c:v>
                </c:pt>
                <c:pt idx="18">
                  <c:v>-200</c:v>
                </c:pt>
                <c:pt idx="19">
                  <c:v>-200</c:v>
                </c:pt>
                <c:pt idx="20">
                  <c:v>-200</c:v>
                </c:pt>
                <c:pt idx="21">
                  <c:v>-200</c:v>
                </c:pt>
                <c:pt idx="22">
                  <c:v>-200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A7-4C5B-B4FD-32D3468514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axId val="344480831"/>
        <c:axId val="344486591"/>
      </c:barChart>
      <c:lineChart>
        <c:grouping val="standard"/>
        <c:varyColors val="0"/>
        <c:ser>
          <c:idx val="0"/>
          <c:order val="0"/>
          <c:tx>
            <c:strRef>
              <c:f>'25hike_IPIfar'!$G$1</c:f>
              <c:strCache>
                <c:ptCount val="1"/>
                <c:pt idx="0">
                  <c:v>名目金利</c:v>
                </c:pt>
              </c:strCache>
            </c:strRef>
          </c:tx>
          <c:spPr>
            <a:ln w="25400" cap="rnd">
              <a:solidFill>
                <a:srgbClr val="002060"/>
              </a:solidFill>
              <a:prstDash val="solid"/>
              <a:round/>
            </a:ln>
            <a:effectLst/>
          </c:spPr>
          <c:marker>
            <c:symbol val="circle"/>
            <c:size val="8"/>
            <c:spPr>
              <a:solidFill>
                <a:srgbClr val="002060"/>
              </a:solidFill>
              <a:ln w="12700">
                <a:solidFill>
                  <a:srgbClr val="002060"/>
                </a:solidFill>
                <a:prstDash val="solid"/>
              </a:ln>
              <a:effectLst/>
            </c:spPr>
          </c:marker>
          <c:val>
            <c:numRef>
              <c:f>'25hike_IPIfar'!$G$2:$G$24</c:f>
              <c:numCache>
                <c:formatCode>0.00_ </c:formatCode>
                <c:ptCount val="23"/>
                <c:pt idx="0">
                  <c:v>0</c:v>
                </c:pt>
                <c:pt idx="1">
                  <c:v>-9.9999999999997789E-6</c:v>
                </c:pt>
                <c:pt idx="2">
                  <c:v>-9.9999999999977494E-6</c:v>
                </c:pt>
                <c:pt idx="3">
                  <c:v>-9.9999999999683675E-6</c:v>
                </c:pt>
                <c:pt idx="4">
                  <c:v>0.24999999999999997</c:v>
                </c:pt>
                <c:pt idx="5">
                  <c:v>0.25306540702103297</c:v>
                </c:pt>
                <c:pt idx="6">
                  <c:v>0.40107210422482914</c:v>
                </c:pt>
                <c:pt idx="7">
                  <c:v>0.48313701640321871</c:v>
                </c:pt>
                <c:pt idx="8">
                  <c:v>0.91876018484045097</c:v>
                </c:pt>
                <c:pt idx="9">
                  <c:v>0.88849797567709565</c:v>
                </c:pt>
                <c:pt idx="10">
                  <c:v>0.65699834258595669</c:v>
                </c:pt>
                <c:pt idx="11">
                  <c:v>0.451307475852739</c:v>
                </c:pt>
                <c:pt idx="12">
                  <c:v>0.34967084673366022</c:v>
                </c:pt>
                <c:pt idx="13">
                  <c:v>0.34071433778660848</c:v>
                </c:pt>
                <c:pt idx="14">
                  <c:v>0.38248917064427496</c:v>
                </c:pt>
                <c:pt idx="15">
                  <c:v>0.43622173887125676</c:v>
                </c:pt>
                <c:pt idx="16">
                  <c:v>0.47881760769203152</c:v>
                </c:pt>
                <c:pt idx="17">
                  <c:v>0.50267320831971152</c:v>
                </c:pt>
                <c:pt idx="18">
                  <c:v>0.51018529958432357</c:v>
                </c:pt>
                <c:pt idx="19">
                  <c:v>0.50777277513849495</c:v>
                </c:pt>
                <c:pt idx="20">
                  <c:v>0.50169171197189621</c:v>
                </c:pt>
                <c:pt idx="21">
                  <c:v>0.49608857705337717</c:v>
                </c:pt>
                <c:pt idx="22">
                  <c:v>0.49275809002105192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DA7-4C5B-B4FD-32D3468514D9}"/>
            </c:ext>
          </c:extLst>
        </c:ser>
        <c:ser>
          <c:idx val="1"/>
          <c:order val="1"/>
          <c:tx>
            <c:strRef>
              <c:f>'25hike_IPIfar'!$C$1</c:f>
              <c:strCache>
                <c:ptCount val="1"/>
                <c:pt idx="0">
                  <c:v>需給ギャップ</c:v>
                </c:pt>
              </c:strCache>
            </c:strRef>
          </c:tx>
          <c:spPr>
            <a:ln w="19050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'25hike_IPIfar'!$A$2:$A$24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'25hike_IPIfar'!$C$2:$C$24</c:f>
              <c:numCache>
                <c:formatCode>0.00_ </c:formatCode>
                <c:ptCount val="23"/>
                <c:pt idx="0">
                  <c:v>0</c:v>
                </c:pt>
                <c:pt idx="1">
                  <c:v>3.1117072709414391E-2</c:v>
                </c:pt>
                <c:pt idx="2">
                  <c:v>8.3897235166905282E-2</c:v>
                </c:pt>
                <c:pt idx="3">
                  <c:v>0.15307479395180196</c:v>
                </c:pt>
                <c:pt idx="4">
                  <c:v>0.19213376074924216</c:v>
                </c:pt>
                <c:pt idx="5">
                  <c:v>0.22322451739157906</c:v>
                </c:pt>
                <c:pt idx="6">
                  <c:v>0.22887099969176919</c:v>
                </c:pt>
                <c:pt idx="7">
                  <c:v>0.21280601468807236</c:v>
                </c:pt>
                <c:pt idx="8">
                  <c:v>0.14815496726346006</c:v>
                </c:pt>
                <c:pt idx="9">
                  <c:v>5.8778020979009027E-2</c:v>
                </c:pt>
                <c:pt idx="10">
                  <c:v>-7.7606194970557263E-3</c:v>
                </c:pt>
                <c:pt idx="11">
                  <c:v>-3.269612001756339E-2</c:v>
                </c:pt>
                <c:pt idx="12">
                  <c:v>-2.3995942107822119E-2</c:v>
                </c:pt>
                <c:pt idx="13">
                  <c:v>2.6317984030693742E-4</c:v>
                </c:pt>
                <c:pt idx="14">
                  <c:v>2.4411746344000798E-2</c:v>
                </c:pt>
                <c:pt idx="15">
                  <c:v>4.0068255585448104E-2</c:v>
                </c:pt>
                <c:pt idx="16">
                  <c:v>4.5633972386490973E-2</c:v>
                </c:pt>
                <c:pt idx="17">
                  <c:v>4.3540926274869857E-2</c:v>
                </c:pt>
                <c:pt idx="18">
                  <c:v>3.7469262415608107E-2</c:v>
                </c:pt>
                <c:pt idx="19">
                  <c:v>3.0540678752002597E-2</c:v>
                </c:pt>
                <c:pt idx="20">
                  <c:v>2.4607141933938603E-2</c:v>
                </c:pt>
                <c:pt idx="21">
                  <c:v>2.0312100362260523E-2</c:v>
                </c:pt>
                <c:pt idx="22">
                  <c:v>1.7508064805281894E-2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DA7-4C5B-B4FD-32D3468514D9}"/>
            </c:ext>
          </c:extLst>
        </c:ser>
        <c:ser>
          <c:idx val="6"/>
          <c:order val="2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'25hike_IPIfar'!$B$2:$B$24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DA7-4C5B-B4FD-32D3468514D9}"/>
            </c:ext>
          </c:extLst>
        </c:ser>
        <c:ser>
          <c:idx val="2"/>
          <c:order val="3"/>
          <c:tx>
            <c:strRef>
              <c:f>'25hike_IPIfar'!$I$1</c:f>
              <c:strCache>
                <c:ptCount val="1"/>
                <c:pt idx="0">
                  <c:v>ターミナルレート</c:v>
                </c:pt>
              </c:strCache>
            </c:strRef>
          </c:tx>
          <c:spPr>
            <a:ln w="1270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'25hike_IPIfar'!$I$2:$I$24</c:f>
              <c:numCache>
                <c:formatCode>0.00_ </c:formatCode>
                <c:ptCount val="23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0.5</c:v>
                </c:pt>
                <c:pt idx="12">
                  <c:v>0.5</c:v>
                </c:pt>
                <c:pt idx="13">
                  <c:v>0.5</c:v>
                </c:pt>
                <c:pt idx="14">
                  <c:v>0.5</c:v>
                </c:pt>
                <c:pt idx="15">
                  <c:v>0.5</c:v>
                </c:pt>
                <c:pt idx="16">
                  <c:v>0.5</c:v>
                </c:pt>
                <c:pt idx="17">
                  <c:v>0.5</c:v>
                </c:pt>
                <c:pt idx="18">
                  <c:v>0.5</c:v>
                </c:pt>
                <c:pt idx="19">
                  <c:v>0.5</c:v>
                </c:pt>
                <c:pt idx="20">
                  <c:v>0.5</c:v>
                </c:pt>
                <c:pt idx="21">
                  <c:v>0.5</c:v>
                </c:pt>
                <c:pt idx="22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DA7-4C5B-B4FD-32D3468514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480831"/>
        <c:axId val="344486591"/>
      </c:lineChart>
      <c:catAx>
        <c:axId val="34448083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6591"/>
        <c:crossesAt val="-100"/>
        <c:auto val="1"/>
        <c:lblAlgn val="ctr"/>
        <c:lblOffset val="100"/>
        <c:tickLblSkip val="4"/>
        <c:tickMarkSkip val="1"/>
        <c:noMultiLvlLbl val="0"/>
      </c:catAx>
      <c:valAx>
        <c:axId val="344486591"/>
        <c:scaling>
          <c:orientation val="minMax"/>
          <c:max val="1"/>
          <c:min val="-0.25"/>
        </c:scaling>
        <c:delete val="0"/>
        <c:axPos val="l"/>
        <c:numFmt formatCode="0.00_ " sourceLinked="0"/>
        <c:majorTickMark val="out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0831"/>
        <c:crosses val="autoZero"/>
        <c:crossBetween val="midCat"/>
        <c:majorUnit val="0.25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  <a:effectLst/>
      </c:spPr>
    </c:plotArea>
    <c:legend>
      <c:legendPos val="b"/>
      <c:legendEntry>
        <c:idx val="0"/>
        <c:delete val="1"/>
      </c:legendEntry>
      <c:legendEntry>
        <c:idx val="3"/>
        <c:delete val="1"/>
      </c:legendEntry>
      <c:legendEntry>
        <c:idx val="4"/>
        <c:delete val="1"/>
      </c:legendEntry>
      <c:layout>
        <c:manualLayout>
          <c:xMode val="edge"/>
          <c:yMode val="edge"/>
          <c:x val="0.53875220608697938"/>
          <c:y val="0.11763367814100763"/>
          <c:w val="0.4388255418582177"/>
          <c:h val="0.15985385709312802"/>
        </c:manualLayout>
      </c:layout>
      <c:overlay val="0"/>
      <c:spPr>
        <a:noFill/>
        <a:ln w="2540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rgbClr val="000000"/>
              </a:solidFill>
              <a:latin typeface="ＭＳ ゴシック"/>
              <a:ea typeface="ＭＳ ゴシック"/>
              <a:cs typeface="ＭＳ ゴシック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25400" cap="flat" cmpd="sng" algn="ctr">
      <a:noFill/>
      <a:round/>
    </a:ln>
    <a:effectLst/>
  </c:spPr>
  <c:txPr>
    <a:bodyPr/>
    <a:lstStyle/>
    <a:p>
      <a:pPr>
        <a:defRPr>
          <a:solidFill>
            <a:srgbClr val="000000"/>
          </a:solidFill>
          <a:latin typeface="ＭＳ ゴシック"/>
          <a:ea typeface="ＭＳ ゴシック"/>
          <a:cs typeface="ＭＳ ゴシック"/>
        </a:defRPr>
      </a:pPr>
      <a:endParaRPr lang="ja-JP"/>
    </a:p>
  </c:txPr>
  <c:printSettings>
    <c:headerFooter/>
    <c:pageMargins b="0.75" l="0.7" r="0.7" t="0.75" header="0.3" footer="0.3"/>
    <c:pageSetup/>
  </c:printSettings>
  <c:userShapes r:id="rId3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40233076776417"/>
          <c:y val="9.5123027297075252E-2"/>
          <c:w val="0.83208394199593816"/>
          <c:h val="0.81169163212805151"/>
        </c:manualLayout>
      </c:layout>
      <c:barChart>
        <c:barDir val="col"/>
        <c:grouping val="clustered"/>
        <c:varyColors val="0"/>
        <c:ser>
          <c:idx val="4"/>
          <c:order val="5"/>
          <c:tx>
            <c:strRef>
              <c:f>'25hike_IPIminus'!$J$1</c:f>
              <c:strCache>
                <c:ptCount val="1"/>
                <c:pt idx="0">
                  <c:v>縦軸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val>
            <c:numRef>
              <c:f>'25hike_IPIminus'!$J$2:$J$24</c:f>
              <c:numCache>
                <c:formatCode>0.00_ </c:formatCode>
                <c:ptCount val="23"/>
                <c:pt idx="0">
                  <c:v>-200</c:v>
                </c:pt>
                <c:pt idx="1">
                  <c:v>-200</c:v>
                </c:pt>
                <c:pt idx="2">
                  <c:v>-200</c:v>
                </c:pt>
                <c:pt idx="3">
                  <c:v>-200</c:v>
                </c:pt>
                <c:pt idx="4">
                  <c:v>100</c:v>
                </c:pt>
                <c:pt idx="5">
                  <c:v>-200</c:v>
                </c:pt>
                <c:pt idx="6">
                  <c:v>-200</c:v>
                </c:pt>
                <c:pt idx="7">
                  <c:v>-200</c:v>
                </c:pt>
                <c:pt idx="8">
                  <c:v>-200</c:v>
                </c:pt>
                <c:pt idx="9">
                  <c:v>-200</c:v>
                </c:pt>
                <c:pt idx="10">
                  <c:v>-200</c:v>
                </c:pt>
                <c:pt idx="11">
                  <c:v>-200</c:v>
                </c:pt>
                <c:pt idx="12">
                  <c:v>-200</c:v>
                </c:pt>
                <c:pt idx="13">
                  <c:v>-200</c:v>
                </c:pt>
                <c:pt idx="14">
                  <c:v>-200</c:v>
                </c:pt>
                <c:pt idx="15">
                  <c:v>-200</c:v>
                </c:pt>
                <c:pt idx="16">
                  <c:v>-200</c:v>
                </c:pt>
                <c:pt idx="17">
                  <c:v>-200</c:v>
                </c:pt>
                <c:pt idx="18">
                  <c:v>-200</c:v>
                </c:pt>
                <c:pt idx="19">
                  <c:v>-200</c:v>
                </c:pt>
                <c:pt idx="20">
                  <c:v>-200</c:v>
                </c:pt>
                <c:pt idx="21">
                  <c:v>-200</c:v>
                </c:pt>
                <c:pt idx="22">
                  <c:v>-200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C6-4D81-9896-CCB26322B5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axId val="344480831"/>
        <c:axId val="344486591"/>
      </c:barChart>
      <c:lineChart>
        <c:grouping val="standard"/>
        <c:varyColors val="0"/>
        <c:ser>
          <c:idx val="1"/>
          <c:order val="0"/>
          <c:tx>
            <c:strRef>
              <c:f>'25hike_IPIminus'!$D$1</c:f>
              <c:strCache>
                <c:ptCount val="1"/>
                <c:pt idx="0">
                  <c:v>インフレ率</c:v>
                </c:pt>
              </c:strCache>
            </c:strRef>
          </c:tx>
          <c:spPr>
            <a:ln w="25400" cap="rnd">
              <a:solidFill>
                <a:srgbClr val="00206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'25hike_IPIminus'!$A$2:$A$24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'25hike_IPIminus'!$D$2:$D$24</c:f>
              <c:numCache>
                <c:formatCode>0.00_ </c:formatCode>
                <c:ptCount val="23"/>
                <c:pt idx="0">
                  <c:v>1.5</c:v>
                </c:pt>
                <c:pt idx="1">
                  <c:v>1.6462433417342477</c:v>
                </c:pt>
                <c:pt idx="2">
                  <c:v>1.7657322218491545</c:v>
                </c:pt>
                <c:pt idx="3">
                  <c:v>1.8818733517853243</c:v>
                </c:pt>
                <c:pt idx="4">
                  <c:v>1.9703615215428429</c:v>
                </c:pt>
                <c:pt idx="5">
                  <c:v>1.3209255268300484</c:v>
                </c:pt>
                <c:pt idx="6">
                  <c:v>1.5623724270649422</c:v>
                </c:pt>
                <c:pt idx="7">
                  <c:v>1.8288931742156853</c:v>
                </c:pt>
                <c:pt idx="8">
                  <c:v>1.9971477995417157</c:v>
                </c:pt>
                <c:pt idx="9">
                  <c:v>2.0751100845377728</c:v>
                </c:pt>
                <c:pt idx="10">
                  <c:v>2.0939746293639665</c:v>
                </c:pt>
                <c:pt idx="11">
                  <c:v>2.0827282919571499</c:v>
                </c:pt>
                <c:pt idx="12">
                  <c:v>2.061901411596609</c:v>
                </c:pt>
                <c:pt idx="13">
                  <c:v>2.0429936125027144</c:v>
                </c:pt>
                <c:pt idx="14">
                  <c:v>2.0303364213771102</c:v>
                </c:pt>
                <c:pt idx="15">
                  <c:v>2.0238227240534075</c:v>
                </c:pt>
                <c:pt idx="16">
                  <c:v>2.0214173137048972</c:v>
                </c:pt>
                <c:pt idx="17">
                  <c:v>2.0208807966387252</c:v>
                </c:pt>
                <c:pt idx="18">
                  <c:v>2.0206181920187447</c:v>
                </c:pt>
                <c:pt idx="19">
                  <c:v>2.0198593041123925</c:v>
                </c:pt>
                <c:pt idx="20">
                  <c:v>2.0184717012430009</c:v>
                </c:pt>
                <c:pt idx="21">
                  <c:v>2.0166630445298441</c:v>
                </c:pt>
                <c:pt idx="22">
                  <c:v>2.0147287166359367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4C6-4D81-9896-CCB26322B573}"/>
            </c:ext>
          </c:extLst>
        </c:ser>
        <c:ser>
          <c:idx val="2"/>
          <c:order val="1"/>
          <c:tx>
            <c:strRef>
              <c:f>'25hike_IPIminus'!$E$1</c:f>
              <c:strCache>
                <c:ptCount val="1"/>
                <c:pt idx="0">
                  <c:v>期待インフレ率</c:v>
                </c:pt>
              </c:strCache>
            </c:strRef>
          </c:tx>
          <c:spPr>
            <a:ln w="19050" cap="rnd">
              <a:solidFill>
                <a:srgbClr val="00B05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'25hike_IPIminus'!$A$2:$A$24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'25hike_IPIminus'!$E$2:$E$24</c:f>
              <c:numCache>
                <c:formatCode>0.00_ </c:formatCode>
                <c:ptCount val="23"/>
                <c:pt idx="0">
                  <c:v>1.5</c:v>
                </c:pt>
                <c:pt idx="1">
                  <c:v>1.610677470400173</c:v>
                </c:pt>
                <c:pt idx="2">
                  <c:v>1.6866924362564863</c:v>
                </c:pt>
                <c:pt idx="3">
                  <c:v>1.7513251220551751</c:v>
                </c:pt>
                <c:pt idx="4">
                  <c:v>1.8098180846363439</c:v>
                </c:pt>
                <c:pt idx="5">
                  <c:v>1.6413263967302993</c:v>
                </c:pt>
                <c:pt idx="6">
                  <c:v>1.6438988334045699</c:v>
                </c:pt>
                <c:pt idx="7">
                  <c:v>1.7495875403713039</c:v>
                </c:pt>
                <c:pt idx="8">
                  <c:v>1.8318834457345783</c:v>
                </c:pt>
                <c:pt idx="9">
                  <c:v>1.8805034931074109</c:v>
                </c:pt>
                <c:pt idx="10">
                  <c:v>1.904682976170976</c:v>
                </c:pt>
                <c:pt idx="11">
                  <c:v>1.9151982706992607</c:v>
                </c:pt>
                <c:pt idx="12">
                  <c:v>1.9200850536235183</c:v>
                </c:pt>
                <c:pt idx="13">
                  <c:v>1.9240251777190338</c:v>
                </c:pt>
                <c:pt idx="14">
                  <c:v>1.928964012528583</c:v>
                </c:pt>
                <c:pt idx="15">
                  <c:v>1.9351138033819719</c:v>
                </c:pt>
                <c:pt idx="16">
                  <c:v>1.9418948603927413</c:v>
                </c:pt>
                <c:pt idx="17">
                  <c:v>1.9485940565118161</c:v>
                </c:pt>
                <c:pt idx="18">
                  <c:v>1.9547007079965297</c:v>
                </c:pt>
                <c:pt idx="19">
                  <c:v>1.9599910525196307</c:v>
                </c:pt>
                <c:pt idx="20">
                  <c:v>1.9644702871491733</c:v>
                </c:pt>
                <c:pt idx="21">
                  <c:v>1.9682675615612408</c:v>
                </c:pt>
                <c:pt idx="22">
                  <c:v>1.9715435619224089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4C6-4D81-9896-CCB26322B573}"/>
            </c:ext>
          </c:extLst>
        </c:ser>
        <c:ser>
          <c:idx val="3"/>
          <c:order val="2"/>
          <c:tx>
            <c:strRef>
              <c:f>'25hike_IPIminus'!$F$1</c:f>
              <c:strCache>
                <c:ptCount val="1"/>
                <c:pt idx="0">
                  <c:v>物価観</c:v>
                </c:pt>
              </c:strCache>
            </c:strRef>
          </c:tx>
          <c:spPr>
            <a:ln w="22225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'25hike_IPIminus'!$A$2:$A$24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'25hike_IPIminus'!$F$2:$F$24</c:f>
              <c:numCache>
                <c:formatCode>0.00_ </c:formatCode>
                <c:ptCount val="23"/>
                <c:pt idx="0">
                  <c:v>1.5</c:v>
                </c:pt>
                <c:pt idx="1">
                  <c:v>1.5131619007560824</c:v>
                </c:pt>
                <c:pt idx="2">
                  <c:v>1.5358932296544587</c:v>
                </c:pt>
                <c:pt idx="3">
                  <c:v>1.5670314406462367</c:v>
                </c:pt>
                <c:pt idx="4">
                  <c:v>1.6033311479269312</c:v>
                </c:pt>
                <c:pt idx="5">
                  <c:v>1.5779146420282117</c:v>
                </c:pt>
                <c:pt idx="6">
                  <c:v>1.5765158426815173</c:v>
                </c:pt>
                <c:pt idx="7">
                  <c:v>1.5992298025195926</c:v>
                </c:pt>
                <c:pt idx="8">
                  <c:v>1.6350424222515836</c:v>
                </c:pt>
                <c:pt idx="9">
                  <c:v>1.6746485118573406</c:v>
                </c:pt>
                <c:pt idx="10">
                  <c:v>1.7123878624329367</c:v>
                </c:pt>
                <c:pt idx="11">
                  <c:v>1.7457185010901162</c:v>
                </c:pt>
                <c:pt idx="12">
                  <c:v>1.7741749630357002</c:v>
                </c:pt>
                <c:pt idx="13">
                  <c:v>1.7983686414877316</c:v>
                </c:pt>
                <c:pt idx="14">
                  <c:v>1.8192457416777759</c:v>
                </c:pt>
                <c:pt idx="15">
                  <c:v>1.8376576700915825</c:v>
                </c:pt>
                <c:pt idx="16">
                  <c:v>1.8541960380167808</c:v>
                </c:pt>
                <c:pt idx="17">
                  <c:v>1.8691976662927561</c:v>
                </c:pt>
                <c:pt idx="18">
                  <c:v>1.8828255136080949</c:v>
                </c:pt>
                <c:pt idx="19">
                  <c:v>1.8951585547534817</c:v>
                </c:pt>
                <c:pt idx="20">
                  <c:v>1.9062567379375384</c:v>
                </c:pt>
                <c:pt idx="21">
                  <c:v>1.916193305530846</c:v>
                </c:pt>
                <c:pt idx="22">
                  <c:v>1.9250614925303042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4C6-4D81-9896-CCB26322B573}"/>
            </c:ext>
          </c:extLst>
        </c:ser>
        <c:ser>
          <c:idx val="6"/>
          <c:order val="3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'25hike_IPIminus'!$B$2:$B$24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4C6-4D81-9896-CCB26322B573}"/>
            </c:ext>
          </c:extLst>
        </c:ser>
        <c:ser>
          <c:idx val="0"/>
          <c:order val="4"/>
          <c:tx>
            <c:strRef>
              <c:f>'25hike_IPIminus'!$H$1</c:f>
              <c:strCache>
                <c:ptCount val="1"/>
                <c:pt idx="0">
                  <c:v>物価目標</c:v>
                </c:pt>
              </c:strCache>
            </c:strRef>
          </c:tx>
          <c:spPr>
            <a:ln w="1270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'25hike_IPIminus'!$H$2:$H$24</c:f>
              <c:numCache>
                <c:formatCode>0.00_ </c:formatCode>
                <c:ptCount val="2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4C6-4D81-9896-CCB26322B5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480831"/>
        <c:axId val="344486591"/>
      </c:lineChart>
      <c:catAx>
        <c:axId val="34448083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6591"/>
        <c:crossesAt val="-100"/>
        <c:auto val="1"/>
        <c:lblAlgn val="ctr"/>
        <c:lblOffset val="100"/>
        <c:tickLblSkip val="4"/>
        <c:tickMarkSkip val="1"/>
        <c:noMultiLvlLbl val="0"/>
      </c:catAx>
      <c:valAx>
        <c:axId val="344486591"/>
        <c:scaling>
          <c:orientation val="minMax"/>
          <c:max val="2.2000000000000002"/>
          <c:min val="1.2"/>
        </c:scaling>
        <c:delete val="0"/>
        <c:axPos val="l"/>
        <c:numFmt formatCode="0.0_ " sourceLinked="0"/>
        <c:majorTickMark val="out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0831"/>
        <c:crosses val="autoZero"/>
        <c:crossBetween val="midCat"/>
        <c:majorUnit val="0.2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  <a:effectLst/>
      </c:spPr>
    </c:plotArea>
    <c:legend>
      <c:legendPos val="b"/>
      <c:legendEntry>
        <c:idx val="0"/>
        <c:delete val="1"/>
      </c:legendEntry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0.4294121063677061"/>
          <c:y val="0.63981778098546271"/>
          <c:w val="0.51769993260237046"/>
          <c:h val="0.21690984576381592"/>
        </c:manualLayout>
      </c:layout>
      <c:overlay val="0"/>
      <c:spPr>
        <a:noFill/>
        <a:ln w="2540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rgbClr val="000000"/>
              </a:solidFill>
              <a:latin typeface="ＭＳ ゴシック"/>
              <a:ea typeface="ＭＳ ゴシック"/>
              <a:cs typeface="ＭＳ ゴシック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25400" cap="flat" cmpd="sng" algn="ctr">
      <a:noFill/>
      <a:round/>
    </a:ln>
    <a:effectLst/>
  </c:spPr>
  <c:txPr>
    <a:bodyPr/>
    <a:lstStyle/>
    <a:p>
      <a:pPr>
        <a:defRPr>
          <a:solidFill>
            <a:srgbClr val="000000"/>
          </a:solidFill>
          <a:latin typeface="ＭＳ ゴシック"/>
          <a:ea typeface="ＭＳ ゴシック"/>
          <a:cs typeface="ＭＳ ゴシック"/>
        </a:defRPr>
      </a:pPr>
      <a:endParaRPr lang="ja-JP"/>
    </a:p>
  </c:txPr>
  <c:printSettings>
    <c:headerFooter/>
    <c:pageMargins b="0.75" l="0.7" r="0.7" t="0.75" header="0.3" footer="0.3"/>
    <c:pageSetup/>
  </c:printSettings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40233076776417"/>
          <c:y val="9.5123027297075252E-2"/>
          <c:w val="0.83208394199593816"/>
          <c:h val="0.81169163212805151"/>
        </c:manualLayout>
      </c:layout>
      <c:barChart>
        <c:barDir val="col"/>
        <c:grouping val="clustered"/>
        <c:varyColors val="0"/>
        <c:ser>
          <c:idx val="3"/>
          <c:order val="4"/>
          <c:tx>
            <c:strRef>
              <c:f>'25hike_IPIminus'!$J$1</c:f>
              <c:strCache>
                <c:ptCount val="1"/>
                <c:pt idx="0">
                  <c:v>縦軸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val>
            <c:numRef>
              <c:f>'25hike_IPIminus'!$J$2:$J$24</c:f>
              <c:numCache>
                <c:formatCode>0.00_ </c:formatCode>
                <c:ptCount val="23"/>
                <c:pt idx="0">
                  <c:v>-200</c:v>
                </c:pt>
                <c:pt idx="1">
                  <c:v>-200</c:v>
                </c:pt>
                <c:pt idx="2">
                  <c:v>-200</c:v>
                </c:pt>
                <c:pt idx="3">
                  <c:v>-200</c:v>
                </c:pt>
                <c:pt idx="4">
                  <c:v>100</c:v>
                </c:pt>
                <c:pt idx="5">
                  <c:v>-200</c:v>
                </c:pt>
                <c:pt idx="6">
                  <c:v>-200</c:v>
                </c:pt>
                <c:pt idx="7">
                  <c:v>-200</c:v>
                </c:pt>
                <c:pt idx="8">
                  <c:v>-200</c:v>
                </c:pt>
                <c:pt idx="9">
                  <c:v>-200</c:v>
                </c:pt>
                <c:pt idx="10">
                  <c:v>-200</c:v>
                </c:pt>
                <c:pt idx="11">
                  <c:v>-200</c:v>
                </c:pt>
                <c:pt idx="12">
                  <c:v>-200</c:v>
                </c:pt>
                <c:pt idx="13">
                  <c:v>-200</c:v>
                </c:pt>
                <c:pt idx="14">
                  <c:v>-200</c:v>
                </c:pt>
                <c:pt idx="15">
                  <c:v>-200</c:v>
                </c:pt>
                <c:pt idx="16">
                  <c:v>-200</c:v>
                </c:pt>
                <c:pt idx="17">
                  <c:v>-200</c:v>
                </c:pt>
                <c:pt idx="18">
                  <c:v>-200</c:v>
                </c:pt>
                <c:pt idx="19">
                  <c:v>-200</c:v>
                </c:pt>
                <c:pt idx="20">
                  <c:v>-200</c:v>
                </c:pt>
                <c:pt idx="21">
                  <c:v>-200</c:v>
                </c:pt>
                <c:pt idx="22">
                  <c:v>-200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62-4637-8761-82B317B880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axId val="344480831"/>
        <c:axId val="344486591"/>
      </c:barChart>
      <c:lineChart>
        <c:grouping val="standard"/>
        <c:varyColors val="0"/>
        <c:ser>
          <c:idx val="0"/>
          <c:order val="0"/>
          <c:tx>
            <c:strRef>
              <c:f>'25hike_IPIminus'!$G$1</c:f>
              <c:strCache>
                <c:ptCount val="1"/>
                <c:pt idx="0">
                  <c:v>名目金利</c:v>
                </c:pt>
              </c:strCache>
            </c:strRef>
          </c:tx>
          <c:spPr>
            <a:ln w="25400" cap="rnd">
              <a:solidFill>
                <a:srgbClr val="002060"/>
              </a:solidFill>
              <a:prstDash val="solid"/>
              <a:round/>
            </a:ln>
            <a:effectLst/>
          </c:spPr>
          <c:marker>
            <c:symbol val="circle"/>
            <c:size val="8"/>
            <c:spPr>
              <a:solidFill>
                <a:srgbClr val="002060"/>
              </a:solidFill>
              <a:ln w="12700">
                <a:solidFill>
                  <a:srgbClr val="002060"/>
                </a:solidFill>
                <a:prstDash val="solid"/>
              </a:ln>
              <a:effectLst/>
            </c:spPr>
          </c:marker>
          <c:val>
            <c:numRef>
              <c:f>'25hike_IPIminus'!$G$2:$G$24</c:f>
              <c:numCache>
                <c:formatCode>0.00_ </c:formatCode>
                <c:ptCount val="23"/>
                <c:pt idx="0">
                  <c:v>0</c:v>
                </c:pt>
                <c:pt idx="1">
                  <c:v>-9.9999999999997789E-6</c:v>
                </c:pt>
                <c:pt idx="2">
                  <c:v>-9.9999999999977494E-6</c:v>
                </c:pt>
                <c:pt idx="3">
                  <c:v>-9.9999999999683675E-6</c:v>
                </c:pt>
                <c:pt idx="4">
                  <c:v>0.24999999999999997</c:v>
                </c:pt>
                <c:pt idx="5">
                  <c:v>3.0654070210329731E-3</c:v>
                </c:pt>
                <c:pt idx="6">
                  <c:v>0.15107210422482914</c:v>
                </c:pt>
                <c:pt idx="7">
                  <c:v>0.23313701640321874</c:v>
                </c:pt>
                <c:pt idx="8">
                  <c:v>0.283864357392282</c:v>
                </c:pt>
                <c:pt idx="9">
                  <c:v>0.45474412829806121</c:v>
                </c:pt>
                <c:pt idx="10">
                  <c:v>0.53374543315575573</c:v>
                </c:pt>
                <c:pt idx="11">
                  <c:v>0.54404904084351402</c:v>
                </c:pt>
                <c:pt idx="12">
                  <c:v>0.51973857189515371</c:v>
                </c:pt>
                <c:pt idx="13">
                  <c:v>0.48838636505355276</c:v>
                </c:pt>
                <c:pt idx="14">
                  <c:v>0.46530048145898567</c:v>
                </c:pt>
                <c:pt idx="15">
                  <c:v>0.45493325089141295</c:v>
                </c:pt>
                <c:pt idx="16">
                  <c:v>0.45512761329380669</c:v>
                </c:pt>
                <c:pt idx="17">
                  <c:v>0.46129675983040147</c:v>
                </c:pt>
                <c:pt idx="18">
                  <c:v>0.46920363844180679</c:v>
                </c:pt>
                <c:pt idx="19">
                  <c:v>0.47616858001614032</c:v>
                </c:pt>
                <c:pt idx="20">
                  <c:v>0.48113600321225286</c:v>
                </c:pt>
                <c:pt idx="21">
                  <c:v>0.48417650633701925</c:v>
                </c:pt>
                <c:pt idx="22">
                  <c:v>0.48588224492925963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062-4637-8761-82B317B880F9}"/>
            </c:ext>
          </c:extLst>
        </c:ser>
        <c:ser>
          <c:idx val="1"/>
          <c:order val="1"/>
          <c:tx>
            <c:strRef>
              <c:f>'25hike_IPIminus'!$C$1</c:f>
              <c:strCache>
                <c:ptCount val="1"/>
                <c:pt idx="0">
                  <c:v>需給ギャップ</c:v>
                </c:pt>
              </c:strCache>
            </c:strRef>
          </c:tx>
          <c:spPr>
            <a:ln w="19050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'25hike_IPIminus'!$A$2:$A$24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'25hike_IPIminus'!$C$2:$C$24</c:f>
              <c:numCache>
                <c:formatCode>0.00_ </c:formatCode>
                <c:ptCount val="23"/>
                <c:pt idx="0">
                  <c:v>0</c:v>
                </c:pt>
                <c:pt idx="1">
                  <c:v>3.1117072709414391E-2</c:v>
                </c:pt>
                <c:pt idx="2">
                  <c:v>8.3897235166905282E-2</c:v>
                </c:pt>
                <c:pt idx="3">
                  <c:v>0.15307479395180196</c:v>
                </c:pt>
                <c:pt idx="4">
                  <c:v>0.19213376074924216</c:v>
                </c:pt>
                <c:pt idx="5">
                  <c:v>0.22468439304038165</c:v>
                </c:pt>
                <c:pt idx="6">
                  <c:v>0.24673234087754908</c:v>
                </c:pt>
                <c:pt idx="7">
                  <c:v>0.26416632905123949</c:v>
                </c:pt>
                <c:pt idx="8">
                  <c:v>0.27897277730489284</c:v>
                </c:pt>
                <c:pt idx="9">
                  <c:v>0.26788651896762017</c:v>
                </c:pt>
                <c:pt idx="10">
                  <c:v>0.23587928482101217</c:v>
                </c:pt>
                <c:pt idx="11">
                  <c:v>0.19597949276400484</c:v>
                </c:pt>
                <c:pt idx="12">
                  <c:v>0.15898595463673526</c:v>
                </c:pt>
                <c:pt idx="13">
                  <c:v>0.13025510608844248</c:v>
                </c:pt>
                <c:pt idx="14">
                  <c:v>0.11039861744460239</c:v>
                </c:pt>
                <c:pt idx="15">
                  <c:v>9.7368128153493133E-2</c:v>
                </c:pt>
                <c:pt idx="16">
                  <c:v>8.8406572247935078E-2</c:v>
                </c:pt>
                <c:pt idx="17">
                  <c:v>8.1249641864073047E-2</c:v>
                </c:pt>
                <c:pt idx="18">
                  <c:v>7.4557088075253949E-2</c:v>
                </c:pt>
                <c:pt idx="19">
                  <c:v>6.7827489515417241E-2</c:v>
                </c:pt>
                <c:pt idx="20">
                  <c:v>6.1090677102048088E-2</c:v>
                </c:pt>
                <c:pt idx="21">
                  <c:v>5.4592477336137951E-2</c:v>
                </c:pt>
                <c:pt idx="22">
                  <c:v>4.8577433235488063E-2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062-4637-8761-82B317B880F9}"/>
            </c:ext>
          </c:extLst>
        </c:ser>
        <c:ser>
          <c:idx val="6"/>
          <c:order val="2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'25hike_IPIminus'!$B$2:$B$24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062-4637-8761-82B317B880F9}"/>
            </c:ext>
          </c:extLst>
        </c:ser>
        <c:ser>
          <c:idx val="2"/>
          <c:order val="3"/>
          <c:tx>
            <c:strRef>
              <c:f>'25hike_IPIminus'!$I$1</c:f>
              <c:strCache>
                <c:ptCount val="1"/>
                <c:pt idx="0">
                  <c:v>ターミナルレート</c:v>
                </c:pt>
              </c:strCache>
            </c:strRef>
          </c:tx>
          <c:spPr>
            <a:ln w="1270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'25hike_IPIminus'!$I$2:$I$24</c:f>
              <c:numCache>
                <c:formatCode>0.00_ </c:formatCode>
                <c:ptCount val="23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0.5</c:v>
                </c:pt>
                <c:pt idx="12">
                  <c:v>0.5</c:v>
                </c:pt>
                <c:pt idx="13">
                  <c:v>0.5</c:v>
                </c:pt>
                <c:pt idx="14">
                  <c:v>0.5</c:v>
                </c:pt>
                <c:pt idx="15">
                  <c:v>0.5</c:v>
                </c:pt>
                <c:pt idx="16">
                  <c:v>0.5</c:v>
                </c:pt>
                <c:pt idx="17">
                  <c:v>0.5</c:v>
                </c:pt>
                <c:pt idx="18">
                  <c:v>0.5</c:v>
                </c:pt>
                <c:pt idx="19">
                  <c:v>0.5</c:v>
                </c:pt>
                <c:pt idx="20">
                  <c:v>0.5</c:v>
                </c:pt>
                <c:pt idx="21">
                  <c:v>0.5</c:v>
                </c:pt>
                <c:pt idx="22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062-4637-8761-82B317B880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480831"/>
        <c:axId val="344486591"/>
      </c:lineChart>
      <c:catAx>
        <c:axId val="34448083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6591"/>
        <c:crossesAt val="-100"/>
        <c:auto val="1"/>
        <c:lblAlgn val="ctr"/>
        <c:lblOffset val="100"/>
        <c:tickLblSkip val="4"/>
        <c:tickMarkSkip val="1"/>
        <c:noMultiLvlLbl val="0"/>
      </c:catAx>
      <c:valAx>
        <c:axId val="344486591"/>
        <c:scaling>
          <c:orientation val="minMax"/>
          <c:max val="1"/>
          <c:min val="-0.25"/>
        </c:scaling>
        <c:delete val="0"/>
        <c:axPos val="l"/>
        <c:numFmt formatCode="0.00_ " sourceLinked="0"/>
        <c:majorTickMark val="out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0831"/>
        <c:crosses val="autoZero"/>
        <c:crossBetween val="midCat"/>
        <c:majorUnit val="0.25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  <a:effectLst/>
      </c:spPr>
    </c:plotArea>
    <c:legend>
      <c:legendPos val="b"/>
      <c:legendEntry>
        <c:idx val="0"/>
        <c:delete val="1"/>
      </c:legendEntry>
      <c:legendEntry>
        <c:idx val="3"/>
        <c:delete val="1"/>
      </c:legendEntry>
      <c:legendEntry>
        <c:idx val="4"/>
        <c:delete val="1"/>
      </c:legendEntry>
      <c:layout>
        <c:manualLayout>
          <c:xMode val="edge"/>
          <c:yMode val="edge"/>
          <c:x val="0.53314664307327864"/>
          <c:y val="0.11763367814100763"/>
          <c:w val="0.4388255418582177"/>
          <c:h val="0.15985385709312802"/>
        </c:manualLayout>
      </c:layout>
      <c:overlay val="0"/>
      <c:spPr>
        <a:noFill/>
        <a:ln w="2540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rgbClr val="000000"/>
              </a:solidFill>
              <a:latin typeface="ＭＳ ゴシック"/>
              <a:ea typeface="ＭＳ ゴシック"/>
              <a:cs typeface="ＭＳ ゴシック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25400" cap="flat" cmpd="sng" algn="ctr">
      <a:noFill/>
      <a:round/>
    </a:ln>
    <a:effectLst/>
  </c:spPr>
  <c:txPr>
    <a:bodyPr/>
    <a:lstStyle/>
    <a:p>
      <a:pPr>
        <a:defRPr>
          <a:solidFill>
            <a:srgbClr val="000000"/>
          </a:solidFill>
          <a:latin typeface="ＭＳ ゴシック"/>
          <a:ea typeface="ＭＳ ゴシック"/>
          <a:cs typeface="ＭＳ ゴシック"/>
        </a:defRPr>
      </a:pPr>
      <a:endParaRPr lang="ja-JP"/>
    </a:p>
  </c:txPr>
  <c:printSettings>
    <c:headerFooter/>
    <c:pageMargins b="0.75" l="0.7" r="0.7" t="0.75" header="0.3" footer="0.3"/>
    <c:pageSetup/>
  </c:printSettings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40233076776417"/>
          <c:y val="9.5123027297075252E-2"/>
          <c:w val="0.83208394199593816"/>
          <c:h val="0.81169163212805151"/>
        </c:manualLayout>
      </c:layout>
      <c:barChart>
        <c:barDir val="col"/>
        <c:grouping val="clustered"/>
        <c:varyColors val="0"/>
        <c:ser>
          <c:idx val="4"/>
          <c:order val="5"/>
          <c:tx>
            <c:strRef>
              <c:f>benchmark!$J$1</c:f>
              <c:strCache>
                <c:ptCount val="1"/>
                <c:pt idx="0">
                  <c:v>縦軸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val>
            <c:numRef>
              <c:f>benchmark!$J$2:$J$24</c:f>
              <c:numCache>
                <c:formatCode>0.00_ </c:formatCode>
                <c:ptCount val="23"/>
                <c:pt idx="0">
                  <c:v>-200</c:v>
                </c:pt>
                <c:pt idx="1">
                  <c:v>-200</c:v>
                </c:pt>
                <c:pt idx="2">
                  <c:v>-200</c:v>
                </c:pt>
                <c:pt idx="3">
                  <c:v>-200</c:v>
                </c:pt>
                <c:pt idx="4">
                  <c:v>100</c:v>
                </c:pt>
                <c:pt idx="5">
                  <c:v>-200</c:v>
                </c:pt>
                <c:pt idx="6">
                  <c:v>-200</c:v>
                </c:pt>
                <c:pt idx="7">
                  <c:v>-200</c:v>
                </c:pt>
                <c:pt idx="8">
                  <c:v>-200</c:v>
                </c:pt>
                <c:pt idx="9">
                  <c:v>-200</c:v>
                </c:pt>
                <c:pt idx="10">
                  <c:v>-200</c:v>
                </c:pt>
                <c:pt idx="11">
                  <c:v>-200</c:v>
                </c:pt>
                <c:pt idx="12">
                  <c:v>-200</c:v>
                </c:pt>
                <c:pt idx="13">
                  <c:v>-200</c:v>
                </c:pt>
                <c:pt idx="14">
                  <c:v>-200</c:v>
                </c:pt>
                <c:pt idx="15">
                  <c:v>-200</c:v>
                </c:pt>
                <c:pt idx="16">
                  <c:v>-200</c:v>
                </c:pt>
                <c:pt idx="17">
                  <c:v>-200</c:v>
                </c:pt>
                <c:pt idx="18">
                  <c:v>-200</c:v>
                </c:pt>
                <c:pt idx="19">
                  <c:v>-200</c:v>
                </c:pt>
                <c:pt idx="20">
                  <c:v>-200</c:v>
                </c:pt>
                <c:pt idx="21">
                  <c:v>-200</c:v>
                </c:pt>
                <c:pt idx="22">
                  <c:v>-200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674-421E-9BD1-44F5143FAD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axId val="344480831"/>
        <c:axId val="344486591"/>
      </c:barChart>
      <c:lineChart>
        <c:grouping val="standard"/>
        <c:varyColors val="0"/>
        <c:ser>
          <c:idx val="1"/>
          <c:order val="0"/>
          <c:tx>
            <c:strRef>
              <c:f>benchmark!$D$1</c:f>
              <c:strCache>
                <c:ptCount val="1"/>
                <c:pt idx="0">
                  <c:v>インフレ率</c:v>
                </c:pt>
              </c:strCache>
            </c:strRef>
          </c:tx>
          <c:spPr>
            <a:ln w="25400" cap="rnd">
              <a:solidFill>
                <a:srgbClr val="00206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benchmark!$A$2:$A$24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benchmark!$D$2:$D$24</c:f>
              <c:numCache>
                <c:formatCode>0.00_ </c:formatCode>
                <c:ptCount val="23"/>
                <c:pt idx="0">
                  <c:v>1.5</c:v>
                </c:pt>
                <c:pt idx="1">
                  <c:v>1.6573876655055337</c:v>
                </c:pt>
                <c:pt idx="2">
                  <c:v>1.7882324643576384</c:v>
                </c:pt>
                <c:pt idx="3">
                  <c:v>1.910973836650006</c:v>
                </c:pt>
                <c:pt idx="4">
                  <c:v>2.0120817236021336</c:v>
                </c:pt>
                <c:pt idx="5">
                  <c:v>2.074014150281954</c:v>
                </c:pt>
                <c:pt idx="6">
                  <c:v>2.0965754683781084</c:v>
                </c:pt>
                <c:pt idx="7">
                  <c:v>2.0915092251004235</c:v>
                </c:pt>
                <c:pt idx="8">
                  <c:v>2.0733268137091172</c:v>
                </c:pt>
                <c:pt idx="9">
                  <c:v>2.0533338527440046</c:v>
                </c:pt>
                <c:pt idx="10">
                  <c:v>2.0376571570136939</c:v>
                </c:pt>
                <c:pt idx="11">
                  <c:v>2.0279533862063412</c:v>
                </c:pt>
                <c:pt idx="12">
                  <c:v>2.023195555525088</c:v>
                </c:pt>
                <c:pt idx="13">
                  <c:v>2.0213980027328438</c:v>
                </c:pt>
                <c:pt idx="14">
                  <c:v>2.0207517225958886</c:v>
                </c:pt>
                <c:pt idx="15">
                  <c:v>2.0201093588094317</c:v>
                </c:pt>
                <c:pt idx="16">
                  <c:v>2.0190023817166916</c:v>
                </c:pt>
                <c:pt idx="17">
                  <c:v>2.017429602387669</c:v>
                </c:pt>
                <c:pt idx="18">
                  <c:v>2.0156053618207128</c:v>
                </c:pt>
                <c:pt idx="19">
                  <c:v>2.0137702701887856</c:v>
                </c:pt>
                <c:pt idx="20">
                  <c:v>2.0120931817988272</c:v>
                </c:pt>
                <c:pt idx="21">
                  <c:v>2.0106484309397934</c:v>
                </c:pt>
                <c:pt idx="22">
                  <c:v>2.0094362307319713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74-421E-9BD1-44F5143FADD3}"/>
            </c:ext>
          </c:extLst>
        </c:ser>
        <c:ser>
          <c:idx val="2"/>
          <c:order val="1"/>
          <c:tx>
            <c:strRef>
              <c:f>benchmark!$E$1</c:f>
              <c:strCache>
                <c:ptCount val="1"/>
                <c:pt idx="0">
                  <c:v>期待インフレ率</c:v>
                </c:pt>
              </c:strCache>
            </c:strRef>
          </c:tx>
          <c:spPr>
            <a:ln w="19050" cap="rnd">
              <a:solidFill>
                <a:srgbClr val="00B05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benchmark!$A$2:$A$24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benchmark!$E$2:$E$24</c:f>
              <c:numCache>
                <c:formatCode>0.00_ </c:formatCode>
                <c:ptCount val="23"/>
                <c:pt idx="0">
                  <c:v>1.5</c:v>
                </c:pt>
                <c:pt idx="1">
                  <c:v>1.6200488214049564</c:v>
                </c:pt>
                <c:pt idx="2">
                  <c:v>1.700919232560256</c:v>
                </c:pt>
                <c:pt idx="3">
                  <c:v>1.7733501337212731</c:v>
                </c:pt>
                <c:pt idx="4">
                  <c:v>1.832075349157313</c:v>
                </c:pt>
                <c:pt idx="5">
                  <c:v>1.8737954754274537</c:v>
                </c:pt>
                <c:pt idx="6">
                  <c:v>1.8990045530898327</c:v>
                </c:pt>
                <c:pt idx="7">
                  <c:v>1.9121026729121597</c:v>
                </c:pt>
                <c:pt idx="8">
                  <c:v>1.918549084468727</c:v>
                </c:pt>
                <c:pt idx="9">
                  <c:v>1.9227184010319971</c:v>
                </c:pt>
                <c:pt idx="10">
                  <c:v>1.9271154910336268</c:v>
                </c:pt>
                <c:pt idx="11">
                  <c:v>1.9325789896771899</c:v>
                </c:pt>
                <c:pt idx="12">
                  <c:v>1.9389110926285533</c:v>
                </c:pt>
                <c:pt idx="13">
                  <c:v>1.9455106934577913</c:v>
                </c:pt>
                <c:pt idx="14">
                  <c:v>1.9518034150084116</c:v>
                </c:pt>
                <c:pt idx="15">
                  <c:v>1.9574354104869285</c:v>
                </c:pt>
                <c:pt idx="16">
                  <c:v>1.9622918255522432</c:v>
                </c:pt>
                <c:pt idx="17">
                  <c:v>1.9664259214045989</c:v>
                </c:pt>
                <c:pt idx="18">
                  <c:v>1.9699688709923135</c:v>
                </c:pt>
                <c:pt idx="19">
                  <c:v>1.9730598506052397</c:v>
                </c:pt>
                <c:pt idx="20">
                  <c:v>1.9758086939689155</c:v>
                </c:pt>
                <c:pt idx="21">
                  <c:v>1.9782863374358695</c:v>
                </c:pt>
                <c:pt idx="22">
                  <c:v>1.980531749078104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674-421E-9BD1-44F5143FADD3}"/>
            </c:ext>
          </c:extLst>
        </c:ser>
        <c:ser>
          <c:idx val="3"/>
          <c:order val="2"/>
          <c:tx>
            <c:strRef>
              <c:f>benchmark!$F$1</c:f>
              <c:strCache>
                <c:ptCount val="1"/>
                <c:pt idx="0">
                  <c:v>物価観</c:v>
                </c:pt>
              </c:strCache>
            </c:strRef>
          </c:tx>
          <c:spPr>
            <a:ln w="22225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benchmark!$A$2:$A$24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benchmark!$F$2:$F$24</c:f>
              <c:numCache>
                <c:formatCode>0.00_ </c:formatCode>
                <c:ptCount val="23"/>
                <c:pt idx="0">
                  <c:v>1.5</c:v>
                </c:pt>
                <c:pt idx="1">
                  <c:v>1.514164889895498</c:v>
                </c:pt>
                <c:pt idx="2">
                  <c:v>1.5388309715970907</c:v>
                </c:pt>
                <c:pt idx="3">
                  <c:v>1.5723238294518531</c:v>
                </c:pt>
                <c:pt idx="4">
                  <c:v>1.6119020399253783</c:v>
                </c:pt>
                <c:pt idx="5">
                  <c:v>1.6534921298574701</c:v>
                </c:pt>
                <c:pt idx="6">
                  <c:v>1.6933696303243275</c:v>
                </c:pt>
                <c:pt idx="7">
                  <c:v>1.7292021938541762</c:v>
                </c:pt>
                <c:pt idx="8">
                  <c:v>1.760173409641121</c:v>
                </c:pt>
                <c:pt idx="9">
                  <c:v>1.7865578495203804</c:v>
                </c:pt>
                <c:pt idx="10">
                  <c:v>1.8091567871947787</c:v>
                </c:pt>
                <c:pt idx="11">
                  <c:v>1.8288484811058192</c:v>
                </c:pt>
                <c:pt idx="12">
                  <c:v>1.8463397178035534</c:v>
                </c:pt>
                <c:pt idx="13">
                  <c:v>1.8620949634471895</c:v>
                </c:pt>
                <c:pt idx="14">
                  <c:v>1.8763740717705726</c:v>
                </c:pt>
                <c:pt idx="15">
                  <c:v>1.88931024760407</c:v>
                </c:pt>
                <c:pt idx="16">
                  <c:v>1.9009825396742059</c:v>
                </c:pt>
                <c:pt idx="17">
                  <c:v>1.9114627753184177</c:v>
                </c:pt>
                <c:pt idx="18">
                  <c:v>1.9208356081036242</c:v>
                </c:pt>
                <c:pt idx="19">
                  <c:v>1.9291997276912887</c:v>
                </c:pt>
                <c:pt idx="20">
                  <c:v>1.9366601385609672</c:v>
                </c:pt>
                <c:pt idx="21">
                  <c:v>1.9433190848750617</c:v>
                </c:pt>
                <c:pt idx="22">
                  <c:v>1.9492696280021835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674-421E-9BD1-44F5143FADD3}"/>
            </c:ext>
          </c:extLst>
        </c:ser>
        <c:ser>
          <c:idx val="6"/>
          <c:order val="3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benchmark!$B$2:$B$24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674-421E-9BD1-44F5143FADD3}"/>
            </c:ext>
          </c:extLst>
        </c:ser>
        <c:ser>
          <c:idx val="0"/>
          <c:order val="4"/>
          <c:tx>
            <c:strRef>
              <c:f>benchmark!$H$1</c:f>
              <c:strCache>
                <c:ptCount val="1"/>
                <c:pt idx="0">
                  <c:v>物価目標</c:v>
                </c:pt>
              </c:strCache>
            </c:strRef>
          </c:tx>
          <c:spPr>
            <a:ln w="1270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benchmark!$H$2:$H$24</c:f>
              <c:numCache>
                <c:formatCode>0.00_ </c:formatCode>
                <c:ptCount val="2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674-421E-9BD1-44F5143FAD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480831"/>
        <c:axId val="344486591"/>
      </c:lineChart>
      <c:catAx>
        <c:axId val="34448083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6591"/>
        <c:crossesAt val="-100"/>
        <c:auto val="1"/>
        <c:lblAlgn val="ctr"/>
        <c:lblOffset val="100"/>
        <c:tickLblSkip val="4"/>
        <c:tickMarkSkip val="1"/>
        <c:noMultiLvlLbl val="0"/>
      </c:catAx>
      <c:valAx>
        <c:axId val="344486591"/>
        <c:scaling>
          <c:orientation val="minMax"/>
          <c:max val="2.2000000000000002"/>
          <c:min val="1.4"/>
        </c:scaling>
        <c:delete val="0"/>
        <c:axPos val="l"/>
        <c:numFmt formatCode="0.0_ " sourceLinked="0"/>
        <c:majorTickMark val="out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0831"/>
        <c:crosses val="autoZero"/>
        <c:crossBetween val="midCat"/>
        <c:majorUnit val="0.1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  <a:effectLst/>
      </c:spPr>
    </c:plotArea>
    <c:legend>
      <c:legendPos val="b"/>
      <c:legendEntry>
        <c:idx val="0"/>
        <c:delete val="1"/>
      </c:legendEntry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0.44889714464188846"/>
          <c:y val="0.63088409705779325"/>
          <c:w val="0.51769993260237046"/>
          <c:h val="0.21690984576381592"/>
        </c:manualLayout>
      </c:layout>
      <c:overlay val="0"/>
      <c:spPr>
        <a:noFill/>
        <a:ln w="2540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rgbClr val="000000"/>
              </a:solidFill>
              <a:latin typeface="ＭＳ ゴシック"/>
              <a:ea typeface="ＭＳ ゴシック"/>
              <a:cs typeface="ＭＳ ゴシック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25400" cap="flat" cmpd="sng" algn="ctr">
      <a:noFill/>
      <a:round/>
    </a:ln>
    <a:effectLst/>
  </c:spPr>
  <c:txPr>
    <a:bodyPr/>
    <a:lstStyle/>
    <a:p>
      <a:pPr>
        <a:defRPr>
          <a:solidFill>
            <a:srgbClr val="000000"/>
          </a:solidFill>
          <a:latin typeface="ＭＳ ゴシック"/>
          <a:ea typeface="ＭＳ ゴシック"/>
          <a:cs typeface="ＭＳ ゴシック"/>
        </a:defRPr>
      </a:pPr>
      <a:endParaRPr lang="ja-JP"/>
    </a:p>
  </c:txPr>
  <c:printSettings>
    <c:headerFooter/>
    <c:pageMargins b="0.75" l="0.7" r="0.7" t="0.75" header="0.3" footer="0.3"/>
    <c:pageSetup/>
  </c:printSettings>
  <c:userShapes r:id="rId3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40233076776417"/>
          <c:y val="9.5123027297075252E-2"/>
          <c:w val="0.83208394199593816"/>
          <c:h val="0.81169163212805151"/>
        </c:manualLayout>
      </c:layout>
      <c:barChart>
        <c:barDir val="col"/>
        <c:grouping val="clustered"/>
        <c:varyColors val="0"/>
        <c:ser>
          <c:idx val="3"/>
          <c:order val="4"/>
          <c:tx>
            <c:strRef>
              <c:f>benchmark!$J$1</c:f>
              <c:strCache>
                <c:ptCount val="1"/>
                <c:pt idx="0">
                  <c:v>縦軸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val>
            <c:numRef>
              <c:f>benchmark!$J$2:$J$24</c:f>
              <c:numCache>
                <c:formatCode>0.00_ </c:formatCode>
                <c:ptCount val="23"/>
                <c:pt idx="0">
                  <c:v>-200</c:v>
                </c:pt>
                <c:pt idx="1">
                  <c:v>-200</c:v>
                </c:pt>
                <c:pt idx="2">
                  <c:v>-200</c:v>
                </c:pt>
                <c:pt idx="3">
                  <c:v>-200</c:v>
                </c:pt>
                <c:pt idx="4">
                  <c:v>100</c:v>
                </c:pt>
                <c:pt idx="5">
                  <c:v>-200</c:v>
                </c:pt>
                <c:pt idx="6">
                  <c:v>-200</c:v>
                </c:pt>
                <c:pt idx="7">
                  <c:v>-200</c:v>
                </c:pt>
                <c:pt idx="8">
                  <c:v>-200</c:v>
                </c:pt>
                <c:pt idx="9">
                  <c:v>-200</c:v>
                </c:pt>
                <c:pt idx="10">
                  <c:v>-200</c:v>
                </c:pt>
                <c:pt idx="11">
                  <c:v>-200</c:v>
                </c:pt>
                <c:pt idx="12">
                  <c:v>-200</c:v>
                </c:pt>
                <c:pt idx="13">
                  <c:v>-200</c:v>
                </c:pt>
                <c:pt idx="14">
                  <c:v>-200</c:v>
                </c:pt>
                <c:pt idx="15">
                  <c:v>-200</c:v>
                </c:pt>
                <c:pt idx="16">
                  <c:v>-200</c:v>
                </c:pt>
                <c:pt idx="17">
                  <c:v>-200</c:v>
                </c:pt>
                <c:pt idx="18">
                  <c:v>-200</c:v>
                </c:pt>
                <c:pt idx="19">
                  <c:v>-200</c:v>
                </c:pt>
                <c:pt idx="20">
                  <c:v>-200</c:v>
                </c:pt>
                <c:pt idx="21">
                  <c:v>-200</c:v>
                </c:pt>
                <c:pt idx="22">
                  <c:v>-200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9D4-4430-89A4-B86033C68D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axId val="344480831"/>
        <c:axId val="344486591"/>
      </c:barChart>
      <c:lineChart>
        <c:grouping val="standard"/>
        <c:varyColors val="0"/>
        <c:ser>
          <c:idx val="0"/>
          <c:order val="0"/>
          <c:tx>
            <c:strRef>
              <c:f>benchmark!$G$1</c:f>
              <c:strCache>
                <c:ptCount val="1"/>
                <c:pt idx="0">
                  <c:v>名目金利</c:v>
                </c:pt>
              </c:strCache>
            </c:strRef>
          </c:tx>
          <c:spPr>
            <a:ln w="25400" cap="rnd">
              <a:solidFill>
                <a:srgbClr val="002060"/>
              </a:solidFill>
              <a:prstDash val="solid"/>
              <a:round/>
            </a:ln>
            <a:effectLst/>
          </c:spPr>
          <c:marker>
            <c:symbol val="circle"/>
            <c:size val="8"/>
            <c:spPr>
              <a:solidFill>
                <a:srgbClr val="002060"/>
              </a:solidFill>
              <a:ln w="12700">
                <a:solidFill>
                  <a:srgbClr val="002060"/>
                </a:solidFill>
                <a:prstDash val="solid"/>
              </a:ln>
              <a:effectLst/>
            </c:spPr>
          </c:marker>
          <c:val>
            <c:numRef>
              <c:f>benchmark!$G$2:$G$24</c:f>
              <c:numCache>
                <c:formatCode>0.00_ </c:formatCode>
                <c:ptCount val="23"/>
                <c:pt idx="0">
                  <c:v>0</c:v>
                </c:pt>
                <c:pt idx="1">
                  <c:v>-9.9999999999964517E-6</c:v>
                </c:pt>
                <c:pt idx="2">
                  <c:v>-9.9999999999969363E-6</c:v>
                </c:pt>
                <c:pt idx="3">
                  <c:v>-9.9999999999961231E-6</c:v>
                </c:pt>
                <c:pt idx="4">
                  <c:v>0.14648745553971695</c:v>
                </c:pt>
                <c:pt idx="5">
                  <c:v>0.35642061867104624</c:v>
                </c:pt>
                <c:pt idx="6">
                  <c:v>0.48164652485099568</c:v>
                </c:pt>
                <c:pt idx="7">
                  <c:v>0.52915482804008873</c:v>
                </c:pt>
                <c:pt idx="8">
                  <c:v>0.52645840883100115</c:v>
                </c:pt>
                <c:pt idx="9">
                  <c:v>0.50250334972984656</c:v>
                </c:pt>
                <c:pt idx="10">
                  <c:v>0.47772419226448648</c:v>
                </c:pt>
                <c:pt idx="11">
                  <c:v>0.46193950463197841</c:v>
                </c:pt>
                <c:pt idx="12">
                  <c:v>0.45675491150406788</c:v>
                </c:pt>
                <c:pt idx="13">
                  <c:v>0.45936221004051464</c:v>
                </c:pt>
                <c:pt idx="14">
                  <c:v>0.46577836472872614</c:v>
                </c:pt>
                <c:pt idx="15">
                  <c:v>0.47276784843905889</c:v>
                </c:pt>
                <c:pt idx="16">
                  <c:v>0.47851381104397489</c:v>
                </c:pt>
                <c:pt idx="17">
                  <c:v>0.48247536774889072</c:v>
                </c:pt>
                <c:pt idx="18">
                  <c:v>0.48490373264472236</c:v>
                </c:pt>
                <c:pt idx="19">
                  <c:v>0.48635325968919124</c:v>
                </c:pt>
                <c:pt idx="20">
                  <c:v>0.48734911982212709</c:v>
                </c:pt>
                <c:pt idx="21">
                  <c:v>0.48823772933549975</c:v>
                </c:pt>
                <c:pt idx="22">
                  <c:v>0.48917292536110113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9D4-4430-89A4-B86033C68D6F}"/>
            </c:ext>
          </c:extLst>
        </c:ser>
        <c:ser>
          <c:idx val="1"/>
          <c:order val="1"/>
          <c:tx>
            <c:strRef>
              <c:f>benchmark!$C$1</c:f>
              <c:strCache>
                <c:ptCount val="1"/>
                <c:pt idx="0">
                  <c:v>需給ギャップ</c:v>
                </c:pt>
              </c:strCache>
            </c:strRef>
          </c:tx>
          <c:spPr>
            <a:ln w="19050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benchmark!$A$2:$A$24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benchmark!$C$2:$C$24</c:f>
              <c:numCache>
                <c:formatCode>0.00_ </c:formatCode>
                <c:ptCount val="23"/>
                <c:pt idx="0">
                  <c:v>0</c:v>
                </c:pt>
                <c:pt idx="1">
                  <c:v>3.3488205426709321E-2</c:v>
                </c:pt>
                <c:pt idx="2">
                  <c:v>9.0769099612936457E-2</c:v>
                </c:pt>
                <c:pt idx="3">
                  <c:v>0.16516032460820018</c:v>
                </c:pt>
                <c:pt idx="4">
                  <c:v>0.22635885034944389</c:v>
                </c:pt>
                <c:pt idx="5">
                  <c:v>0.24992084702376424</c:v>
                </c:pt>
                <c:pt idx="6">
                  <c:v>0.23978613835948714</c:v>
                </c:pt>
                <c:pt idx="7">
                  <c:v>0.21030707432105028</c:v>
                </c:pt>
                <c:pt idx="8">
                  <c:v>0.17550581645697874</c:v>
                </c:pt>
                <c:pt idx="9">
                  <c:v>0.14445152085888557</c:v>
                </c:pt>
                <c:pt idx="10">
                  <c:v>0.12079314247462751</c:v>
                </c:pt>
                <c:pt idx="11">
                  <c:v>0.10434109574713313</c:v>
                </c:pt>
                <c:pt idx="12">
                  <c:v>9.3085048777225204E-2</c:v>
                </c:pt>
                <c:pt idx="13">
                  <c:v>8.4755400293326275E-2</c:v>
                </c:pt>
                <c:pt idx="14">
                  <c:v>7.765697948701196E-2</c:v>
                </c:pt>
                <c:pt idx="15">
                  <c:v>7.0883866381532878E-2</c:v>
                </c:pt>
                <c:pt idx="16">
                  <c:v>6.4168919136775512E-2</c:v>
                </c:pt>
                <c:pt idx="17">
                  <c:v>5.7607755483568272E-2</c:v>
                </c:pt>
                <c:pt idx="18">
                  <c:v>5.1412300290928678E-2</c:v>
                </c:pt>
                <c:pt idx="19">
                  <c:v>4.5758230688951816E-2</c:v>
                </c:pt>
                <c:pt idx="20">
                  <c:v>4.0726473588489118E-2</c:v>
                </c:pt>
                <c:pt idx="21">
                  <c:v>3.6308281639759334E-2</c:v>
                </c:pt>
                <c:pt idx="22">
                  <c:v>3.243872265461261E-2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9D4-4430-89A4-B86033C68D6F}"/>
            </c:ext>
          </c:extLst>
        </c:ser>
        <c:ser>
          <c:idx val="6"/>
          <c:order val="2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benchmark!$B$2:$B$24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9D4-4430-89A4-B86033C68D6F}"/>
            </c:ext>
          </c:extLst>
        </c:ser>
        <c:ser>
          <c:idx val="2"/>
          <c:order val="3"/>
          <c:tx>
            <c:strRef>
              <c:f>benchmark!$I$1</c:f>
              <c:strCache>
                <c:ptCount val="1"/>
                <c:pt idx="0">
                  <c:v>ターミナルレート</c:v>
                </c:pt>
              </c:strCache>
            </c:strRef>
          </c:tx>
          <c:spPr>
            <a:ln w="1270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benchmark!$I$2:$I$24</c:f>
              <c:numCache>
                <c:formatCode>0.00_ </c:formatCode>
                <c:ptCount val="23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0.5</c:v>
                </c:pt>
                <c:pt idx="12">
                  <c:v>0.5</c:v>
                </c:pt>
                <c:pt idx="13">
                  <c:v>0.5</c:v>
                </c:pt>
                <c:pt idx="14">
                  <c:v>0.5</c:v>
                </c:pt>
                <c:pt idx="15">
                  <c:v>0.5</c:v>
                </c:pt>
                <c:pt idx="16">
                  <c:v>0.5</c:v>
                </c:pt>
                <c:pt idx="17">
                  <c:v>0.5</c:v>
                </c:pt>
                <c:pt idx="18">
                  <c:v>0.5</c:v>
                </c:pt>
                <c:pt idx="19">
                  <c:v>0.5</c:v>
                </c:pt>
                <c:pt idx="20">
                  <c:v>0.5</c:v>
                </c:pt>
                <c:pt idx="21">
                  <c:v>0.5</c:v>
                </c:pt>
                <c:pt idx="22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9D4-4430-89A4-B86033C68D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480831"/>
        <c:axId val="344486591"/>
      </c:lineChart>
      <c:catAx>
        <c:axId val="34448083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6591"/>
        <c:crossesAt val="-100"/>
        <c:auto val="1"/>
        <c:lblAlgn val="ctr"/>
        <c:lblOffset val="100"/>
        <c:tickLblSkip val="4"/>
        <c:tickMarkSkip val="1"/>
        <c:noMultiLvlLbl val="0"/>
      </c:catAx>
      <c:valAx>
        <c:axId val="344486591"/>
        <c:scaling>
          <c:orientation val="minMax"/>
          <c:max val="0.75000000000000011"/>
          <c:min val="-0.25"/>
        </c:scaling>
        <c:delete val="0"/>
        <c:axPos val="l"/>
        <c:numFmt formatCode="0.00_ " sourceLinked="0"/>
        <c:majorTickMark val="out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0831"/>
        <c:crosses val="autoZero"/>
        <c:crossBetween val="midCat"/>
        <c:majorUnit val="0.25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  <a:effectLst/>
      </c:spPr>
    </c:plotArea>
    <c:legend>
      <c:legendPos val="b"/>
      <c:legendEntry>
        <c:idx val="0"/>
        <c:delete val="1"/>
      </c:legendEntry>
      <c:legendEntry>
        <c:idx val="3"/>
        <c:delete val="1"/>
      </c:legendEntry>
      <c:legendEntry>
        <c:idx val="4"/>
        <c:delete val="1"/>
      </c:legendEntry>
      <c:layout>
        <c:manualLayout>
          <c:xMode val="edge"/>
          <c:yMode val="edge"/>
          <c:x val="0.53034386156642821"/>
          <c:y val="0.72332065523978384"/>
          <c:w val="0.4388255418582177"/>
          <c:h val="0.15985385709312802"/>
        </c:manualLayout>
      </c:layout>
      <c:overlay val="0"/>
      <c:spPr>
        <a:noFill/>
        <a:ln w="2540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rgbClr val="000000"/>
              </a:solidFill>
              <a:latin typeface="ＭＳ ゴシック"/>
              <a:ea typeface="ＭＳ ゴシック"/>
              <a:cs typeface="ＭＳ ゴシック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25400" cap="flat" cmpd="sng" algn="ctr">
      <a:noFill/>
      <a:round/>
    </a:ln>
    <a:effectLst/>
  </c:spPr>
  <c:txPr>
    <a:bodyPr/>
    <a:lstStyle/>
    <a:p>
      <a:pPr>
        <a:defRPr>
          <a:solidFill>
            <a:srgbClr val="000000"/>
          </a:solidFill>
          <a:latin typeface="ＭＳ ゴシック"/>
          <a:ea typeface="ＭＳ ゴシック"/>
          <a:cs typeface="ＭＳ ゴシック"/>
        </a:defRPr>
      </a:pPr>
      <a:endParaRPr lang="ja-JP"/>
    </a:p>
  </c:txPr>
  <c:printSettings>
    <c:headerFooter/>
    <c:pageMargins b="0.75" l="0.7" r="0.7" t="0.75" header="0.3" footer="0.3"/>
    <c:pageSetup/>
  </c:printSettings>
  <c:userShapes r:id="rId3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40233076776417"/>
          <c:y val="9.5123027297075252E-2"/>
          <c:w val="0.83208394199593816"/>
          <c:h val="0.81169163212805151"/>
        </c:manualLayout>
      </c:layout>
      <c:barChart>
        <c:barDir val="col"/>
        <c:grouping val="clustered"/>
        <c:varyColors val="0"/>
        <c:ser>
          <c:idx val="4"/>
          <c:order val="5"/>
          <c:tx>
            <c:strRef>
              <c:f>'25hike'!$J$1</c:f>
              <c:strCache>
                <c:ptCount val="1"/>
                <c:pt idx="0">
                  <c:v>縦軸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val>
            <c:numRef>
              <c:f>'25hike'!$J$2:$J$24</c:f>
              <c:numCache>
                <c:formatCode>0.00_ </c:formatCode>
                <c:ptCount val="23"/>
                <c:pt idx="0">
                  <c:v>-200</c:v>
                </c:pt>
                <c:pt idx="1">
                  <c:v>-200</c:v>
                </c:pt>
                <c:pt idx="2">
                  <c:v>-200</c:v>
                </c:pt>
                <c:pt idx="3">
                  <c:v>-200</c:v>
                </c:pt>
                <c:pt idx="4">
                  <c:v>100</c:v>
                </c:pt>
                <c:pt idx="5">
                  <c:v>-200</c:v>
                </c:pt>
                <c:pt idx="6">
                  <c:v>-200</c:v>
                </c:pt>
                <c:pt idx="7">
                  <c:v>-200</c:v>
                </c:pt>
                <c:pt idx="8">
                  <c:v>-200</c:v>
                </c:pt>
                <c:pt idx="9">
                  <c:v>-200</c:v>
                </c:pt>
                <c:pt idx="10">
                  <c:v>-200</c:v>
                </c:pt>
                <c:pt idx="11">
                  <c:v>-200</c:v>
                </c:pt>
                <c:pt idx="12">
                  <c:v>-200</c:v>
                </c:pt>
                <c:pt idx="13">
                  <c:v>-200</c:v>
                </c:pt>
                <c:pt idx="14">
                  <c:v>-200</c:v>
                </c:pt>
                <c:pt idx="15">
                  <c:v>-200</c:v>
                </c:pt>
                <c:pt idx="16">
                  <c:v>-200</c:v>
                </c:pt>
                <c:pt idx="17">
                  <c:v>-200</c:v>
                </c:pt>
                <c:pt idx="18">
                  <c:v>-200</c:v>
                </c:pt>
                <c:pt idx="19">
                  <c:v>-200</c:v>
                </c:pt>
                <c:pt idx="20">
                  <c:v>-200</c:v>
                </c:pt>
                <c:pt idx="21">
                  <c:v>-200</c:v>
                </c:pt>
                <c:pt idx="22">
                  <c:v>-200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B20-4BB5-962C-F2858012D6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axId val="344480831"/>
        <c:axId val="344486591"/>
      </c:barChart>
      <c:lineChart>
        <c:grouping val="standard"/>
        <c:varyColors val="0"/>
        <c:ser>
          <c:idx val="1"/>
          <c:order val="0"/>
          <c:tx>
            <c:strRef>
              <c:f>'25hike'!$D$1</c:f>
              <c:strCache>
                <c:ptCount val="1"/>
                <c:pt idx="0">
                  <c:v>インフレ率</c:v>
                </c:pt>
              </c:strCache>
            </c:strRef>
          </c:tx>
          <c:spPr>
            <a:ln w="25400" cap="rnd">
              <a:solidFill>
                <a:srgbClr val="00206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'25hike'!$A$2:$A$24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'25hike'!$D$2:$D$24</c:f>
              <c:numCache>
                <c:formatCode>0.00_ </c:formatCode>
                <c:ptCount val="23"/>
                <c:pt idx="0">
                  <c:v>1.5</c:v>
                </c:pt>
                <c:pt idx="1">
                  <c:v>1.6462433417342477</c:v>
                </c:pt>
                <c:pt idx="2">
                  <c:v>1.7657322218491545</c:v>
                </c:pt>
                <c:pt idx="3">
                  <c:v>1.8818733517853243</c:v>
                </c:pt>
                <c:pt idx="4">
                  <c:v>1.9703615215428429</c:v>
                </c:pt>
                <c:pt idx="5">
                  <c:v>2.036564111280676</c:v>
                </c:pt>
                <c:pt idx="6">
                  <c:v>2.073431329672629</c:v>
                </c:pt>
                <c:pt idx="7">
                  <c:v>2.0833333160338103</c:v>
                </c:pt>
                <c:pt idx="8">
                  <c:v>2.0755424342005377</c:v>
                </c:pt>
                <c:pt idx="9">
                  <c:v>2.0602911641751995</c:v>
                </c:pt>
                <c:pt idx="10">
                  <c:v>2.0450482783717234</c:v>
                </c:pt>
                <c:pt idx="11">
                  <c:v>2.0335288955309085</c:v>
                </c:pt>
                <c:pt idx="12">
                  <c:v>2.0264298571342856</c:v>
                </c:pt>
                <c:pt idx="13">
                  <c:v>2.0227648917015708</c:v>
                </c:pt>
                <c:pt idx="14">
                  <c:v>2.0210519910594695</c:v>
                </c:pt>
                <c:pt idx="15">
                  <c:v>2.020042978641023</c:v>
                </c:pt>
                <c:pt idx="16">
                  <c:v>2.0189968244809462</c:v>
                </c:pt>
                <c:pt idx="17">
                  <c:v>2.017646229320992</c:v>
                </c:pt>
                <c:pt idx="18">
                  <c:v>2.0160286736418067</c:v>
                </c:pt>
                <c:pt idx="19">
                  <c:v>2.0143076689380703</c:v>
                </c:pt>
                <c:pt idx="20">
                  <c:v>2.0126473399898699</c:v>
                </c:pt>
                <c:pt idx="21">
                  <c:v>2.0111531072126869</c:v>
                </c:pt>
                <c:pt idx="22">
                  <c:v>2.0098630477770651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B20-4BB5-962C-F2858012D64B}"/>
            </c:ext>
          </c:extLst>
        </c:ser>
        <c:ser>
          <c:idx val="2"/>
          <c:order val="1"/>
          <c:tx>
            <c:strRef>
              <c:f>'25hike'!$E$1</c:f>
              <c:strCache>
                <c:ptCount val="1"/>
                <c:pt idx="0">
                  <c:v>期待インフレ率</c:v>
                </c:pt>
              </c:strCache>
            </c:strRef>
          </c:tx>
          <c:spPr>
            <a:ln w="19050" cap="rnd">
              <a:solidFill>
                <a:srgbClr val="00B05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'25hike'!$A$2:$A$24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'25hike'!$E$2:$E$24</c:f>
              <c:numCache>
                <c:formatCode>0.00_ </c:formatCode>
                <c:ptCount val="23"/>
                <c:pt idx="0">
                  <c:v>1.5</c:v>
                </c:pt>
                <c:pt idx="1">
                  <c:v>1.610677470400173</c:v>
                </c:pt>
                <c:pt idx="2">
                  <c:v>1.6866924362564863</c:v>
                </c:pt>
                <c:pt idx="3">
                  <c:v>1.7513251220551751</c:v>
                </c:pt>
                <c:pt idx="4">
                  <c:v>1.8098180846363439</c:v>
                </c:pt>
                <c:pt idx="5">
                  <c:v>1.8541824296664009</c:v>
                </c:pt>
                <c:pt idx="6">
                  <c:v>1.8851395795117543</c:v>
                </c:pt>
                <c:pt idx="7">
                  <c:v>1.9042444860119256</c:v>
                </c:pt>
                <c:pt idx="8">
                  <c:v>1.9150699066811228</c:v>
                </c:pt>
                <c:pt idx="9">
                  <c:v>1.9215286229935808</c:v>
                </c:pt>
                <c:pt idx="10">
                  <c:v>1.9265662508139252</c:v>
                </c:pt>
                <c:pt idx="11">
                  <c:v>1.9317604258239711</c:v>
                </c:pt>
                <c:pt idx="12">
                  <c:v>1.9375546267828012</c:v>
                </c:pt>
                <c:pt idx="13">
                  <c:v>1.9437335744266151</c:v>
                </c:pt>
                <c:pt idx="14">
                  <c:v>1.9498616634469434</c:v>
                </c:pt>
                <c:pt idx="15">
                  <c:v>1.9555614359562465</c:v>
                </c:pt>
                <c:pt idx="16">
                  <c:v>1.9606253066299471</c:v>
                </c:pt>
                <c:pt idx="17">
                  <c:v>1.9650116041937349</c:v>
                </c:pt>
                <c:pt idx="18">
                  <c:v>1.9687869316821138</c:v>
                </c:pt>
                <c:pt idx="19">
                  <c:v>1.9720618532400325</c:v>
                </c:pt>
                <c:pt idx="20">
                  <c:v>1.9749444741284758</c:v>
                </c:pt>
                <c:pt idx="21">
                  <c:v>1.9775177760839828</c:v>
                </c:pt>
                <c:pt idx="22">
                  <c:v>1.9798357802503694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B20-4BB5-962C-F2858012D64B}"/>
            </c:ext>
          </c:extLst>
        </c:ser>
        <c:ser>
          <c:idx val="3"/>
          <c:order val="2"/>
          <c:tx>
            <c:strRef>
              <c:f>'25hike'!$F$1</c:f>
              <c:strCache>
                <c:ptCount val="1"/>
                <c:pt idx="0">
                  <c:v>物価観</c:v>
                </c:pt>
              </c:strCache>
            </c:strRef>
          </c:tx>
          <c:spPr>
            <a:ln w="22225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'25hike'!$A$2:$A$24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'25hike'!$F$2:$F$24</c:f>
              <c:numCache>
                <c:formatCode>0.00_ </c:formatCode>
                <c:ptCount val="23"/>
                <c:pt idx="0">
                  <c:v>1.5</c:v>
                </c:pt>
                <c:pt idx="1">
                  <c:v>1.5131619007560824</c:v>
                </c:pt>
                <c:pt idx="2">
                  <c:v>1.5358932296544587</c:v>
                </c:pt>
                <c:pt idx="3">
                  <c:v>1.5670314406462367</c:v>
                </c:pt>
                <c:pt idx="4">
                  <c:v>1.6033311479269312</c:v>
                </c:pt>
                <c:pt idx="5">
                  <c:v>1.6423221146287683</c:v>
                </c:pt>
                <c:pt idx="6">
                  <c:v>1.6811219439827156</c:v>
                </c:pt>
                <c:pt idx="7">
                  <c:v>1.7173209674673142</c:v>
                </c:pt>
                <c:pt idx="8">
                  <c:v>1.7495608994733043</c:v>
                </c:pt>
                <c:pt idx="9">
                  <c:v>1.7775266232964748</c:v>
                </c:pt>
                <c:pt idx="10">
                  <c:v>1.8016035722532471</c:v>
                </c:pt>
                <c:pt idx="11">
                  <c:v>1.8224768513482368</c:v>
                </c:pt>
                <c:pt idx="12">
                  <c:v>1.840832621868981</c:v>
                </c:pt>
                <c:pt idx="13">
                  <c:v>1.8572065261539141</c:v>
                </c:pt>
                <c:pt idx="14">
                  <c:v>1.8719526179954142</c:v>
                </c:pt>
                <c:pt idx="15">
                  <c:v>1.8852807504535189</c:v>
                </c:pt>
                <c:pt idx="16">
                  <c:v>1.8973151971159874</c:v>
                </c:pt>
                <c:pt idx="17">
                  <c:v>1.908144990014438</c:v>
                </c:pt>
                <c:pt idx="18">
                  <c:v>1.9178545215409011</c:v>
                </c:pt>
                <c:pt idx="19">
                  <c:v>1.9265353048066463</c:v>
                </c:pt>
                <c:pt idx="20">
                  <c:v>1.9342853879731363</c:v>
                </c:pt>
                <c:pt idx="21">
                  <c:v>1.941203482704696</c:v>
                </c:pt>
                <c:pt idx="22">
                  <c:v>1.9473828435612093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B20-4BB5-962C-F2858012D64B}"/>
            </c:ext>
          </c:extLst>
        </c:ser>
        <c:ser>
          <c:idx val="6"/>
          <c:order val="3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'25hike'!$B$2:$B$24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B20-4BB5-962C-F2858012D64B}"/>
            </c:ext>
          </c:extLst>
        </c:ser>
        <c:ser>
          <c:idx val="0"/>
          <c:order val="4"/>
          <c:tx>
            <c:strRef>
              <c:f>'25hike'!$H$1</c:f>
              <c:strCache>
                <c:ptCount val="1"/>
                <c:pt idx="0">
                  <c:v>物価目標</c:v>
                </c:pt>
              </c:strCache>
            </c:strRef>
          </c:tx>
          <c:spPr>
            <a:ln w="1270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'25hike'!$H$2:$H$24</c:f>
              <c:numCache>
                <c:formatCode>0.00_ </c:formatCode>
                <c:ptCount val="2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B20-4BB5-962C-F2858012D6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480831"/>
        <c:axId val="344486591"/>
      </c:lineChart>
      <c:catAx>
        <c:axId val="34448083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6591"/>
        <c:crossesAt val="-100"/>
        <c:auto val="1"/>
        <c:lblAlgn val="ctr"/>
        <c:lblOffset val="100"/>
        <c:tickLblSkip val="4"/>
        <c:tickMarkSkip val="1"/>
        <c:noMultiLvlLbl val="0"/>
      </c:catAx>
      <c:valAx>
        <c:axId val="344486591"/>
        <c:scaling>
          <c:orientation val="minMax"/>
          <c:max val="2.2000000000000002"/>
          <c:min val="1.4"/>
        </c:scaling>
        <c:delete val="0"/>
        <c:axPos val="l"/>
        <c:numFmt formatCode="0.0_ " sourceLinked="0"/>
        <c:majorTickMark val="out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0831"/>
        <c:crosses val="autoZero"/>
        <c:crossBetween val="midCat"/>
        <c:majorUnit val="0.1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  <a:effectLst/>
      </c:spPr>
    </c:plotArea>
    <c:legend>
      <c:legendPos val="b"/>
      <c:legendEntry>
        <c:idx val="0"/>
        <c:delete val="1"/>
      </c:legendEntry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0.44889714464188846"/>
          <c:y val="0.63088409705779325"/>
          <c:w val="0.51769993260237046"/>
          <c:h val="0.21690984576381592"/>
        </c:manualLayout>
      </c:layout>
      <c:overlay val="0"/>
      <c:spPr>
        <a:noFill/>
        <a:ln w="2540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rgbClr val="000000"/>
              </a:solidFill>
              <a:latin typeface="ＭＳ ゴシック"/>
              <a:ea typeface="ＭＳ ゴシック"/>
              <a:cs typeface="ＭＳ ゴシック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25400" cap="flat" cmpd="sng" algn="ctr">
      <a:noFill/>
      <a:round/>
    </a:ln>
    <a:effectLst/>
  </c:spPr>
  <c:txPr>
    <a:bodyPr/>
    <a:lstStyle/>
    <a:p>
      <a:pPr>
        <a:defRPr>
          <a:solidFill>
            <a:srgbClr val="000000"/>
          </a:solidFill>
          <a:latin typeface="ＭＳ ゴシック"/>
          <a:ea typeface="ＭＳ ゴシック"/>
          <a:cs typeface="ＭＳ ゴシック"/>
        </a:defRPr>
      </a:pPr>
      <a:endParaRPr lang="ja-JP"/>
    </a:p>
  </c:txPr>
  <c:printSettings>
    <c:headerFooter/>
    <c:pageMargins b="0.75" l="0.7" r="0.7" t="0.75" header="0.3" footer="0.3"/>
    <c:pageSetup/>
  </c:printSettings>
  <c:userShapes r:id="rId3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40233076776417"/>
          <c:y val="9.5123027297075252E-2"/>
          <c:w val="0.83208394199593816"/>
          <c:h val="0.81169163212805151"/>
        </c:manualLayout>
      </c:layout>
      <c:barChart>
        <c:barDir val="col"/>
        <c:grouping val="clustered"/>
        <c:varyColors val="0"/>
        <c:ser>
          <c:idx val="3"/>
          <c:order val="4"/>
          <c:tx>
            <c:strRef>
              <c:f>'25hike'!$J$1</c:f>
              <c:strCache>
                <c:ptCount val="1"/>
                <c:pt idx="0">
                  <c:v>縦軸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val>
            <c:numRef>
              <c:f>'25hike'!$J$2:$J$24</c:f>
              <c:numCache>
                <c:formatCode>0.00_ </c:formatCode>
                <c:ptCount val="23"/>
                <c:pt idx="0">
                  <c:v>-200</c:v>
                </c:pt>
                <c:pt idx="1">
                  <c:v>-200</c:v>
                </c:pt>
                <c:pt idx="2">
                  <c:v>-200</c:v>
                </c:pt>
                <c:pt idx="3">
                  <c:v>-200</c:v>
                </c:pt>
                <c:pt idx="4">
                  <c:v>100</c:v>
                </c:pt>
                <c:pt idx="5">
                  <c:v>-200</c:v>
                </c:pt>
                <c:pt idx="6">
                  <c:v>-200</c:v>
                </c:pt>
                <c:pt idx="7">
                  <c:v>-200</c:v>
                </c:pt>
                <c:pt idx="8">
                  <c:v>-200</c:v>
                </c:pt>
                <c:pt idx="9">
                  <c:v>-200</c:v>
                </c:pt>
                <c:pt idx="10">
                  <c:v>-200</c:v>
                </c:pt>
                <c:pt idx="11">
                  <c:v>-200</c:v>
                </c:pt>
                <c:pt idx="12">
                  <c:v>-200</c:v>
                </c:pt>
                <c:pt idx="13">
                  <c:v>-200</c:v>
                </c:pt>
                <c:pt idx="14">
                  <c:v>-200</c:v>
                </c:pt>
                <c:pt idx="15">
                  <c:v>-200</c:v>
                </c:pt>
                <c:pt idx="16">
                  <c:v>-200</c:v>
                </c:pt>
                <c:pt idx="17">
                  <c:v>-200</c:v>
                </c:pt>
                <c:pt idx="18">
                  <c:v>-200</c:v>
                </c:pt>
                <c:pt idx="19">
                  <c:v>-200</c:v>
                </c:pt>
                <c:pt idx="20">
                  <c:v>-200</c:v>
                </c:pt>
                <c:pt idx="21">
                  <c:v>-200</c:v>
                </c:pt>
                <c:pt idx="22">
                  <c:v>-200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09-4245-A9BA-DFFAEC8F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axId val="344480831"/>
        <c:axId val="344486591"/>
      </c:barChart>
      <c:lineChart>
        <c:grouping val="standard"/>
        <c:varyColors val="0"/>
        <c:ser>
          <c:idx val="0"/>
          <c:order val="0"/>
          <c:tx>
            <c:strRef>
              <c:f>'25hike'!$G$1</c:f>
              <c:strCache>
                <c:ptCount val="1"/>
                <c:pt idx="0">
                  <c:v>名目金利</c:v>
                </c:pt>
              </c:strCache>
            </c:strRef>
          </c:tx>
          <c:spPr>
            <a:ln w="25400" cap="rnd">
              <a:solidFill>
                <a:srgbClr val="002060"/>
              </a:solidFill>
              <a:prstDash val="solid"/>
              <a:round/>
            </a:ln>
            <a:effectLst/>
          </c:spPr>
          <c:marker>
            <c:symbol val="circle"/>
            <c:size val="8"/>
            <c:spPr>
              <a:solidFill>
                <a:srgbClr val="002060"/>
              </a:solidFill>
              <a:ln w="12700">
                <a:solidFill>
                  <a:srgbClr val="002060"/>
                </a:solidFill>
                <a:prstDash val="solid"/>
              </a:ln>
              <a:effectLst/>
            </c:spPr>
          </c:marker>
          <c:val>
            <c:numRef>
              <c:f>'25hike'!$G$2:$G$24</c:f>
              <c:numCache>
                <c:formatCode>0.00_ </c:formatCode>
                <c:ptCount val="23"/>
                <c:pt idx="0">
                  <c:v>0</c:v>
                </c:pt>
                <c:pt idx="1">
                  <c:v>-9.9999999999997789E-6</c:v>
                </c:pt>
                <c:pt idx="2">
                  <c:v>-9.9999999999977494E-6</c:v>
                </c:pt>
                <c:pt idx="3">
                  <c:v>-9.9999999999683675E-6</c:v>
                </c:pt>
                <c:pt idx="4">
                  <c:v>0.24999999999999997</c:v>
                </c:pt>
                <c:pt idx="5">
                  <c:v>0.25306540702103297</c:v>
                </c:pt>
                <c:pt idx="6">
                  <c:v>0.40107210422482914</c:v>
                </c:pt>
                <c:pt idx="7">
                  <c:v>0.48313701640321871</c:v>
                </c:pt>
                <c:pt idx="8">
                  <c:v>0.5107062159073843</c:v>
                </c:pt>
                <c:pt idx="9">
                  <c:v>0.50559444354617222</c:v>
                </c:pt>
                <c:pt idx="10">
                  <c:v>0.48826886739233172</c:v>
                </c:pt>
                <c:pt idx="11">
                  <c:v>0.47217438581416071</c:v>
                </c:pt>
                <c:pt idx="12">
                  <c:v>0.4631368615438009</c:v>
                </c:pt>
                <c:pt idx="13">
                  <c:v>0.46149825195998745</c:v>
                </c:pt>
                <c:pt idx="14">
                  <c:v>0.46489772160546011</c:v>
                </c:pt>
                <c:pt idx="15">
                  <c:v>0.47046862593301064</c:v>
                </c:pt>
                <c:pt idx="16">
                  <c:v>0.47604680119608583</c:v>
                </c:pt>
                <c:pt idx="17">
                  <c:v>0.48051622852383929</c:v>
                </c:pt>
                <c:pt idx="18">
                  <c:v>0.48363178245697092</c:v>
                </c:pt>
                <c:pt idx="19">
                  <c:v>0.48565067549612367</c:v>
                </c:pt>
                <c:pt idx="20">
                  <c:v>0.48699269885362229</c:v>
                </c:pt>
                <c:pt idx="21">
                  <c:v>0.48802473395176971</c:v>
                </c:pt>
                <c:pt idx="22">
                  <c:v>0.48897458455963527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309-4245-A9BA-DFFAEC8FC6A5}"/>
            </c:ext>
          </c:extLst>
        </c:ser>
        <c:ser>
          <c:idx val="1"/>
          <c:order val="1"/>
          <c:tx>
            <c:strRef>
              <c:f>'25hike'!$C$1</c:f>
              <c:strCache>
                <c:ptCount val="1"/>
                <c:pt idx="0">
                  <c:v>需給ギャップ</c:v>
                </c:pt>
              </c:strCache>
            </c:strRef>
          </c:tx>
          <c:spPr>
            <a:ln w="19050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'25hike'!$A$2:$A$24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'25hike'!$C$2:$C$24</c:f>
              <c:numCache>
                <c:formatCode>0.00_ </c:formatCode>
                <c:ptCount val="23"/>
                <c:pt idx="0">
                  <c:v>0</c:v>
                </c:pt>
                <c:pt idx="1">
                  <c:v>3.1117072709414391E-2</c:v>
                </c:pt>
                <c:pt idx="2">
                  <c:v>8.3897235166905282E-2</c:v>
                </c:pt>
                <c:pt idx="3">
                  <c:v>0.15307479395180196</c:v>
                </c:pt>
                <c:pt idx="4">
                  <c:v>0.19213376074924216</c:v>
                </c:pt>
                <c:pt idx="5">
                  <c:v>0.22322451739157906</c:v>
                </c:pt>
                <c:pt idx="6">
                  <c:v>0.22887099969176919</c:v>
                </c:pt>
                <c:pt idx="7">
                  <c:v>0.21280601468807236</c:v>
                </c:pt>
                <c:pt idx="8">
                  <c:v>0.18545420779372485</c:v>
                </c:pt>
                <c:pt idx="9">
                  <c:v>0.15632552948468659</c:v>
                </c:pt>
                <c:pt idx="10">
                  <c:v>0.13114879224798467</c:v>
                </c:pt>
                <c:pt idx="11">
                  <c:v>0.1118772084920385</c:v>
                </c:pt>
                <c:pt idx="12">
                  <c:v>9.7963809223820197E-2</c:v>
                </c:pt>
                <c:pt idx="13">
                  <c:v>8.7798371806341979E-2</c:v>
                </c:pt>
                <c:pt idx="14">
                  <c:v>7.9745506825307746E-2</c:v>
                </c:pt>
                <c:pt idx="15">
                  <c:v>7.2652499710578272E-2</c:v>
                </c:pt>
                <c:pt idx="16">
                  <c:v>6.5938382515271912E-2</c:v>
                </c:pt>
                <c:pt idx="17">
                  <c:v>5.9453983698643111E-2</c:v>
                </c:pt>
                <c:pt idx="18">
                  <c:v>5.3277971101208479E-2</c:v>
                </c:pt>
                <c:pt idx="19">
                  <c:v>4.7548380286539099E-2</c:v>
                </c:pt>
                <c:pt idx="20">
                  <c:v>4.2365530573428643E-2</c:v>
                </c:pt>
                <c:pt idx="21">
                  <c:v>3.7760256148343767E-2</c:v>
                </c:pt>
                <c:pt idx="22">
                  <c:v>3.3703348959565817E-2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309-4245-A9BA-DFFAEC8FC6A5}"/>
            </c:ext>
          </c:extLst>
        </c:ser>
        <c:ser>
          <c:idx val="6"/>
          <c:order val="2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'25hike'!$B$2:$B$24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309-4245-A9BA-DFFAEC8FC6A5}"/>
            </c:ext>
          </c:extLst>
        </c:ser>
        <c:ser>
          <c:idx val="2"/>
          <c:order val="3"/>
          <c:tx>
            <c:strRef>
              <c:f>'25hike'!$I$1</c:f>
              <c:strCache>
                <c:ptCount val="1"/>
                <c:pt idx="0">
                  <c:v>ターミナルレート</c:v>
                </c:pt>
              </c:strCache>
            </c:strRef>
          </c:tx>
          <c:spPr>
            <a:ln w="1270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'25hike'!$I$2:$I$24</c:f>
              <c:numCache>
                <c:formatCode>0.00_ </c:formatCode>
                <c:ptCount val="23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0.5</c:v>
                </c:pt>
                <c:pt idx="12">
                  <c:v>0.5</c:v>
                </c:pt>
                <c:pt idx="13">
                  <c:v>0.5</c:v>
                </c:pt>
                <c:pt idx="14">
                  <c:v>0.5</c:v>
                </c:pt>
                <c:pt idx="15">
                  <c:v>0.5</c:v>
                </c:pt>
                <c:pt idx="16">
                  <c:v>0.5</c:v>
                </c:pt>
                <c:pt idx="17">
                  <c:v>0.5</c:v>
                </c:pt>
                <c:pt idx="18">
                  <c:v>0.5</c:v>
                </c:pt>
                <c:pt idx="19">
                  <c:v>0.5</c:v>
                </c:pt>
                <c:pt idx="20">
                  <c:v>0.5</c:v>
                </c:pt>
                <c:pt idx="21">
                  <c:v>0.5</c:v>
                </c:pt>
                <c:pt idx="22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309-4245-A9BA-DFFAEC8F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480831"/>
        <c:axId val="344486591"/>
      </c:lineChart>
      <c:catAx>
        <c:axId val="34448083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6591"/>
        <c:crossesAt val="-100"/>
        <c:auto val="1"/>
        <c:lblAlgn val="ctr"/>
        <c:lblOffset val="100"/>
        <c:tickLblSkip val="4"/>
        <c:tickMarkSkip val="1"/>
        <c:noMultiLvlLbl val="0"/>
      </c:catAx>
      <c:valAx>
        <c:axId val="344486591"/>
        <c:scaling>
          <c:orientation val="minMax"/>
          <c:max val="0.75000000000000011"/>
          <c:min val="-0.25"/>
        </c:scaling>
        <c:delete val="0"/>
        <c:axPos val="l"/>
        <c:numFmt formatCode="0.00_ " sourceLinked="0"/>
        <c:majorTickMark val="out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0831"/>
        <c:crosses val="autoZero"/>
        <c:crossBetween val="midCat"/>
        <c:majorUnit val="0.25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  <a:effectLst/>
      </c:spPr>
    </c:plotArea>
    <c:legend>
      <c:legendPos val="b"/>
      <c:legendEntry>
        <c:idx val="0"/>
        <c:delete val="1"/>
      </c:legendEntry>
      <c:legendEntry>
        <c:idx val="3"/>
        <c:delete val="1"/>
      </c:legendEntry>
      <c:legendEntry>
        <c:idx val="4"/>
        <c:delete val="1"/>
      </c:legendEntry>
      <c:layout>
        <c:manualLayout>
          <c:xMode val="edge"/>
          <c:yMode val="edge"/>
          <c:x val="0.53034386156642821"/>
          <c:y val="0.72332065523978384"/>
          <c:w val="0.4388255418582177"/>
          <c:h val="0.15985385709312802"/>
        </c:manualLayout>
      </c:layout>
      <c:overlay val="0"/>
      <c:spPr>
        <a:noFill/>
        <a:ln w="2540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rgbClr val="000000"/>
              </a:solidFill>
              <a:latin typeface="ＭＳ ゴシック"/>
              <a:ea typeface="ＭＳ ゴシック"/>
              <a:cs typeface="ＭＳ ゴシック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25400" cap="flat" cmpd="sng" algn="ctr">
      <a:noFill/>
      <a:round/>
    </a:ln>
    <a:effectLst/>
  </c:spPr>
  <c:txPr>
    <a:bodyPr/>
    <a:lstStyle/>
    <a:p>
      <a:pPr>
        <a:defRPr>
          <a:solidFill>
            <a:srgbClr val="000000"/>
          </a:solidFill>
          <a:latin typeface="ＭＳ ゴシック"/>
          <a:ea typeface="ＭＳ ゴシック"/>
          <a:cs typeface="ＭＳ ゴシック"/>
        </a:defRPr>
      </a:pPr>
      <a:endParaRPr lang="ja-JP"/>
    </a:p>
  </c:txPr>
  <c:printSettings>
    <c:headerFooter/>
    <c:pageMargins b="0.75" l="0.7" r="0.7" t="0.75" header="0.3" footer="0.3"/>
    <c:pageSetup/>
  </c:printSettings>
  <c:userShapes r:id="rId3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40233076776417"/>
          <c:y val="9.5123027297075252E-2"/>
          <c:w val="0.83208394199593816"/>
          <c:h val="0.81169163212805151"/>
        </c:manualLayout>
      </c:layout>
      <c:barChart>
        <c:barDir val="col"/>
        <c:grouping val="clustered"/>
        <c:varyColors val="0"/>
        <c:ser>
          <c:idx val="4"/>
          <c:order val="5"/>
          <c:tx>
            <c:strRef>
              <c:f>'25hike_IPInear'!$J$1</c:f>
              <c:strCache>
                <c:ptCount val="1"/>
                <c:pt idx="0">
                  <c:v>縦軸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val>
            <c:numRef>
              <c:f>'25hike_IPInear'!$J$2:$J$24</c:f>
              <c:numCache>
                <c:formatCode>0.00_ </c:formatCode>
                <c:ptCount val="23"/>
                <c:pt idx="0">
                  <c:v>-200</c:v>
                </c:pt>
                <c:pt idx="1">
                  <c:v>-200</c:v>
                </c:pt>
                <c:pt idx="2">
                  <c:v>-200</c:v>
                </c:pt>
                <c:pt idx="3">
                  <c:v>-200</c:v>
                </c:pt>
                <c:pt idx="4">
                  <c:v>100</c:v>
                </c:pt>
                <c:pt idx="5">
                  <c:v>-200</c:v>
                </c:pt>
                <c:pt idx="6">
                  <c:v>-200</c:v>
                </c:pt>
                <c:pt idx="7">
                  <c:v>-200</c:v>
                </c:pt>
                <c:pt idx="8">
                  <c:v>-200</c:v>
                </c:pt>
                <c:pt idx="9">
                  <c:v>-200</c:v>
                </c:pt>
                <c:pt idx="10">
                  <c:v>-200</c:v>
                </c:pt>
                <c:pt idx="11">
                  <c:v>-200</c:v>
                </c:pt>
                <c:pt idx="12">
                  <c:v>-200</c:v>
                </c:pt>
                <c:pt idx="13">
                  <c:v>-200</c:v>
                </c:pt>
                <c:pt idx="14">
                  <c:v>-200</c:v>
                </c:pt>
                <c:pt idx="15">
                  <c:v>-200</c:v>
                </c:pt>
                <c:pt idx="16">
                  <c:v>-200</c:v>
                </c:pt>
                <c:pt idx="17">
                  <c:v>-200</c:v>
                </c:pt>
                <c:pt idx="18">
                  <c:v>-200</c:v>
                </c:pt>
                <c:pt idx="19">
                  <c:v>-200</c:v>
                </c:pt>
                <c:pt idx="20">
                  <c:v>-200</c:v>
                </c:pt>
                <c:pt idx="21">
                  <c:v>-200</c:v>
                </c:pt>
                <c:pt idx="22">
                  <c:v>-200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CDC-4098-B56C-8E6FDCE0C2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axId val="344480831"/>
        <c:axId val="344486591"/>
      </c:barChart>
      <c:lineChart>
        <c:grouping val="standard"/>
        <c:varyColors val="0"/>
        <c:ser>
          <c:idx val="1"/>
          <c:order val="0"/>
          <c:tx>
            <c:strRef>
              <c:f>'25hike_IPInear'!$D$1</c:f>
              <c:strCache>
                <c:ptCount val="1"/>
                <c:pt idx="0">
                  <c:v>インフレ率</c:v>
                </c:pt>
              </c:strCache>
            </c:strRef>
          </c:tx>
          <c:spPr>
            <a:ln w="25400" cap="rnd">
              <a:solidFill>
                <a:srgbClr val="00206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'25hike_IPInear'!$A$2:$A$24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'25hike_IPInear'!$D$2:$D$24</c:f>
              <c:numCache>
                <c:formatCode>0.00_ </c:formatCode>
                <c:ptCount val="23"/>
                <c:pt idx="0">
                  <c:v>1.5</c:v>
                </c:pt>
                <c:pt idx="1">
                  <c:v>1.6462433417342477</c:v>
                </c:pt>
                <c:pt idx="2">
                  <c:v>1.7657322218491545</c:v>
                </c:pt>
                <c:pt idx="3">
                  <c:v>1.8818733517853243</c:v>
                </c:pt>
                <c:pt idx="4">
                  <c:v>1.9703615215428429</c:v>
                </c:pt>
                <c:pt idx="5">
                  <c:v>2.6928149193522475</c:v>
                </c:pt>
                <c:pt idx="6">
                  <c:v>2.4835646826921187</c:v>
                </c:pt>
                <c:pt idx="7">
                  <c:v>2.2279126179877835</c:v>
                </c:pt>
                <c:pt idx="8">
                  <c:v>2.0729534177996585</c:v>
                </c:pt>
                <c:pt idx="9">
                  <c:v>2.0057276715960786</c:v>
                </c:pt>
                <c:pt idx="10">
                  <c:v>1.9904562855584431</c:v>
                </c:pt>
                <c:pt idx="11">
                  <c:v>1.9980529565304115</c:v>
                </c:pt>
                <c:pt idx="12">
                  <c:v>2.0105599060452803</c:v>
                </c:pt>
                <c:pt idx="13">
                  <c:v>2.0195124573135561</c:v>
                </c:pt>
                <c:pt idx="14">
                  <c:v>2.0228038465199738</c:v>
                </c:pt>
                <c:pt idx="15">
                  <c:v>2.0216174017666457</c:v>
                </c:pt>
                <c:pt idx="16">
                  <c:v>2.0181387082991997</c:v>
                </c:pt>
                <c:pt idx="17">
                  <c:v>2.0142457476942739</c:v>
                </c:pt>
                <c:pt idx="18">
                  <c:v>2.0110280124349669</c:v>
                </c:pt>
                <c:pt idx="19">
                  <c:v>2.0088307205629481</c:v>
                </c:pt>
                <c:pt idx="20">
                  <c:v>2.0075244740057223</c:v>
                </c:pt>
                <c:pt idx="21">
                  <c:v>2.0067907020460249</c:v>
                </c:pt>
                <c:pt idx="22">
                  <c:v>2.0063203100310654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CDC-4098-B56C-8E6FDCE0C281}"/>
            </c:ext>
          </c:extLst>
        </c:ser>
        <c:ser>
          <c:idx val="2"/>
          <c:order val="1"/>
          <c:tx>
            <c:strRef>
              <c:f>'25hike_IPInear'!$E$1</c:f>
              <c:strCache>
                <c:ptCount val="1"/>
                <c:pt idx="0">
                  <c:v>期待インフレ率</c:v>
                </c:pt>
              </c:strCache>
            </c:strRef>
          </c:tx>
          <c:spPr>
            <a:ln w="19050" cap="rnd">
              <a:solidFill>
                <a:srgbClr val="00B05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'25hike_IPInear'!$A$2:$A$24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'25hike_IPInear'!$E$2:$E$24</c:f>
              <c:numCache>
                <c:formatCode>0.00_ </c:formatCode>
                <c:ptCount val="23"/>
                <c:pt idx="0">
                  <c:v>1.5</c:v>
                </c:pt>
                <c:pt idx="1">
                  <c:v>1.610677470400173</c:v>
                </c:pt>
                <c:pt idx="2">
                  <c:v>1.6866924362564863</c:v>
                </c:pt>
                <c:pt idx="3">
                  <c:v>1.7513251220551751</c:v>
                </c:pt>
                <c:pt idx="4">
                  <c:v>1.8098180846363439</c:v>
                </c:pt>
                <c:pt idx="5">
                  <c:v>2.0250029711990183</c:v>
                </c:pt>
                <c:pt idx="6">
                  <c:v>2.069398105263232</c:v>
                </c:pt>
                <c:pt idx="7">
                  <c:v>2.0039868154039286</c:v>
                </c:pt>
                <c:pt idx="8">
                  <c:v>1.9554354618914906</c:v>
                </c:pt>
                <c:pt idx="9">
                  <c:v>1.9359796577164303</c:v>
                </c:pt>
                <c:pt idx="10">
                  <c:v>1.9356722301630143</c:v>
                </c:pt>
                <c:pt idx="11">
                  <c:v>1.9440121566387925</c:v>
                </c:pt>
                <c:pt idx="12">
                  <c:v>1.9541103348225137</c:v>
                </c:pt>
                <c:pt idx="13">
                  <c:v>1.9626044448301065</c:v>
                </c:pt>
                <c:pt idx="14">
                  <c:v>1.9685774126863782</c:v>
                </c:pt>
                <c:pt idx="15">
                  <c:v>1.9724137166473081</c:v>
                </c:pt>
                <c:pt idx="16">
                  <c:v>1.9749282816826403</c:v>
                </c:pt>
                <c:pt idx="17">
                  <c:v>1.9768562640560472</c:v>
                </c:pt>
                <c:pt idx="18">
                  <c:v>1.9786541395900243</c:v>
                </c:pt>
                <c:pt idx="19">
                  <c:v>1.9805021501062665</c:v>
                </c:pt>
                <c:pt idx="20">
                  <c:v>1.982397210433426</c:v>
                </c:pt>
                <c:pt idx="21">
                  <c:v>1.9842569377837314</c:v>
                </c:pt>
                <c:pt idx="22">
                  <c:v>1.9859945573533366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CDC-4098-B56C-8E6FDCE0C281}"/>
            </c:ext>
          </c:extLst>
        </c:ser>
        <c:ser>
          <c:idx val="3"/>
          <c:order val="2"/>
          <c:tx>
            <c:strRef>
              <c:f>'25hike_IPInear'!$F$1</c:f>
              <c:strCache>
                <c:ptCount val="1"/>
                <c:pt idx="0">
                  <c:v>物価観</c:v>
                </c:pt>
              </c:strCache>
            </c:strRef>
          </c:tx>
          <c:spPr>
            <a:ln w="22225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'25hike_IPInear'!$A$2:$A$24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'25hike_IPInear'!$F$2:$F$24</c:f>
              <c:numCache>
                <c:formatCode>0.00_ </c:formatCode>
                <c:ptCount val="23"/>
                <c:pt idx="0">
                  <c:v>1.5</c:v>
                </c:pt>
                <c:pt idx="1">
                  <c:v>1.5131619007560824</c:v>
                </c:pt>
                <c:pt idx="2">
                  <c:v>1.5358932296544587</c:v>
                </c:pt>
                <c:pt idx="3">
                  <c:v>1.5670314406462367</c:v>
                </c:pt>
                <c:pt idx="4">
                  <c:v>1.6033311479269312</c:v>
                </c:pt>
                <c:pt idx="5">
                  <c:v>1.7013846873552096</c:v>
                </c:pt>
                <c:pt idx="6">
                  <c:v>1.7717808869355314</c:v>
                </c:pt>
                <c:pt idx="7">
                  <c:v>1.8128327427302342</c:v>
                </c:pt>
                <c:pt idx="8">
                  <c:v>1.8362436034864824</c:v>
                </c:pt>
                <c:pt idx="9">
                  <c:v>1.851497169616346</c:v>
                </c:pt>
                <c:pt idx="10">
                  <c:v>1.8640034900511346</c:v>
                </c:pt>
                <c:pt idx="11">
                  <c:v>1.8760679420342696</c:v>
                </c:pt>
                <c:pt idx="12">
                  <c:v>1.8881722187952605</c:v>
                </c:pt>
                <c:pt idx="13">
                  <c:v>1.8999928402619071</c:v>
                </c:pt>
                <c:pt idx="14">
                  <c:v>1.9110458308251332</c:v>
                </c:pt>
                <c:pt idx="15">
                  <c:v>1.9209972722098694</c:v>
                </c:pt>
                <c:pt idx="16">
                  <c:v>1.9297400014579091</c:v>
                </c:pt>
                <c:pt idx="17">
                  <c:v>1.9373455186191821</c:v>
                </c:pt>
                <c:pt idx="18">
                  <c:v>1.9439769430626026</c:v>
                </c:pt>
                <c:pt idx="19">
                  <c:v>1.9498137830376336</c:v>
                </c:pt>
                <c:pt idx="20">
                  <c:v>1.9550077452247616</c:v>
                </c:pt>
                <c:pt idx="21">
                  <c:v>1.9596682113386754</c:v>
                </c:pt>
                <c:pt idx="22">
                  <c:v>1.9638669002209905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CDC-4098-B56C-8E6FDCE0C281}"/>
            </c:ext>
          </c:extLst>
        </c:ser>
        <c:ser>
          <c:idx val="6"/>
          <c:order val="3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'25hike_IPInear'!$B$2:$B$24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CDC-4098-B56C-8E6FDCE0C281}"/>
            </c:ext>
          </c:extLst>
        </c:ser>
        <c:ser>
          <c:idx val="0"/>
          <c:order val="4"/>
          <c:tx>
            <c:strRef>
              <c:f>'25hike_IPInear'!$H$1</c:f>
              <c:strCache>
                <c:ptCount val="1"/>
                <c:pt idx="0">
                  <c:v>物価目標</c:v>
                </c:pt>
              </c:strCache>
            </c:strRef>
          </c:tx>
          <c:spPr>
            <a:ln w="1270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'25hike_IPInear'!$H$2:$H$24</c:f>
              <c:numCache>
                <c:formatCode>0.00_ </c:formatCode>
                <c:ptCount val="2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CDC-4098-B56C-8E6FDCE0C2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480831"/>
        <c:axId val="344486591"/>
      </c:lineChart>
      <c:catAx>
        <c:axId val="34448083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6591"/>
        <c:crossesAt val="-100"/>
        <c:auto val="1"/>
        <c:lblAlgn val="ctr"/>
        <c:lblOffset val="100"/>
        <c:tickLblSkip val="4"/>
        <c:tickMarkSkip val="1"/>
        <c:noMultiLvlLbl val="0"/>
      </c:catAx>
      <c:valAx>
        <c:axId val="344486591"/>
        <c:scaling>
          <c:orientation val="minMax"/>
          <c:max val="2.8"/>
          <c:min val="1.4"/>
        </c:scaling>
        <c:delete val="0"/>
        <c:axPos val="l"/>
        <c:numFmt formatCode="0.0_ " sourceLinked="0"/>
        <c:majorTickMark val="out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0831"/>
        <c:crosses val="autoZero"/>
        <c:crossBetween val="midCat"/>
        <c:majorUnit val="0.2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  <a:effectLst/>
      </c:spPr>
    </c:plotArea>
    <c:legend>
      <c:legendPos val="b"/>
      <c:legendEntry>
        <c:idx val="0"/>
        <c:delete val="1"/>
      </c:legendEntry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0.41827779878245913"/>
          <c:y val="0.10379674532529161"/>
          <c:w val="0.51769993260237046"/>
          <c:h val="0.21690984576381592"/>
        </c:manualLayout>
      </c:layout>
      <c:overlay val="0"/>
      <c:spPr>
        <a:noFill/>
        <a:ln w="2540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rgbClr val="000000"/>
              </a:solidFill>
              <a:latin typeface="ＭＳ ゴシック"/>
              <a:ea typeface="ＭＳ ゴシック"/>
              <a:cs typeface="ＭＳ ゴシック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25400" cap="flat" cmpd="sng" algn="ctr">
      <a:noFill/>
      <a:round/>
    </a:ln>
    <a:effectLst/>
  </c:spPr>
  <c:txPr>
    <a:bodyPr/>
    <a:lstStyle/>
    <a:p>
      <a:pPr>
        <a:defRPr>
          <a:solidFill>
            <a:srgbClr val="000000"/>
          </a:solidFill>
          <a:latin typeface="ＭＳ ゴシック"/>
          <a:ea typeface="ＭＳ ゴシック"/>
          <a:cs typeface="ＭＳ ゴシック"/>
        </a:defRPr>
      </a:pPr>
      <a:endParaRPr lang="ja-JP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40233076776417"/>
          <c:y val="9.5123027297075252E-2"/>
          <c:w val="0.83208394199593816"/>
          <c:h val="0.81169163212805151"/>
        </c:manualLayout>
      </c:layout>
      <c:barChart>
        <c:barDir val="col"/>
        <c:grouping val="clustered"/>
        <c:varyColors val="0"/>
        <c:ser>
          <c:idx val="3"/>
          <c:order val="4"/>
          <c:tx>
            <c:strRef>
              <c:f>'25hike_IPInear'!$J$1</c:f>
              <c:strCache>
                <c:ptCount val="1"/>
                <c:pt idx="0">
                  <c:v>縦軸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val>
            <c:numRef>
              <c:f>'25hike_IPInear'!$J$2:$J$24</c:f>
              <c:numCache>
                <c:formatCode>0.00_ </c:formatCode>
                <c:ptCount val="23"/>
                <c:pt idx="0">
                  <c:v>-200</c:v>
                </c:pt>
                <c:pt idx="1">
                  <c:v>-200</c:v>
                </c:pt>
                <c:pt idx="2">
                  <c:v>-200</c:v>
                </c:pt>
                <c:pt idx="3">
                  <c:v>-200</c:v>
                </c:pt>
                <c:pt idx="4">
                  <c:v>100</c:v>
                </c:pt>
                <c:pt idx="5">
                  <c:v>-200</c:v>
                </c:pt>
                <c:pt idx="6">
                  <c:v>-200</c:v>
                </c:pt>
                <c:pt idx="7">
                  <c:v>-200</c:v>
                </c:pt>
                <c:pt idx="8">
                  <c:v>-200</c:v>
                </c:pt>
                <c:pt idx="9">
                  <c:v>-200</c:v>
                </c:pt>
                <c:pt idx="10">
                  <c:v>-200</c:v>
                </c:pt>
                <c:pt idx="11">
                  <c:v>-200</c:v>
                </c:pt>
                <c:pt idx="12">
                  <c:v>-200</c:v>
                </c:pt>
                <c:pt idx="13">
                  <c:v>-200</c:v>
                </c:pt>
                <c:pt idx="14">
                  <c:v>-200</c:v>
                </c:pt>
                <c:pt idx="15">
                  <c:v>-200</c:v>
                </c:pt>
                <c:pt idx="16">
                  <c:v>-200</c:v>
                </c:pt>
                <c:pt idx="17">
                  <c:v>-200</c:v>
                </c:pt>
                <c:pt idx="18">
                  <c:v>-200</c:v>
                </c:pt>
                <c:pt idx="19">
                  <c:v>-200</c:v>
                </c:pt>
                <c:pt idx="20">
                  <c:v>-200</c:v>
                </c:pt>
                <c:pt idx="21">
                  <c:v>-200</c:v>
                </c:pt>
                <c:pt idx="22">
                  <c:v>-200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B4-4576-8C80-B1BE5CADCD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axId val="344480831"/>
        <c:axId val="344486591"/>
      </c:barChart>
      <c:lineChart>
        <c:grouping val="standard"/>
        <c:varyColors val="0"/>
        <c:ser>
          <c:idx val="0"/>
          <c:order val="0"/>
          <c:tx>
            <c:strRef>
              <c:f>'25hike_IPInear'!$G$1</c:f>
              <c:strCache>
                <c:ptCount val="1"/>
                <c:pt idx="0">
                  <c:v>名目金利</c:v>
                </c:pt>
              </c:strCache>
            </c:strRef>
          </c:tx>
          <c:spPr>
            <a:ln w="25400" cap="rnd">
              <a:solidFill>
                <a:srgbClr val="002060"/>
              </a:solidFill>
              <a:prstDash val="solid"/>
              <a:round/>
            </a:ln>
            <a:effectLst/>
          </c:spPr>
          <c:marker>
            <c:symbol val="circle"/>
            <c:size val="8"/>
            <c:spPr>
              <a:solidFill>
                <a:srgbClr val="002060"/>
              </a:solidFill>
              <a:ln w="12700">
                <a:solidFill>
                  <a:srgbClr val="002060"/>
                </a:solidFill>
                <a:prstDash val="solid"/>
              </a:ln>
              <a:effectLst/>
            </c:spPr>
          </c:marker>
          <c:val>
            <c:numRef>
              <c:f>'25hike_IPInear'!$G$2:$G$24</c:f>
              <c:numCache>
                <c:formatCode>0.00_ </c:formatCode>
                <c:ptCount val="23"/>
                <c:pt idx="0">
                  <c:v>0</c:v>
                </c:pt>
                <c:pt idx="1">
                  <c:v>-9.9999999999997789E-6</c:v>
                </c:pt>
                <c:pt idx="2">
                  <c:v>-9.9999999999977494E-6</c:v>
                </c:pt>
                <c:pt idx="3">
                  <c:v>-9.9999999999683675E-6</c:v>
                </c:pt>
                <c:pt idx="4">
                  <c:v>0.24999999999999997</c:v>
                </c:pt>
                <c:pt idx="5">
                  <c:v>0.66111937595409964</c:v>
                </c:pt>
                <c:pt idx="6">
                  <c:v>0.78397563635575251</c:v>
                </c:pt>
                <c:pt idx="7">
                  <c:v>0.65186649159684373</c:v>
                </c:pt>
                <c:pt idx="8">
                  <c:v>0.48983930594596259</c:v>
                </c:pt>
                <c:pt idx="9">
                  <c:v>0.39212842873603154</c:v>
                </c:pt>
                <c:pt idx="10">
                  <c:v>0.36748495321895275</c:v>
                </c:pt>
                <c:pt idx="11">
                  <c:v>0.38976583485297556</c:v>
                </c:pt>
                <c:pt idx="12">
                  <c:v>0.42888997448204702</c:v>
                </c:pt>
                <c:pt idx="13">
                  <c:v>0.46426905845593314</c:v>
                </c:pt>
                <c:pt idx="14">
                  <c:v>0.48705470140133228</c:v>
                </c:pt>
                <c:pt idx="15">
                  <c:v>0.4970221430603633</c:v>
                </c:pt>
                <c:pt idx="16">
                  <c:v>0.49816890083845716</c:v>
                </c:pt>
                <c:pt idx="17">
                  <c:v>0.49521524164211317</c:v>
                </c:pt>
                <c:pt idx="18">
                  <c:v>0.49169562555857838</c:v>
                </c:pt>
                <c:pt idx="19">
                  <c:v>0.48943418095754032</c:v>
                </c:pt>
                <c:pt idx="20">
                  <c:v>0.48885092459876162</c:v>
                </c:pt>
                <c:pt idx="21">
                  <c:v>0.48956409377778931</c:v>
                </c:pt>
                <c:pt idx="22">
                  <c:v>0.49093753212267094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EB4-4576-8C80-B1BE5CADCD7E}"/>
            </c:ext>
          </c:extLst>
        </c:ser>
        <c:ser>
          <c:idx val="1"/>
          <c:order val="1"/>
          <c:tx>
            <c:strRef>
              <c:f>'25hike_IPInear'!$C$1</c:f>
              <c:strCache>
                <c:ptCount val="1"/>
                <c:pt idx="0">
                  <c:v>需給ギャップ</c:v>
                </c:pt>
              </c:strCache>
            </c:strRef>
          </c:tx>
          <c:spPr>
            <a:ln w="19050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'25hike_IPInear'!$A$2:$A$24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'25hike_IPInear'!$C$2:$C$24</c:f>
              <c:numCache>
                <c:formatCode>0.00_ </c:formatCode>
                <c:ptCount val="23"/>
                <c:pt idx="0">
                  <c:v>0</c:v>
                </c:pt>
                <c:pt idx="1">
                  <c:v>3.1117072709414391E-2</c:v>
                </c:pt>
                <c:pt idx="2">
                  <c:v>8.3897235166905282E-2</c:v>
                </c:pt>
                <c:pt idx="3">
                  <c:v>0.15307479395180196</c:v>
                </c:pt>
                <c:pt idx="4">
                  <c:v>0.19213376074924216</c:v>
                </c:pt>
                <c:pt idx="5">
                  <c:v>0.18592527686131427</c:v>
                </c:pt>
                <c:pt idx="6">
                  <c:v>0.13132349118609163</c:v>
                </c:pt>
                <c:pt idx="7">
                  <c:v>7.3896602943031964E-2</c:v>
                </c:pt>
                <c:pt idx="8">
                  <c:v>4.0880879284122956E-2</c:v>
                </c:pt>
                <c:pt idx="9">
                  <c:v>3.4365778153044271E-2</c:v>
                </c:pt>
                <c:pt idx="10">
                  <c:v>4.3613600281949633E-2</c:v>
                </c:pt>
                <c:pt idx="11">
                  <c:v>5.6543448010731551E-2</c:v>
                </c:pt>
                <c:pt idx="12">
                  <c:v>6.5379565098690029E-2</c:v>
                </c:pt>
                <c:pt idx="13">
                  <c:v>6.749396167756104E-2</c:v>
                </c:pt>
                <c:pt idx="14">
                  <c:v>6.3832449401534486E-2</c:v>
                </c:pt>
                <c:pt idx="15">
                  <c:v>5.6843791024977899E-2</c:v>
                </c:pt>
                <c:pt idx="16">
                  <c:v>4.8930680980735414E-2</c:v>
                </c:pt>
                <c:pt idx="17">
                  <c:v>4.1695595059153073E-2</c:v>
                </c:pt>
                <c:pt idx="18">
                  <c:v>3.5829815315125232E-2</c:v>
                </c:pt>
                <c:pt idx="19">
                  <c:v>3.1353096132255176E-2</c:v>
                </c:pt>
                <c:pt idx="20">
                  <c:v>2.7945685489625179E-2</c:v>
                </c:pt>
                <c:pt idx="21">
                  <c:v>2.5217576143328244E-2</c:v>
                </c:pt>
                <c:pt idx="22">
                  <c:v>2.2860673643270914E-2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EB4-4576-8C80-B1BE5CADCD7E}"/>
            </c:ext>
          </c:extLst>
        </c:ser>
        <c:ser>
          <c:idx val="6"/>
          <c:order val="2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'25hike_IPInear'!$B$2:$B$24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EB4-4576-8C80-B1BE5CADCD7E}"/>
            </c:ext>
          </c:extLst>
        </c:ser>
        <c:ser>
          <c:idx val="2"/>
          <c:order val="3"/>
          <c:tx>
            <c:strRef>
              <c:f>'25hike_IPInear'!$I$1</c:f>
              <c:strCache>
                <c:ptCount val="1"/>
                <c:pt idx="0">
                  <c:v>ターミナルレート</c:v>
                </c:pt>
              </c:strCache>
            </c:strRef>
          </c:tx>
          <c:spPr>
            <a:ln w="1270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'25hike_IPInear'!$I$2:$I$24</c:f>
              <c:numCache>
                <c:formatCode>0.00_ </c:formatCode>
                <c:ptCount val="23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0.5</c:v>
                </c:pt>
                <c:pt idx="12">
                  <c:v>0.5</c:v>
                </c:pt>
                <c:pt idx="13">
                  <c:v>0.5</c:v>
                </c:pt>
                <c:pt idx="14">
                  <c:v>0.5</c:v>
                </c:pt>
                <c:pt idx="15">
                  <c:v>0.5</c:v>
                </c:pt>
                <c:pt idx="16">
                  <c:v>0.5</c:v>
                </c:pt>
                <c:pt idx="17">
                  <c:v>0.5</c:v>
                </c:pt>
                <c:pt idx="18">
                  <c:v>0.5</c:v>
                </c:pt>
                <c:pt idx="19">
                  <c:v>0.5</c:v>
                </c:pt>
                <c:pt idx="20">
                  <c:v>0.5</c:v>
                </c:pt>
                <c:pt idx="21">
                  <c:v>0.5</c:v>
                </c:pt>
                <c:pt idx="22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EB4-4576-8C80-B1BE5CADCD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480831"/>
        <c:axId val="344486591"/>
      </c:lineChart>
      <c:catAx>
        <c:axId val="34448083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6591"/>
        <c:crossesAt val="-100"/>
        <c:auto val="1"/>
        <c:lblAlgn val="ctr"/>
        <c:lblOffset val="100"/>
        <c:tickLblSkip val="4"/>
        <c:tickMarkSkip val="1"/>
        <c:noMultiLvlLbl val="0"/>
      </c:catAx>
      <c:valAx>
        <c:axId val="344486591"/>
        <c:scaling>
          <c:orientation val="minMax"/>
          <c:max val="1"/>
          <c:min val="-0.25"/>
        </c:scaling>
        <c:delete val="0"/>
        <c:axPos val="l"/>
        <c:numFmt formatCode="0.00_ " sourceLinked="0"/>
        <c:majorTickMark val="out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0831"/>
        <c:crosses val="autoZero"/>
        <c:crossBetween val="midCat"/>
        <c:majorUnit val="0.25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  <a:effectLst/>
      </c:spPr>
    </c:plotArea>
    <c:legend>
      <c:legendPos val="b"/>
      <c:legendEntry>
        <c:idx val="0"/>
        <c:delete val="1"/>
      </c:legendEntry>
      <c:legendEntry>
        <c:idx val="3"/>
        <c:delete val="1"/>
      </c:legendEntry>
      <c:legendEntry>
        <c:idx val="4"/>
        <c:delete val="1"/>
      </c:legendEntry>
      <c:layout>
        <c:manualLayout>
          <c:xMode val="edge"/>
          <c:yMode val="edge"/>
          <c:x val="0.53314664307327864"/>
          <c:y val="0.11763367814100763"/>
          <c:w val="0.4388255418582177"/>
          <c:h val="0.15985385709312802"/>
        </c:manualLayout>
      </c:layout>
      <c:overlay val="0"/>
      <c:spPr>
        <a:noFill/>
        <a:ln w="2540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rgbClr val="000000"/>
              </a:solidFill>
              <a:latin typeface="ＭＳ ゴシック"/>
              <a:ea typeface="ＭＳ ゴシック"/>
              <a:cs typeface="ＭＳ ゴシック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25400" cap="flat" cmpd="sng" algn="ctr">
      <a:noFill/>
      <a:round/>
    </a:ln>
    <a:effectLst/>
  </c:spPr>
  <c:txPr>
    <a:bodyPr/>
    <a:lstStyle/>
    <a:p>
      <a:pPr>
        <a:defRPr>
          <a:solidFill>
            <a:srgbClr val="000000"/>
          </a:solidFill>
          <a:latin typeface="ＭＳ ゴシック"/>
          <a:ea typeface="ＭＳ ゴシック"/>
          <a:cs typeface="ＭＳ ゴシック"/>
        </a:defRPr>
      </a:pPr>
      <a:endParaRPr lang="ja-JP"/>
    </a:p>
  </c:txPr>
  <c:printSettings>
    <c:headerFooter/>
    <c:pageMargins b="0.75" l="0.7" r="0.7" t="0.75" header="0.3" footer="0.3"/>
    <c:pageSetup/>
  </c:printSettings>
  <c:userShapes r:id="rId3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40233076776417"/>
          <c:y val="9.5123027297075252E-2"/>
          <c:w val="0.83208394199593816"/>
          <c:h val="0.81169163212805151"/>
        </c:manualLayout>
      </c:layout>
      <c:barChart>
        <c:barDir val="col"/>
        <c:grouping val="clustered"/>
        <c:varyColors val="0"/>
        <c:ser>
          <c:idx val="4"/>
          <c:order val="5"/>
          <c:tx>
            <c:strRef>
              <c:f>'25hike_IPIfar'!$J$1</c:f>
              <c:strCache>
                <c:ptCount val="1"/>
                <c:pt idx="0">
                  <c:v>縦軸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val>
            <c:numRef>
              <c:f>'25hike_IPIfar'!$J$2:$J$24</c:f>
              <c:numCache>
                <c:formatCode>0.00_ </c:formatCode>
                <c:ptCount val="23"/>
                <c:pt idx="0">
                  <c:v>-200</c:v>
                </c:pt>
                <c:pt idx="1">
                  <c:v>-200</c:v>
                </c:pt>
                <c:pt idx="2">
                  <c:v>-200</c:v>
                </c:pt>
                <c:pt idx="3">
                  <c:v>-200</c:v>
                </c:pt>
                <c:pt idx="4">
                  <c:v>100</c:v>
                </c:pt>
                <c:pt idx="5">
                  <c:v>-200</c:v>
                </c:pt>
                <c:pt idx="6">
                  <c:v>-200</c:v>
                </c:pt>
                <c:pt idx="7">
                  <c:v>100</c:v>
                </c:pt>
                <c:pt idx="8">
                  <c:v>-200</c:v>
                </c:pt>
                <c:pt idx="9">
                  <c:v>-200</c:v>
                </c:pt>
                <c:pt idx="10">
                  <c:v>-200</c:v>
                </c:pt>
                <c:pt idx="11">
                  <c:v>-200</c:v>
                </c:pt>
                <c:pt idx="12">
                  <c:v>-200</c:v>
                </c:pt>
                <c:pt idx="13">
                  <c:v>-200</c:v>
                </c:pt>
                <c:pt idx="14">
                  <c:v>-200</c:v>
                </c:pt>
                <c:pt idx="15">
                  <c:v>-200</c:v>
                </c:pt>
                <c:pt idx="16">
                  <c:v>-200</c:v>
                </c:pt>
                <c:pt idx="17">
                  <c:v>-200</c:v>
                </c:pt>
                <c:pt idx="18">
                  <c:v>-200</c:v>
                </c:pt>
                <c:pt idx="19">
                  <c:v>-200</c:v>
                </c:pt>
                <c:pt idx="20">
                  <c:v>-200</c:v>
                </c:pt>
                <c:pt idx="21">
                  <c:v>-200</c:v>
                </c:pt>
                <c:pt idx="22">
                  <c:v>-200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D9-49DF-AD81-1A3C44388B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axId val="344480831"/>
        <c:axId val="344486591"/>
      </c:barChart>
      <c:lineChart>
        <c:grouping val="standard"/>
        <c:varyColors val="0"/>
        <c:ser>
          <c:idx val="1"/>
          <c:order val="0"/>
          <c:tx>
            <c:strRef>
              <c:f>'25hike_IPIfar'!$D$1</c:f>
              <c:strCache>
                <c:ptCount val="1"/>
                <c:pt idx="0">
                  <c:v>インフレ率</c:v>
                </c:pt>
              </c:strCache>
            </c:strRef>
          </c:tx>
          <c:spPr>
            <a:ln w="25400" cap="rnd">
              <a:solidFill>
                <a:srgbClr val="00206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'25hike_IPIfar'!$A$2:$A$24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'25hike_IPIfar'!$D$2:$D$24</c:f>
              <c:numCache>
                <c:formatCode>0.00_ </c:formatCode>
                <c:ptCount val="23"/>
                <c:pt idx="0">
                  <c:v>1.5</c:v>
                </c:pt>
                <c:pt idx="1">
                  <c:v>1.6462433417342477</c:v>
                </c:pt>
                <c:pt idx="2">
                  <c:v>1.7657322218491545</c:v>
                </c:pt>
                <c:pt idx="3">
                  <c:v>1.8818733517853243</c:v>
                </c:pt>
                <c:pt idx="4">
                  <c:v>1.9703615215428429</c:v>
                </c:pt>
                <c:pt idx="5">
                  <c:v>2.036564111280676</c:v>
                </c:pt>
                <c:pt idx="6">
                  <c:v>2.073431329672629</c:v>
                </c:pt>
                <c:pt idx="7">
                  <c:v>2.0833333160338103</c:v>
                </c:pt>
                <c:pt idx="8">
                  <c:v>2.7317932422721092</c:v>
                </c:pt>
                <c:pt idx="9">
                  <c:v>2.4704245171946893</c:v>
                </c:pt>
                <c:pt idx="10">
                  <c:v>2.1896275803256966</c:v>
                </c:pt>
                <c:pt idx="11">
                  <c:v>2.0309398791300293</c:v>
                </c:pt>
                <c:pt idx="12">
                  <c:v>1.9718663645551646</c:v>
                </c:pt>
                <c:pt idx="13">
                  <c:v>1.9681728988882905</c:v>
                </c:pt>
                <c:pt idx="14">
                  <c:v>1.9855760520589725</c:v>
                </c:pt>
                <c:pt idx="15">
                  <c:v>2.0041730275520178</c:v>
                </c:pt>
                <c:pt idx="16">
                  <c:v>2.0157443900929315</c:v>
                </c:pt>
                <c:pt idx="17">
                  <c:v>2.0193980847814963</c:v>
                </c:pt>
                <c:pt idx="18">
                  <c:v>2.0176030967674294</c:v>
                </c:pt>
                <c:pt idx="19">
                  <c:v>2.0134495527563239</c:v>
                </c:pt>
                <c:pt idx="20">
                  <c:v>2.0092468583631518</c:v>
                </c:pt>
                <c:pt idx="21">
                  <c:v>2.0061524460058471</c:v>
                </c:pt>
                <c:pt idx="22">
                  <c:v>2.0043860994019429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6D9-49DF-AD81-1A3C44388B19}"/>
            </c:ext>
          </c:extLst>
        </c:ser>
        <c:ser>
          <c:idx val="2"/>
          <c:order val="1"/>
          <c:tx>
            <c:strRef>
              <c:f>'25hike_IPIfar'!$E$1</c:f>
              <c:strCache>
                <c:ptCount val="1"/>
                <c:pt idx="0">
                  <c:v>期待インフレ率</c:v>
                </c:pt>
              </c:strCache>
            </c:strRef>
          </c:tx>
          <c:spPr>
            <a:ln w="19050" cap="rnd">
              <a:solidFill>
                <a:srgbClr val="00B05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'25hike_IPIfar'!$A$2:$A$24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'25hike_IPIfar'!$E$2:$E$24</c:f>
              <c:numCache>
                <c:formatCode>0.00_ </c:formatCode>
                <c:ptCount val="23"/>
                <c:pt idx="0">
                  <c:v>1.5</c:v>
                </c:pt>
                <c:pt idx="1">
                  <c:v>1.610677470400173</c:v>
                </c:pt>
                <c:pt idx="2">
                  <c:v>1.6866924362564863</c:v>
                </c:pt>
                <c:pt idx="3">
                  <c:v>1.7513251220551751</c:v>
                </c:pt>
                <c:pt idx="4">
                  <c:v>1.8098180846363439</c:v>
                </c:pt>
                <c:pt idx="5">
                  <c:v>1.8541824296664009</c:v>
                </c:pt>
                <c:pt idx="6">
                  <c:v>1.8851395795117543</c:v>
                </c:pt>
                <c:pt idx="7">
                  <c:v>1.9042444860119256</c:v>
                </c:pt>
                <c:pt idx="8">
                  <c:v>2.0858904482137404</c:v>
                </c:pt>
                <c:pt idx="9">
                  <c:v>2.1057871487450588</c:v>
                </c:pt>
                <c:pt idx="10">
                  <c:v>2.026308580205928</c:v>
                </c:pt>
                <c:pt idx="11">
                  <c:v>1.972125981034339</c:v>
                </c:pt>
                <c:pt idx="12">
                  <c:v>1.9520056615056507</c:v>
                </c:pt>
                <c:pt idx="13">
                  <c:v>1.952839553775704</c:v>
                </c:pt>
                <c:pt idx="14">
                  <c:v>1.9621133942617648</c:v>
                </c:pt>
                <c:pt idx="15">
                  <c:v>1.9721171439959591</c:v>
                </c:pt>
                <c:pt idx="16">
                  <c:v>1.9794961770334385</c:v>
                </c:pt>
                <c:pt idx="17">
                  <c:v>1.9837273534331696</c:v>
                </c:pt>
                <c:pt idx="18">
                  <c:v>1.9856392123731754</c:v>
                </c:pt>
                <c:pt idx="19">
                  <c:v>1.9863648282927258</c:v>
                </c:pt>
                <c:pt idx="20">
                  <c:v>1.9867891339907882</c:v>
                </c:pt>
                <c:pt idx="21">
                  <c:v>1.9873849839918933</c:v>
                </c:pt>
                <c:pt idx="22">
                  <c:v>1.9882760771166035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6D9-49DF-AD81-1A3C44388B19}"/>
            </c:ext>
          </c:extLst>
        </c:ser>
        <c:ser>
          <c:idx val="3"/>
          <c:order val="2"/>
          <c:tx>
            <c:strRef>
              <c:f>'25hike_IPIfar'!$F$1</c:f>
              <c:strCache>
                <c:ptCount val="1"/>
                <c:pt idx="0">
                  <c:v>物価観</c:v>
                </c:pt>
              </c:strCache>
            </c:strRef>
          </c:tx>
          <c:spPr>
            <a:ln w="22225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'25hike_IPIfar'!$A$2:$A$24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'25hike_IPIfar'!$F$2:$F$24</c:f>
              <c:numCache>
                <c:formatCode>0.00_ </c:formatCode>
                <c:ptCount val="23"/>
                <c:pt idx="0">
                  <c:v>1.5</c:v>
                </c:pt>
                <c:pt idx="1">
                  <c:v>1.5131619007560824</c:v>
                </c:pt>
                <c:pt idx="2">
                  <c:v>1.5358932296544587</c:v>
                </c:pt>
                <c:pt idx="3">
                  <c:v>1.5670314406462367</c:v>
                </c:pt>
                <c:pt idx="4">
                  <c:v>1.6033311479269312</c:v>
                </c:pt>
                <c:pt idx="5">
                  <c:v>1.6423221146287683</c:v>
                </c:pt>
                <c:pt idx="6">
                  <c:v>1.6811219439827156</c:v>
                </c:pt>
                <c:pt idx="7">
                  <c:v>1.7173209674673142</c:v>
                </c:pt>
                <c:pt idx="8">
                  <c:v>1.8086234721997456</c:v>
                </c:pt>
                <c:pt idx="9">
                  <c:v>1.8681855662492906</c:v>
                </c:pt>
                <c:pt idx="10">
                  <c:v>1.8971153475161671</c:v>
                </c:pt>
                <c:pt idx="11">
                  <c:v>1.9091595553614149</c:v>
                </c:pt>
                <c:pt idx="12">
                  <c:v>1.9148031681888522</c:v>
                </c:pt>
                <c:pt idx="13">
                  <c:v>1.9196064439518017</c:v>
                </c:pt>
                <c:pt idx="14">
                  <c:v>1.9255437086814471</c:v>
                </c:pt>
                <c:pt idx="15">
                  <c:v>1.9326203473797985</c:v>
                </c:pt>
                <c:pt idx="16">
                  <c:v>1.9401015112239803</c:v>
                </c:pt>
                <c:pt idx="17">
                  <c:v>1.9472382028441571</c:v>
                </c:pt>
                <c:pt idx="18">
                  <c:v>1.9535710432972515</c:v>
                </c:pt>
                <c:pt idx="19">
                  <c:v>1.958960109148568</c:v>
                </c:pt>
                <c:pt idx="20">
                  <c:v>1.9634859165778804</c:v>
                </c:pt>
                <c:pt idx="21">
                  <c:v>1.9673259042263975</c:v>
                </c:pt>
                <c:pt idx="22">
                  <c:v>1.9706613217921967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6D9-49DF-AD81-1A3C44388B19}"/>
            </c:ext>
          </c:extLst>
        </c:ser>
        <c:ser>
          <c:idx val="6"/>
          <c:order val="3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'25hike_IPIfar'!$B$2:$B$24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6D9-49DF-AD81-1A3C44388B19}"/>
            </c:ext>
          </c:extLst>
        </c:ser>
        <c:ser>
          <c:idx val="0"/>
          <c:order val="4"/>
          <c:tx>
            <c:strRef>
              <c:f>'25hike_IPIfar'!$H$1</c:f>
              <c:strCache>
                <c:ptCount val="1"/>
                <c:pt idx="0">
                  <c:v>物価目標</c:v>
                </c:pt>
              </c:strCache>
            </c:strRef>
          </c:tx>
          <c:spPr>
            <a:ln w="1270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'25hike_IPIfar'!$H$2:$H$24</c:f>
              <c:numCache>
                <c:formatCode>0.00_ </c:formatCode>
                <c:ptCount val="2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6D9-49DF-AD81-1A3C44388B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480831"/>
        <c:axId val="344486591"/>
      </c:lineChart>
      <c:catAx>
        <c:axId val="34448083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6591"/>
        <c:crossesAt val="-100"/>
        <c:auto val="1"/>
        <c:lblAlgn val="ctr"/>
        <c:lblOffset val="100"/>
        <c:tickLblSkip val="4"/>
        <c:tickMarkSkip val="1"/>
        <c:noMultiLvlLbl val="0"/>
      </c:catAx>
      <c:valAx>
        <c:axId val="344486591"/>
        <c:scaling>
          <c:orientation val="minMax"/>
          <c:max val="2.8"/>
          <c:min val="1.4"/>
        </c:scaling>
        <c:delete val="0"/>
        <c:axPos val="l"/>
        <c:numFmt formatCode="0.0_ " sourceLinked="0"/>
        <c:majorTickMark val="out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0831"/>
        <c:crosses val="autoZero"/>
        <c:crossBetween val="midCat"/>
        <c:majorUnit val="0.2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  <a:effectLst/>
      </c:spPr>
    </c:plotArea>
    <c:legend>
      <c:legendPos val="b"/>
      <c:legendEntry>
        <c:idx val="0"/>
        <c:delete val="1"/>
      </c:legendEntry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0.45168072153820021"/>
          <c:y val="0.11273042925296112"/>
          <c:w val="0.51769993260237046"/>
          <c:h val="0.21690984576381592"/>
        </c:manualLayout>
      </c:layout>
      <c:overlay val="0"/>
      <c:spPr>
        <a:noFill/>
        <a:ln w="2540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rgbClr val="000000"/>
              </a:solidFill>
              <a:latin typeface="ＭＳ ゴシック"/>
              <a:ea typeface="ＭＳ ゴシック"/>
              <a:cs typeface="ＭＳ ゴシック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25400" cap="flat" cmpd="sng" algn="ctr">
      <a:noFill/>
      <a:round/>
    </a:ln>
    <a:effectLst/>
  </c:spPr>
  <c:txPr>
    <a:bodyPr/>
    <a:lstStyle/>
    <a:p>
      <a:pPr>
        <a:defRPr>
          <a:solidFill>
            <a:srgbClr val="000000"/>
          </a:solidFill>
          <a:latin typeface="ＭＳ ゴシック"/>
          <a:ea typeface="ＭＳ ゴシック"/>
          <a:cs typeface="ＭＳ ゴシック"/>
        </a:defRPr>
      </a:pPr>
      <a:endParaRPr lang="ja-JP"/>
    </a:p>
  </c:txPr>
  <c:printSettings>
    <c:headerFooter/>
    <c:pageMargins b="0.75" l="0.7" r="0.7" t="0.75" header="0.3" footer="0.3"/>
    <c:pageSetup/>
  </c:printSettings>
  <c:userShapes r:id="rId3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40233076776417"/>
          <c:y val="9.5123027297075252E-2"/>
          <c:w val="0.83208394199593816"/>
          <c:h val="0.81169163212805151"/>
        </c:manualLayout>
      </c:layout>
      <c:barChart>
        <c:barDir val="col"/>
        <c:grouping val="clustered"/>
        <c:varyColors val="0"/>
        <c:ser>
          <c:idx val="3"/>
          <c:order val="4"/>
          <c:tx>
            <c:strRef>
              <c:f>'25hike_IPIfar'!$J$1</c:f>
              <c:strCache>
                <c:ptCount val="1"/>
                <c:pt idx="0">
                  <c:v>縦軸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val>
            <c:numRef>
              <c:f>'25hike_IPIfar'!$J$2:$J$24</c:f>
              <c:numCache>
                <c:formatCode>0.00_ </c:formatCode>
                <c:ptCount val="23"/>
                <c:pt idx="0">
                  <c:v>-200</c:v>
                </c:pt>
                <c:pt idx="1">
                  <c:v>-200</c:v>
                </c:pt>
                <c:pt idx="2">
                  <c:v>-200</c:v>
                </c:pt>
                <c:pt idx="3">
                  <c:v>-200</c:v>
                </c:pt>
                <c:pt idx="4">
                  <c:v>100</c:v>
                </c:pt>
                <c:pt idx="5">
                  <c:v>-200</c:v>
                </c:pt>
                <c:pt idx="6">
                  <c:v>-200</c:v>
                </c:pt>
                <c:pt idx="7">
                  <c:v>100</c:v>
                </c:pt>
                <c:pt idx="8">
                  <c:v>-200</c:v>
                </c:pt>
                <c:pt idx="9">
                  <c:v>-200</c:v>
                </c:pt>
                <c:pt idx="10">
                  <c:v>-200</c:v>
                </c:pt>
                <c:pt idx="11">
                  <c:v>-200</c:v>
                </c:pt>
                <c:pt idx="12">
                  <c:v>-200</c:v>
                </c:pt>
                <c:pt idx="13">
                  <c:v>-200</c:v>
                </c:pt>
                <c:pt idx="14">
                  <c:v>-200</c:v>
                </c:pt>
                <c:pt idx="15">
                  <c:v>-200</c:v>
                </c:pt>
                <c:pt idx="16">
                  <c:v>-200</c:v>
                </c:pt>
                <c:pt idx="17">
                  <c:v>-200</c:v>
                </c:pt>
                <c:pt idx="18">
                  <c:v>-200</c:v>
                </c:pt>
                <c:pt idx="19">
                  <c:v>-200</c:v>
                </c:pt>
                <c:pt idx="20">
                  <c:v>-200</c:v>
                </c:pt>
                <c:pt idx="21">
                  <c:v>-200</c:v>
                </c:pt>
                <c:pt idx="22">
                  <c:v>-200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13-404A-8FF1-78DEC7AF9C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axId val="344480831"/>
        <c:axId val="344486591"/>
      </c:barChart>
      <c:lineChart>
        <c:grouping val="standard"/>
        <c:varyColors val="0"/>
        <c:ser>
          <c:idx val="0"/>
          <c:order val="0"/>
          <c:tx>
            <c:strRef>
              <c:f>'25hike_IPIfar'!$G$1</c:f>
              <c:strCache>
                <c:ptCount val="1"/>
                <c:pt idx="0">
                  <c:v>名目金利</c:v>
                </c:pt>
              </c:strCache>
            </c:strRef>
          </c:tx>
          <c:spPr>
            <a:ln w="25400" cap="rnd">
              <a:solidFill>
                <a:srgbClr val="002060"/>
              </a:solidFill>
              <a:prstDash val="solid"/>
              <a:round/>
            </a:ln>
            <a:effectLst/>
          </c:spPr>
          <c:marker>
            <c:symbol val="circle"/>
            <c:size val="8"/>
            <c:spPr>
              <a:solidFill>
                <a:srgbClr val="002060"/>
              </a:solidFill>
              <a:ln w="12700">
                <a:solidFill>
                  <a:srgbClr val="002060"/>
                </a:solidFill>
                <a:prstDash val="solid"/>
              </a:ln>
              <a:effectLst/>
            </c:spPr>
          </c:marker>
          <c:val>
            <c:numRef>
              <c:f>'25hike_IPIfar'!$G$2:$G$24</c:f>
              <c:numCache>
                <c:formatCode>0.00_ </c:formatCode>
                <c:ptCount val="23"/>
                <c:pt idx="0">
                  <c:v>0</c:v>
                </c:pt>
                <c:pt idx="1">
                  <c:v>-9.9999999999997789E-6</c:v>
                </c:pt>
                <c:pt idx="2">
                  <c:v>-9.9999999999977494E-6</c:v>
                </c:pt>
                <c:pt idx="3">
                  <c:v>-9.9999999999683675E-6</c:v>
                </c:pt>
                <c:pt idx="4">
                  <c:v>0.24999999999999997</c:v>
                </c:pt>
                <c:pt idx="5">
                  <c:v>0.25306540702103297</c:v>
                </c:pt>
                <c:pt idx="6">
                  <c:v>0.40107210422482914</c:v>
                </c:pt>
                <c:pt idx="7">
                  <c:v>0.48313701640321871</c:v>
                </c:pt>
                <c:pt idx="8">
                  <c:v>0.91876018484045097</c:v>
                </c:pt>
                <c:pt idx="9">
                  <c:v>0.88849797567709565</c:v>
                </c:pt>
                <c:pt idx="10">
                  <c:v>0.65699834258595669</c:v>
                </c:pt>
                <c:pt idx="11">
                  <c:v>0.451307475852739</c:v>
                </c:pt>
                <c:pt idx="12">
                  <c:v>0.34967084673366022</c:v>
                </c:pt>
                <c:pt idx="13">
                  <c:v>0.34071433778660848</c:v>
                </c:pt>
                <c:pt idx="14">
                  <c:v>0.38248917064427496</c:v>
                </c:pt>
                <c:pt idx="15">
                  <c:v>0.43622173887125676</c:v>
                </c:pt>
                <c:pt idx="16">
                  <c:v>0.47881760769203152</c:v>
                </c:pt>
                <c:pt idx="17">
                  <c:v>0.50267320831971152</c:v>
                </c:pt>
                <c:pt idx="18">
                  <c:v>0.51018529958432357</c:v>
                </c:pt>
                <c:pt idx="19">
                  <c:v>0.50777277513849495</c:v>
                </c:pt>
                <c:pt idx="20">
                  <c:v>0.50169171197189621</c:v>
                </c:pt>
                <c:pt idx="21">
                  <c:v>0.49608857705337717</c:v>
                </c:pt>
                <c:pt idx="22">
                  <c:v>0.49275809002105192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C13-404A-8FF1-78DEC7AF9CEA}"/>
            </c:ext>
          </c:extLst>
        </c:ser>
        <c:ser>
          <c:idx val="1"/>
          <c:order val="1"/>
          <c:tx>
            <c:strRef>
              <c:f>'25hike_IPIfar'!$C$1</c:f>
              <c:strCache>
                <c:ptCount val="1"/>
                <c:pt idx="0">
                  <c:v>需給ギャップ</c:v>
                </c:pt>
              </c:strCache>
            </c:strRef>
          </c:tx>
          <c:spPr>
            <a:ln w="19050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'25hike_IPIfar'!$A$2:$A$24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'25hike_IPIfar'!$C$2:$C$24</c:f>
              <c:numCache>
                <c:formatCode>0.00_ </c:formatCode>
                <c:ptCount val="23"/>
                <c:pt idx="0">
                  <c:v>0</c:v>
                </c:pt>
                <c:pt idx="1">
                  <c:v>3.1117072709414391E-2</c:v>
                </c:pt>
                <c:pt idx="2">
                  <c:v>8.3897235166905282E-2</c:v>
                </c:pt>
                <c:pt idx="3">
                  <c:v>0.15307479395180196</c:v>
                </c:pt>
                <c:pt idx="4">
                  <c:v>0.19213376074924216</c:v>
                </c:pt>
                <c:pt idx="5">
                  <c:v>0.22322451739157906</c:v>
                </c:pt>
                <c:pt idx="6">
                  <c:v>0.22887099969176919</c:v>
                </c:pt>
                <c:pt idx="7">
                  <c:v>0.21280601468807236</c:v>
                </c:pt>
                <c:pt idx="8">
                  <c:v>0.14815496726346006</c:v>
                </c:pt>
                <c:pt idx="9">
                  <c:v>5.8778020979009027E-2</c:v>
                </c:pt>
                <c:pt idx="10">
                  <c:v>-7.7606194970557263E-3</c:v>
                </c:pt>
                <c:pt idx="11">
                  <c:v>-3.269612001756339E-2</c:v>
                </c:pt>
                <c:pt idx="12">
                  <c:v>-2.3995942107822119E-2</c:v>
                </c:pt>
                <c:pt idx="13">
                  <c:v>2.6317984030693742E-4</c:v>
                </c:pt>
                <c:pt idx="14">
                  <c:v>2.4411746344000798E-2</c:v>
                </c:pt>
                <c:pt idx="15">
                  <c:v>4.0068255585448104E-2</c:v>
                </c:pt>
                <c:pt idx="16">
                  <c:v>4.5633972386490973E-2</c:v>
                </c:pt>
                <c:pt idx="17">
                  <c:v>4.3540926274869857E-2</c:v>
                </c:pt>
                <c:pt idx="18">
                  <c:v>3.7469262415608107E-2</c:v>
                </c:pt>
                <c:pt idx="19">
                  <c:v>3.0540678752002597E-2</c:v>
                </c:pt>
                <c:pt idx="20">
                  <c:v>2.4607141933938603E-2</c:v>
                </c:pt>
                <c:pt idx="21">
                  <c:v>2.0312100362260523E-2</c:v>
                </c:pt>
                <c:pt idx="22">
                  <c:v>1.7508064805281894E-2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C13-404A-8FF1-78DEC7AF9CEA}"/>
            </c:ext>
          </c:extLst>
        </c:ser>
        <c:ser>
          <c:idx val="6"/>
          <c:order val="2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'25hike_IPIfar'!$B$2:$B$24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C13-404A-8FF1-78DEC7AF9CEA}"/>
            </c:ext>
          </c:extLst>
        </c:ser>
        <c:ser>
          <c:idx val="2"/>
          <c:order val="3"/>
          <c:tx>
            <c:strRef>
              <c:f>'25hike_IPIfar'!$I$1</c:f>
              <c:strCache>
                <c:ptCount val="1"/>
                <c:pt idx="0">
                  <c:v>ターミナルレート</c:v>
                </c:pt>
              </c:strCache>
            </c:strRef>
          </c:tx>
          <c:spPr>
            <a:ln w="1270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'25hike_IPIfar'!$I$2:$I$24</c:f>
              <c:numCache>
                <c:formatCode>0.00_ </c:formatCode>
                <c:ptCount val="23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0.5</c:v>
                </c:pt>
                <c:pt idx="12">
                  <c:v>0.5</c:v>
                </c:pt>
                <c:pt idx="13">
                  <c:v>0.5</c:v>
                </c:pt>
                <c:pt idx="14">
                  <c:v>0.5</c:v>
                </c:pt>
                <c:pt idx="15">
                  <c:v>0.5</c:v>
                </c:pt>
                <c:pt idx="16">
                  <c:v>0.5</c:v>
                </c:pt>
                <c:pt idx="17">
                  <c:v>0.5</c:v>
                </c:pt>
                <c:pt idx="18">
                  <c:v>0.5</c:v>
                </c:pt>
                <c:pt idx="19">
                  <c:v>0.5</c:v>
                </c:pt>
                <c:pt idx="20">
                  <c:v>0.5</c:v>
                </c:pt>
                <c:pt idx="21">
                  <c:v>0.5</c:v>
                </c:pt>
                <c:pt idx="22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C13-404A-8FF1-78DEC7AF9C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480831"/>
        <c:axId val="344486591"/>
      </c:lineChart>
      <c:catAx>
        <c:axId val="34448083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6591"/>
        <c:crossesAt val="-100"/>
        <c:auto val="1"/>
        <c:lblAlgn val="ctr"/>
        <c:lblOffset val="100"/>
        <c:tickLblSkip val="4"/>
        <c:tickMarkSkip val="1"/>
        <c:noMultiLvlLbl val="0"/>
      </c:catAx>
      <c:valAx>
        <c:axId val="344486591"/>
        <c:scaling>
          <c:orientation val="minMax"/>
          <c:max val="1"/>
          <c:min val="-0.25"/>
        </c:scaling>
        <c:delete val="0"/>
        <c:axPos val="l"/>
        <c:numFmt formatCode="0.00_ " sourceLinked="0"/>
        <c:majorTickMark val="out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0831"/>
        <c:crosses val="autoZero"/>
        <c:crossBetween val="midCat"/>
        <c:majorUnit val="0.25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  <a:effectLst/>
      </c:spPr>
    </c:plotArea>
    <c:legend>
      <c:legendPos val="b"/>
      <c:legendEntry>
        <c:idx val="0"/>
        <c:delete val="1"/>
      </c:legendEntry>
      <c:legendEntry>
        <c:idx val="3"/>
        <c:delete val="1"/>
      </c:legendEntry>
      <c:legendEntry>
        <c:idx val="4"/>
        <c:delete val="1"/>
      </c:legendEntry>
      <c:layout>
        <c:manualLayout>
          <c:xMode val="edge"/>
          <c:yMode val="edge"/>
          <c:x val="0.53875220608697938"/>
          <c:y val="0.11763367814100763"/>
          <c:w val="0.4388255418582177"/>
          <c:h val="0.15985385709312802"/>
        </c:manualLayout>
      </c:layout>
      <c:overlay val="0"/>
      <c:spPr>
        <a:noFill/>
        <a:ln w="2540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rgbClr val="000000"/>
              </a:solidFill>
              <a:latin typeface="ＭＳ ゴシック"/>
              <a:ea typeface="ＭＳ ゴシック"/>
              <a:cs typeface="ＭＳ ゴシック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25400" cap="flat" cmpd="sng" algn="ctr">
      <a:noFill/>
      <a:round/>
    </a:ln>
    <a:effectLst/>
  </c:spPr>
  <c:txPr>
    <a:bodyPr/>
    <a:lstStyle/>
    <a:p>
      <a:pPr>
        <a:defRPr>
          <a:solidFill>
            <a:srgbClr val="000000"/>
          </a:solidFill>
          <a:latin typeface="ＭＳ ゴシック"/>
          <a:ea typeface="ＭＳ ゴシック"/>
          <a:cs typeface="ＭＳ ゴシック"/>
        </a:defRPr>
      </a:pPr>
      <a:endParaRPr lang="ja-JP"/>
    </a:p>
  </c:txPr>
  <c:printSettings>
    <c:headerFooter/>
    <c:pageMargins b="0.75" l="0.7" r="0.7" t="0.75" header="0.3" footer="0.3"/>
    <c:pageSetup/>
  </c:printSettings>
  <c:userShapes r:id="rId3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40233076776417"/>
          <c:y val="9.5123027297075252E-2"/>
          <c:w val="0.83208394199593816"/>
          <c:h val="0.81169163212805151"/>
        </c:manualLayout>
      </c:layout>
      <c:barChart>
        <c:barDir val="col"/>
        <c:grouping val="clustered"/>
        <c:varyColors val="0"/>
        <c:ser>
          <c:idx val="4"/>
          <c:order val="5"/>
          <c:tx>
            <c:strRef>
              <c:f>'25hike_IPIminus'!$J$1</c:f>
              <c:strCache>
                <c:ptCount val="1"/>
                <c:pt idx="0">
                  <c:v>縦軸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val>
            <c:numRef>
              <c:f>'25hike_IPIminus'!$J$2:$J$24</c:f>
              <c:numCache>
                <c:formatCode>0.00_ </c:formatCode>
                <c:ptCount val="23"/>
                <c:pt idx="0">
                  <c:v>-200</c:v>
                </c:pt>
                <c:pt idx="1">
                  <c:v>-200</c:v>
                </c:pt>
                <c:pt idx="2">
                  <c:v>-200</c:v>
                </c:pt>
                <c:pt idx="3">
                  <c:v>-200</c:v>
                </c:pt>
                <c:pt idx="4">
                  <c:v>100</c:v>
                </c:pt>
                <c:pt idx="5">
                  <c:v>-200</c:v>
                </c:pt>
                <c:pt idx="6">
                  <c:v>-200</c:v>
                </c:pt>
                <c:pt idx="7">
                  <c:v>-200</c:v>
                </c:pt>
                <c:pt idx="8">
                  <c:v>-200</c:v>
                </c:pt>
                <c:pt idx="9">
                  <c:v>-200</c:v>
                </c:pt>
                <c:pt idx="10">
                  <c:v>-200</c:v>
                </c:pt>
                <c:pt idx="11">
                  <c:v>-200</c:v>
                </c:pt>
                <c:pt idx="12">
                  <c:v>-200</c:v>
                </c:pt>
                <c:pt idx="13">
                  <c:v>-200</c:v>
                </c:pt>
                <c:pt idx="14">
                  <c:v>-200</c:v>
                </c:pt>
                <c:pt idx="15">
                  <c:v>-200</c:v>
                </c:pt>
                <c:pt idx="16">
                  <c:v>-200</c:v>
                </c:pt>
                <c:pt idx="17">
                  <c:v>-200</c:v>
                </c:pt>
                <c:pt idx="18">
                  <c:v>-200</c:v>
                </c:pt>
                <c:pt idx="19">
                  <c:v>-200</c:v>
                </c:pt>
                <c:pt idx="20">
                  <c:v>-200</c:v>
                </c:pt>
                <c:pt idx="21">
                  <c:v>-200</c:v>
                </c:pt>
                <c:pt idx="22">
                  <c:v>-200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AB-4566-BAEE-DA1A491104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axId val="344480831"/>
        <c:axId val="344486591"/>
      </c:barChart>
      <c:lineChart>
        <c:grouping val="standard"/>
        <c:varyColors val="0"/>
        <c:ser>
          <c:idx val="1"/>
          <c:order val="0"/>
          <c:tx>
            <c:strRef>
              <c:f>'25hike_IPIminus'!$D$1</c:f>
              <c:strCache>
                <c:ptCount val="1"/>
                <c:pt idx="0">
                  <c:v>インフレ率</c:v>
                </c:pt>
              </c:strCache>
            </c:strRef>
          </c:tx>
          <c:spPr>
            <a:ln w="25400" cap="rnd">
              <a:solidFill>
                <a:srgbClr val="00206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'25hike_IPIminus'!$A$2:$A$24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'25hike_IPIminus'!$D$2:$D$24</c:f>
              <c:numCache>
                <c:formatCode>0.00_ </c:formatCode>
                <c:ptCount val="23"/>
                <c:pt idx="0">
                  <c:v>1.5</c:v>
                </c:pt>
                <c:pt idx="1">
                  <c:v>1.6462433417342477</c:v>
                </c:pt>
                <c:pt idx="2">
                  <c:v>1.7657322218491545</c:v>
                </c:pt>
                <c:pt idx="3">
                  <c:v>1.8818733517853243</c:v>
                </c:pt>
                <c:pt idx="4">
                  <c:v>1.9703615215428429</c:v>
                </c:pt>
                <c:pt idx="5">
                  <c:v>1.3209255268300484</c:v>
                </c:pt>
                <c:pt idx="6">
                  <c:v>1.5623724270649422</c:v>
                </c:pt>
                <c:pt idx="7">
                  <c:v>1.8288931742156853</c:v>
                </c:pt>
                <c:pt idx="8">
                  <c:v>1.9971477995417157</c:v>
                </c:pt>
                <c:pt idx="9">
                  <c:v>2.0751100845377728</c:v>
                </c:pt>
                <c:pt idx="10">
                  <c:v>2.0939746293639665</c:v>
                </c:pt>
                <c:pt idx="11">
                  <c:v>2.0827282919571499</c:v>
                </c:pt>
                <c:pt idx="12">
                  <c:v>2.061901411596609</c:v>
                </c:pt>
                <c:pt idx="13">
                  <c:v>2.0429936125027144</c:v>
                </c:pt>
                <c:pt idx="14">
                  <c:v>2.0303364213771102</c:v>
                </c:pt>
                <c:pt idx="15">
                  <c:v>2.0238227240534075</c:v>
                </c:pt>
                <c:pt idx="16">
                  <c:v>2.0214173137048972</c:v>
                </c:pt>
                <c:pt idx="17">
                  <c:v>2.0208807966387252</c:v>
                </c:pt>
                <c:pt idx="18">
                  <c:v>2.0206181920187447</c:v>
                </c:pt>
                <c:pt idx="19">
                  <c:v>2.0198593041123925</c:v>
                </c:pt>
                <c:pt idx="20">
                  <c:v>2.0184717012430009</c:v>
                </c:pt>
                <c:pt idx="21">
                  <c:v>2.0166630445298441</c:v>
                </c:pt>
                <c:pt idx="22">
                  <c:v>2.0147287166359367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CAB-4566-BAEE-DA1A491104FA}"/>
            </c:ext>
          </c:extLst>
        </c:ser>
        <c:ser>
          <c:idx val="2"/>
          <c:order val="1"/>
          <c:tx>
            <c:strRef>
              <c:f>'25hike_IPIminus'!$E$1</c:f>
              <c:strCache>
                <c:ptCount val="1"/>
                <c:pt idx="0">
                  <c:v>期待インフレ率</c:v>
                </c:pt>
              </c:strCache>
            </c:strRef>
          </c:tx>
          <c:spPr>
            <a:ln w="19050" cap="rnd">
              <a:solidFill>
                <a:srgbClr val="00B05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'25hike_IPIminus'!$A$2:$A$24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'25hike_IPIminus'!$E$2:$E$24</c:f>
              <c:numCache>
                <c:formatCode>0.00_ </c:formatCode>
                <c:ptCount val="23"/>
                <c:pt idx="0">
                  <c:v>1.5</c:v>
                </c:pt>
                <c:pt idx="1">
                  <c:v>1.610677470400173</c:v>
                </c:pt>
                <c:pt idx="2">
                  <c:v>1.6866924362564863</c:v>
                </c:pt>
                <c:pt idx="3">
                  <c:v>1.7513251220551751</c:v>
                </c:pt>
                <c:pt idx="4">
                  <c:v>1.8098180846363439</c:v>
                </c:pt>
                <c:pt idx="5">
                  <c:v>1.6413263967302993</c:v>
                </c:pt>
                <c:pt idx="6">
                  <c:v>1.6438988334045699</c:v>
                </c:pt>
                <c:pt idx="7">
                  <c:v>1.7495875403713039</c:v>
                </c:pt>
                <c:pt idx="8">
                  <c:v>1.8318834457345783</c:v>
                </c:pt>
                <c:pt idx="9">
                  <c:v>1.8805034931074109</c:v>
                </c:pt>
                <c:pt idx="10">
                  <c:v>1.904682976170976</c:v>
                </c:pt>
                <c:pt idx="11">
                  <c:v>1.9151982706992607</c:v>
                </c:pt>
                <c:pt idx="12">
                  <c:v>1.9200850536235183</c:v>
                </c:pt>
                <c:pt idx="13">
                  <c:v>1.9240251777190338</c:v>
                </c:pt>
                <c:pt idx="14">
                  <c:v>1.928964012528583</c:v>
                </c:pt>
                <c:pt idx="15">
                  <c:v>1.9351138033819719</c:v>
                </c:pt>
                <c:pt idx="16">
                  <c:v>1.9418948603927413</c:v>
                </c:pt>
                <c:pt idx="17">
                  <c:v>1.9485940565118161</c:v>
                </c:pt>
                <c:pt idx="18">
                  <c:v>1.9547007079965297</c:v>
                </c:pt>
                <c:pt idx="19">
                  <c:v>1.9599910525196307</c:v>
                </c:pt>
                <c:pt idx="20">
                  <c:v>1.9644702871491733</c:v>
                </c:pt>
                <c:pt idx="21">
                  <c:v>1.9682675615612408</c:v>
                </c:pt>
                <c:pt idx="22">
                  <c:v>1.9715435619224089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CAB-4566-BAEE-DA1A491104FA}"/>
            </c:ext>
          </c:extLst>
        </c:ser>
        <c:ser>
          <c:idx val="3"/>
          <c:order val="2"/>
          <c:tx>
            <c:strRef>
              <c:f>'25hike_IPIminus'!$F$1</c:f>
              <c:strCache>
                <c:ptCount val="1"/>
                <c:pt idx="0">
                  <c:v>物価観</c:v>
                </c:pt>
              </c:strCache>
            </c:strRef>
          </c:tx>
          <c:spPr>
            <a:ln w="22225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'25hike_IPIminus'!$A$2:$A$24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'25hike_IPIminus'!$F$2:$F$24</c:f>
              <c:numCache>
                <c:formatCode>0.00_ </c:formatCode>
                <c:ptCount val="23"/>
                <c:pt idx="0">
                  <c:v>1.5</c:v>
                </c:pt>
                <c:pt idx="1">
                  <c:v>1.5131619007560824</c:v>
                </c:pt>
                <c:pt idx="2">
                  <c:v>1.5358932296544587</c:v>
                </c:pt>
                <c:pt idx="3">
                  <c:v>1.5670314406462367</c:v>
                </c:pt>
                <c:pt idx="4">
                  <c:v>1.6033311479269312</c:v>
                </c:pt>
                <c:pt idx="5">
                  <c:v>1.5779146420282117</c:v>
                </c:pt>
                <c:pt idx="6">
                  <c:v>1.5765158426815173</c:v>
                </c:pt>
                <c:pt idx="7">
                  <c:v>1.5992298025195926</c:v>
                </c:pt>
                <c:pt idx="8">
                  <c:v>1.6350424222515836</c:v>
                </c:pt>
                <c:pt idx="9">
                  <c:v>1.6746485118573406</c:v>
                </c:pt>
                <c:pt idx="10">
                  <c:v>1.7123878624329367</c:v>
                </c:pt>
                <c:pt idx="11">
                  <c:v>1.7457185010901162</c:v>
                </c:pt>
                <c:pt idx="12">
                  <c:v>1.7741749630357002</c:v>
                </c:pt>
                <c:pt idx="13">
                  <c:v>1.7983686414877316</c:v>
                </c:pt>
                <c:pt idx="14">
                  <c:v>1.8192457416777759</c:v>
                </c:pt>
                <c:pt idx="15">
                  <c:v>1.8376576700915825</c:v>
                </c:pt>
                <c:pt idx="16">
                  <c:v>1.8541960380167808</c:v>
                </c:pt>
                <c:pt idx="17">
                  <c:v>1.8691976662927561</c:v>
                </c:pt>
                <c:pt idx="18">
                  <c:v>1.8828255136080949</c:v>
                </c:pt>
                <c:pt idx="19">
                  <c:v>1.8951585547534817</c:v>
                </c:pt>
                <c:pt idx="20">
                  <c:v>1.9062567379375384</c:v>
                </c:pt>
                <c:pt idx="21">
                  <c:v>1.916193305530846</c:v>
                </c:pt>
                <c:pt idx="22">
                  <c:v>1.9250614925303042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CAB-4566-BAEE-DA1A491104FA}"/>
            </c:ext>
          </c:extLst>
        </c:ser>
        <c:ser>
          <c:idx val="6"/>
          <c:order val="3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'25hike_IPIminus'!$B$2:$B$24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CAB-4566-BAEE-DA1A491104FA}"/>
            </c:ext>
          </c:extLst>
        </c:ser>
        <c:ser>
          <c:idx val="0"/>
          <c:order val="4"/>
          <c:tx>
            <c:strRef>
              <c:f>'25hike_IPIminus'!$H$1</c:f>
              <c:strCache>
                <c:ptCount val="1"/>
                <c:pt idx="0">
                  <c:v>物価目標</c:v>
                </c:pt>
              </c:strCache>
            </c:strRef>
          </c:tx>
          <c:spPr>
            <a:ln w="1270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'25hike_IPIminus'!$H$2:$H$24</c:f>
              <c:numCache>
                <c:formatCode>0.00_ </c:formatCode>
                <c:ptCount val="2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CAB-4566-BAEE-DA1A491104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480831"/>
        <c:axId val="344486591"/>
      </c:lineChart>
      <c:catAx>
        <c:axId val="34448083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6591"/>
        <c:crossesAt val="-100"/>
        <c:auto val="1"/>
        <c:lblAlgn val="ctr"/>
        <c:lblOffset val="100"/>
        <c:tickLblSkip val="4"/>
        <c:tickMarkSkip val="1"/>
        <c:noMultiLvlLbl val="0"/>
      </c:catAx>
      <c:valAx>
        <c:axId val="344486591"/>
        <c:scaling>
          <c:orientation val="minMax"/>
          <c:max val="2.2000000000000002"/>
          <c:min val="1.2"/>
        </c:scaling>
        <c:delete val="0"/>
        <c:axPos val="l"/>
        <c:numFmt formatCode="0.0_ " sourceLinked="0"/>
        <c:majorTickMark val="out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0831"/>
        <c:crosses val="autoZero"/>
        <c:crossBetween val="midCat"/>
        <c:majorUnit val="0.2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  <a:effectLst/>
      </c:spPr>
    </c:plotArea>
    <c:legend>
      <c:legendPos val="b"/>
      <c:legendEntry>
        <c:idx val="0"/>
        <c:delete val="1"/>
      </c:legendEntry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0.4294121063677061"/>
          <c:y val="0.63981778098546271"/>
          <c:w val="0.51769993260237046"/>
          <c:h val="0.21690984576381592"/>
        </c:manualLayout>
      </c:layout>
      <c:overlay val="0"/>
      <c:spPr>
        <a:noFill/>
        <a:ln w="2540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rgbClr val="000000"/>
              </a:solidFill>
              <a:latin typeface="ＭＳ ゴシック"/>
              <a:ea typeface="ＭＳ ゴシック"/>
              <a:cs typeface="ＭＳ ゴシック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25400" cap="flat" cmpd="sng" algn="ctr">
      <a:noFill/>
      <a:round/>
    </a:ln>
    <a:effectLst/>
  </c:spPr>
  <c:txPr>
    <a:bodyPr/>
    <a:lstStyle/>
    <a:p>
      <a:pPr>
        <a:defRPr>
          <a:solidFill>
            <a:srgbClr val="000000"/>
          </a:solidFill>
          <a:latin typeface="ＭＳ ゴシック"/>
          <a:ea typeface="ＭＳ ゴシック"/>
          <a:cs typeface="ＭＳ ゴシック"/>
        </a:defRPr>
      </a:pPr>
      <a:endParaRPr lang="ja-JP"/>
    </a:p>
  </c:txPr>
  <c:printSettings>
    <c:headerFooter/>
    <c:pageMargins b="0.75" l="0.7" r="0.7" t="0.75" header="0.3" footer="0.3"/>
    <c:pageSetup/>
  </c:printSettings>
  <c:userShapes r:id="rId3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40233076776417"/>
          <c:y val="9.5123027297075252E-2"/>
          <c:w val="0.83208394199593816"/>
          <c:h val="0.81169163212805151"/>
        </c:manualLayout>
      </c:layout>
      <c:barChart>
        <c:barDir val="col"/>
        <c:grouping val="clustered"/>
        <c:varyColors val="0"/>
        <c:ser>
          <c:idx val="3"/>
          <c:order val="4"/>
          <c:tx>
            <c:strRef>
              <c:f>'25hike_IPIminus'!$J$1</c:f>
              <c:strCache>
                <c:ptCount val="1"/>
                <c:pt idx="0">
                  <c:v>縦軸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val>
            <c:numRef>
              <c:f>'25hike_IPIminus'!$J$2:$J$24</c:f>
              <c:numCache>
                <c:formatCode>0.00_ </c:formatCode>
                <c:ptCount val="23"/>
                <c:pt idx="0">
                  <c:v>-200</c:v>
                </c:pt>
                <c:pt idx="1">
                  <c:v>-200</c:v>
                </c:pt>
                <c:pt idx="2">
                  <c:v>-200</c:v>
                </c:pt>
                <c:pt idx="3">
                  <c:v>-200</c:v>
                </c:pt>
                <c:pt idx="4">
                  <c:v>100</c:v>
                </c:pt>
                <c:pt idx="5">
                  <c:v>-200</c:v>
                </c:pt>
                <c:pt idx="6">
                  <c:v>-200</c:v>
                </c:pt>
                <c:pt idx="7">
                  <c:v>-200</c:v>
                </c:pt>
                <c:pt idx="8">
                  <c:v>-200</c:v>
                </c:pt>
                <c:pt idx="9">
                  <c:v>-200</c:v>
                </c:pt>
                <c:pt idx="10">
                  <c:v>-200</c:v>
                </c:pt>
                <c:pt idx="11">
                  <c:v>-200</c:v>
                </c:pt>
                <c:pt idx="12">
                  <c:v>-200</c:v>
                </c:pt>
                <c:pt idx="13">
                  <c:v>-200</c:v>
                </c:pt>
                <c:pt idx="14">
                  <c:v>-200</c:v>
                </c:pt>
                <c:pt idx="15">
                  <c:v>-200</c:v>
                </c:pt>
                <c:pt idx="16">
                  <c:v>-200</c:v>
                </c:pt>
                <c:pt idx="17">
                  <c:v>-200</c:v>
                </c:pt>
                <c:pt idx="18">
                  <c:v>-200</c:v>
                </c:pt>
                <c:pt idx="19">
                  <c:v>-200</c:v>
                </c:pt>
                <c:pt idx="20">
                  <c:v>-200</c:v>
                </c:pt>
                <c:pt idx="21">
                  <c:v>-200</c:v>
                </c:pt>
                <c:pt idx="22">
                  <c:v>-200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B7-430F-8EE0-B6E68C928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axId val="344480831"/>
        <c:axId val="344486591"/>
      </c:barChart>
      <c:lineChart>
        <c:grouping val="standard"/>
        <c:varyColors val="0"/>
        <c:ser>
          <c:idx val="0"/>
          <c:order val="0"/>
          <c:tx>
            <c:strRef>
              <c:f>'25hike_IPIminus'!$G$1</c:f>
              <c:strCache>
                <c:ptCount val="1"/>
                <c:pt idx="0">
                  <c:v>名目金利</c:v>
                </c:pt>
              </c:strCache>
            </c:strRef>
          </c:tx>
          <c:spPr>
            <a:ln w="25400" cap="rnd">
              <a:solidFill>
                <a:srgbClr val="002060"/>
              </a:solidFill>
              <a:prstDash val="solid"/>
              <a:round/>
            </a:ln>
            <a:effectLst/>
          </c:spPr>
          <c:marker>
            <c:symbol val="circle"/>
            <c:size val="8"/>
            <c:spPr>
              <a:solidFill>
                <a:srgbClr val="002060"/>
              </a:solidFill>
              <a:ln w="12700">
                <a:solidFill>
                  <a:srgbClr val="002060"/>
                </a:solidFill>
                <a:prstDash val="solid"/>
              </a:ln>
              <a:effectLst/>
            </c:spPr>
          </c:marker>
          <c:val>
            <c:numRef>
              <c:f>'25hike_IPIminus'!$G$2:$G$24</c:f>
              <c:numCache>
                <c:formatCode>0.00_ </c:formatCode>
                <c:ptCount val="23"/>
                <c:pt idx="0">
                  <c:v>0</c:v>
                </c:pt>
                <c:pt idx="1">
                  <c:v>-9.9999999999997789E-6</c:v>
                </c:pt>
                <c:pt idx="2">
                  <c:v>-9.9999999999977494E-6</c:v>
                </c:pt>
                <c:pt idx="3">
                  <c:v>-9.9999999999683675E-6</c:v>
                </c:pt>
                <c:pt idx="4">
                  <c:v>0.24999999999999997</c:v>
                </c:pt>
                <c:pt idx="5">
                  <c:v>3.0654070210329731E-3</c:v>
                </c:pt>
                <c:pt idx="6">
                  <c:v>0.15107210422482914</c:v>
                </c:pt>
                <c:pt idx="7">
                  <c:v>0.23313701640321874</c:v>
                </c:pt>
                <c:pt idx="8">
                  <c:v>0.283864357392282</c:v>
                </c:pt>
                <c:pt idx="9">
                  <c:v>0.45474412829806121</c:v>
                </c:pt>
                <c:pt idx="10">
                  <c:v>0.53374543315575573</c:v>
                </c:pt>
                <c:pt idx="11">
                  <c:v>0.54404904084351402</c:v>
                </c:pt>
                <c:pt idx="12">
                  <c:v>0.51973857189515371</c:v>
                </c:pt>
                <c:pt idx="13">
                  <c:v>0.48838636505355276</c:v>
                </c:pt>
                <c:pt idx="14">
                  <c:v>0.46530048145898567</c:v>
                </c:pt>
                <c:pt idx="15">
                  <c:v>0.45493325089141295</c:v>
                </c:pt>
                <c:pt idx="16">
                  <c:v>0.45512761329380669</c:v>
                </c:pt>
                <c:pt idx="17">
                  <c:v>0.46129675983040147</c:v>
                </c:pt>
                <c:pt idx="18">
                  <c:v>0.46920363844180679</c:v>
                </c:pt>
                <c:pt idx="19">
                  <c:v>0.47616858001614032</c:v>
                </c:pt>
                <c:pt idx="20">
                  <c:v>0.48113600321225286</c:v>
                </c:pt>
                <c:pt idx="21">
                  <c:v>0.48417650633701925</c:v>
                </c:pt>
                <c:pt idx="22">
                  <c:v>0.48588224492925963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AB7-430F-8EE0-B6E68C9286DB}"/>
            </c:ext>
          </c:extLst>
        </c:ser>
        <c:ser>
          <c:idx val="1"/>
          <c:order val="1"/>
          <c:tx>
            <c:strRef>
              <c:f>'25hike_IPIminus'!$C$1</c:f>
              <c:strCache>
                <c:ptCount val="1"/>
                <c:pt idx="0">
                  <c:v>需給ギャップ</c:v>
                </c:pt>
              </c:strCache>
            </c:strRef>
          </c:tx>
          <c:spPr>
            <a:ln w="19050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'25hike_IPIminus'!$A$2:$A$24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'25hike_IPIminus'!$C$2:$C$24</c:f>
              <c:numCache>
                <c:formatCode>0.00_ </c:formatCode>
                <c:ptCount val="23"/>
                <c:pt idx="0">
                  <c:v>0</c:v>
                </c:pt>
                <c:pt idx="1">
                  <c:v>3.1117072709414391E-2</c:v>
                </c:pt>
                <c:pt idx="2">
                  <c:v>8.3897235166905282E-2</c:v>
                </c:pt>
                <c:pt idx="3">
                  <c:v>0.15307479395180196</c:v>
                </c:pt>
                <c:pt idx="4">
                  <c:v>0.19213376074924216</c:v>
                </c:pt>
                <c:pt idx="5">
                  <c:v>0.22468439304038165</c:v>
                </c:pt>
                <c:pt idx="6">
                  <c:v>0.24673234087754908</c:v>
                </c:pt>
                <c:pt idx="7">
                  <c:v>0.26416632905123949</c:v>
                </c:pt>
                <c:pt idx="8">
                  <c:v>0.27897277730489284</c:v>
                </c:pt>
                <c:pt idx="9">
                  <c:v>0.26788651896762017</c:v>
                </c:pt>
                <c:pt idx="10">
                  <c:v>0.23587928482101217</c:v>
                </c:pt>
                <c:pt idx="11">
                  <c:v>0.19597949276400484</c:v>
                </c:pt>
                <c:pt idx="12">
                  <c:v>0.15898595463673526</c:v>
                </c:pt>
                <c:pt idx="13">
                  <c:v>0.13025510608844248</c:v>
                </c:pt>
                <c:pt idx="14">
                  <c:v>0.11039861744460239</c:v>
                </c:pt>
                <c:pt idx="15">
                  <c:v>9.7368128153493133E-2</c:v>
                </c:pt>
                <c:pt idx="16">
                  <c:v>8.8406572247935078E-2</c:v>
                </c:pt>
                <c:pt idx="17">
                  <c:v>8.1249641864073047E-2</c:v>
                </c:pt>
                <c:pt idx="18">
                  <c:v>7.4557088075253949E-2</c:v>
                </c:pt>
                <c:pt idx="19">
                  <c:v>6.7827489515417241E-2</c:v>
                </c:pt>
                <c:pt idx="20">
                  <c:v>6.1090677102048088E-2</c:v>
                </c:pt>
                <c:pt idx="21">
                  <c:v>5.4592477336137951E-2</c:v>
                </c:pt>
                <c:pt idx="22">
                  <c:v>4.8577433235488063E-2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AB7-430F-8EE0-B6E68C9286DB}"/>
            </c:ext>
          </c:extLst>
        </c:ser>
        <c:ser>
          <c:idx val="6"/>
          <c:order val="2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'25hike_IPIminus'!$B$2:$B$24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AB7-430F-8EE0-B6E68C9286DB}"/>
            </c:ext>
          </c:extLst>
        </c:ser>
        <c:ser>
          <c:idx val="2"/>
          <c:order val="3"/>
          <c:tx>
            <c:strRef>
              <c:f>'25hike_IPIminus'!$I$1</c:f>
              <c:strCache>
                <c:ptCount val="1"/>
                <c:pt idx="0">
                  <c:v>ターミナルレート</c:v>
                </c:pt>
              </c:strCache>
            </c:strRef>
          </c:tx>
          <c:spPr>
            <a:ln w="1270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'25hike_IPIminus'!$I$2:$I$24</c:f>
              <c:numCache>
                <c:formatCode>0.00_ </c:formatCode>
                <c:ptCount val="23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0.5</c:v>
                </c:pt>
                <c:pt idx="12">
                  <c:v>0.5</c:v>
                </c:pt>
                <c:pt idx="13">
                  <c:v>0.5</c:v>
                </c:pt>
                <c:pt idx="14">
                  <c:v>0.5</c:v>
                </c:pt>
                <c:pt idx="15">
                  <c:v>0.5</c:v>
                </c:pt>
                <c:pt idx="16">
                  <c:v>0.5</c:v>
                </c:pt>
                <c:pt idx="17">
                  <c:v>0.5</c:v>
                </c:pt>
                <c:pt idx="18">
                  <c:v>0.5</c:v>
                </c:pt>
                <c:pt idx="19">
                  <c:v>0.5</c:v>
                </c:pt>
                <c:pt idx="20">
                  <c:v>0.5</c:v>
                </c:pt>
                <c:pt idx="21">
                  <c:v>0.5</c:v>
                </c:pt>
                <c:pt idx="22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AB7-430F-8EE0-B6E68C928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480831"/>
        <c:axId val="344486591"/>
      </c:lineChart>
      <c:catAx>
        <c:axId val="34448083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6591"/>
        <c:crossesAt val="-100"/>
        <c:auto val="1"/>
        <c:lblAlgn val="ctr"/>
        <c:lblOffset val="100"/>
        <c:tickLblSkip val="4"/>
        <c:tickMarkSkip val="1"/>
        <c:noMultiLvlLbl val="0"/>
      </c:catAx>
      <c:valAx>
        <c:axId val="344486591"/>
        <c:scaling>
          <c:orientation val="minMax"/>
          <c:max val="1"/>
          <c:min val="-0.25"/>
        </c:scaling>
        <c:delete val="0"/>
        <c:axPos val="l"/>
        <c:numFmt formatCode="0.00_ " sourceLinked="0"/>
        <c:majorTickMark val="out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0831"/>
        <c:crosses val="autoZero"/>
        <c:crossBetween val="midCat"/>
        <c:majorUnit val="0.25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  <a:effectLst/>
      </c:spPr>
    </c:plotArea>
    <c:legend>
      <c:legendPos val="b"/>
      <c:legendEntry>
        <c:idx val="0"/>
        <c:delete val="1"/>
      </c:legendEntry>
      <c:legendEntry>
        <c:idx val="3"/>
        <c:delete val="1"/>
      </c:legendEntry>
      <c:legendEntry>
        <c:idx val="4"/>
        <c:delete val="1"/>
      </c:legendEntry>
      <c:layout>
        <c:manualLayout>
          <c:xMode val="edge"/>
          <c:yMode val="edge"/>
          <c:x val="0.53314664307327864"/>
          <c:y val="0.11763367814100763"/>
          <c:w val="0.4388255418582177"/>
          <c:h val="0.15985385709312802"/>
        </c:manualLayout>
      </c:layout>
      <c:overlay val="0"/>
      <c:spPr>
        <a:noFill/>
        <a:ln w="2540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rgbClr val="000000"/>
              </a:solidFill>
              <a:latin typeface="ＭＳ ゴシック"/>
              <a:ea typeface="ＭＳ ゴシック"/>
              <a:cs typeface="ＭＳ ゴシック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25400" cap="flat" cmpd="sng" algn="ctr">
      <a:noFill/>
      <a:round/>
    </a:ln>
    <a:effectLst/>
  </c:spPr>
  <c:txPr>
    <a:bodyPr/>
    <a:lstStyle/>
    <a:p>
      <a:pPr>
        <a:defRPr>
          <a:solidFill>
            <a:srgbClr val="000000"/>
          </a:solidFill>
          <a:latin typeface="ＭＳ ゴシック"/>
          <a:ea typeface="ＭＳ ゴシック"/>
          <a:cs typeface="ＭＳ ゴシック"/>
        </a:defRPr>
      </a:pPr>
      <a:endParaRPr lang="ja-JP"/>
    </a:p>
  </c:txPr>
  <c:printSettings>
    <c:headerFooter/>
    <c:pageMargins b="0.75" l="0.7" r="0.7" t="0.75" header="0.3" footer="0.3"/>
    <c:pageSetup/>
  </c:printSettings>
  <c:userShapes r:id="rId3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40233076776417"/>
          <c:y val="9.5123027297075252E-2"/>
          <c:w val="0.83208394199593816"/>
          <c:h val="0.81169163212805151"/>
        </c:manualLayout>
      </c:layout>
      <c:lineChart>
        <c:grouping val="standard"/>
        <c:varyColors val="0"/>
        <c:ser>
          <c:idx val="1"/>
          <c:order val="0"/>
          <c:tx>
            <c:strRef>
              <c:f>IPI_plus!$D$1</c:f>
              <c:strCache>
                <c:ptCount val="1"/>
                <c:pt idx="0">
                  <c:v>インフレ率</c:v>
                </c:pt>
              </c:strCache>
            </c:strRef>
          </c:tx>
          <c:spPr>
            <a:ln w="25400" cap="rnd">
              <a:solidFill>
                <a:srgbClr val="00206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IPI_plus!$A$2:$A$24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IPI_plus!$D$2:$D$24</c:f>
              <c:numCache>
                <c:formatCode>0.00_ </c:formatCode>
                <c:ptCount val="23"/>
                <c:pt idx="0">
                  <c:v>0.65625080807157132</c:v>
                </c:pt>
                <c:pt idx="1">
                  <c:v>0.41013335301948989</c:v>
                </c:pt>
                <c:pt idx="2">
                  <c:v>0.14457930195397314</c:v>
                </c:pt>
                <c:pt idx="3">
                  <c:v>-2.5890164008792096E-3</c:v>
                </c:pt>
                <c:pt idx="4">
                  <c:v>-5.4563492579120881E-2</c:v>
                </c:pt>
                <c:pt idx="5">
                  <c:v>-5.4591992813280373E-2</c:v>
                </c:pt>
                <c:pt idx="6">
                  <c:v>-3.5475939000497149E-2</c:v>
                </c:pt>
                <c:pt idx="7">
                  <c:v>-1.5869951089005439E-2</c:v>
                </c:pt>
                <c:pt idx="8">
                  <c:v>-3.2524343880147278E-3</c:v>
                </c:pt>
                <c:pt idx="9">
                  <c:v>1.7518554605043828E-3</c:v>
                </c:pt>
                <c:pt idx="10">
                  <c:v>1.5744231256228178E-3</c:v>
                </c:pt>
                <c:pt idx="11">
                  <c:v>-8.5811618174635952E-4</c:v>
                </c:pt>
                <c:pt idx="12">
                  <c:v>-3.4004816267181178E-3</c:v>
                </c:pt>
                <c:pt idx="13">
                  <c:v>-5.0006612068398699E-3</c:v>
                </c:pt>
                <c:pt idx="14">
                  <c:v>-5.4769483751220633E-3</c:v>
                </c:pt>
                <c:pt idx="15">
                  <c:v>-5.1228659841476712E-3</c:v>
                </c:pt>
                <c:pt idx="16">
                  <c:v>-4.3624051666618317E-3</c:v>
                </c:pt>
                <c:pt idx="17">
                  <c:v>-3.5427377459996507E-3</c:v>
                </c:pt>
                <c:pt idx="18">
                  <c:v>-2.8603168904288078E-3</c:v>
                </c:pt>
                <c:pt idx="19">
                  <c:v>-2.3747202528096611E-3</c:v>
                </c:pt>
                <c:pt idx="20">
                  <c:v>-2.0598440516951593E-3</c:v>
                </c:pt>
                <c:pt idx="21">
                  <c:v>-1.8562562150509761E-3</c:v>
                </c:pt>
                <c:pt idx="22">
                  <c:v>-1.7070757413202775E-3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517-4F80-8334-9E6356DD779B}"/>
            </c:ext>
          </c:extLst>
        </c:ser>
        <c:ser>
          <c:idx val="2"/>
          <c:order val="1"/>
          <c:tx>
            <c:strRef>
              <c:f>IPI_plus!$E$1</c:f>
              <c:strCache>
                <c:ptCount val="1"/>
                <c:pt idx="0">
                  <c:v>期待インフレ率</c:v>
                </c:pt>
              </c:strCache>
            </c:strRef>
          </c:tx>
          <c:spPr>
            <a:ln w="19050" cap="rnd">
              <a:solidFill>
                <a:srgbClr val="00B05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IPI_plus!$A$2:$A$24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IPI_plus!$E$2:$E$24</c:f>
              <c:numCache>
                <c:formatCode>0.00_ </c:formatCode>
                <c:ptCount val="23"/>
                <c:pt idx="0">
                  <c:v>0.17082054153261755</c:v>
                </c:pt>
                <c:pt idx="1">
                  <c:v>0.18425852575147778</c:v>
                </c:pt>
                <c:pt idx="2">
                  <c:v>9.9742329392002949E-2</c:v>
                </c:pt>
                <c:pt idx="3">
                  <c:v>4.0365555210367943E-2</c:v>
                </c:pt>
                <c:pt idx="4">
                  <c:v>1.4451034722849481E-2</c:v>
                </c:pt>
                <c:pt idx="5">
                  <c:v>9.1059793490889662E-3</c:v>
                </c:pt>
                <c:pt idx="6">
                  <c:v>1.2251730814821339E-2</c:v>
                </c:pt>
                <c:pt idx="7">
                  <c:v>1.6555708039712562E-2</c:v>
                </c:pt>
                <c:pt idx="8">
                  <c:v>1.8870870403491426E-2</c:v>
                </c:pt>
                <c:pt idx="9">
                  <c:v>1.8715749239434674E-2</c:v>
                </c:pt>
                <c:pt idx="10">
                  <c:v>1.6852280691061497E-2</c:v>
                </c:pt>
                <c:pt idx="11">
                  <c:v>1.4302975052693219E-2</c:v>
                </c:pt>
                <c:pt idx="12">
                  <c:v>1.1844659862312298E-2</c:v>
                </c:pt>
                <c:pt idx="13">
                  <c:v>9.8672079079105135E-3</c:v>
                </c:pt>
                <c:pt idx="14">
                  <c:v>8.4402968662341416E-3</c:v>
                </c:pt>
                <c:pt idx="15">
                  <c:v>7.4527363049500962E-3</c:v>
                </c:pt>
                <c:pt idx="16">
                  <c:v>6.7391616997485608E-3</c:v>
                </c:pt>
                <c:pt idx="17">
                  <c:v>6.1587771029672196E-3</c:v>
                </c:pt>
                <c:pt idx="18">
                  <c:v>5.6253569148200415E-3</c:v>
                </c:pt>
                <c:pt idx="19">
                  <c:v>5.1041452468584061E-3</c:v>
                </c:pt>
                <c:pt idx="20">
                  <c:v>4.5939287612843773E-3</c:v>
                </c:pt>
                <c:pt idx="21">
                  <c:v>4.1078349669337842E-3</c:v>
                </c:pt>
                <c:pt idx="22">
                  <c:v>3.6597371400077443E-3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517-4F80-8334-9E6356DD779B}"/>
            </c:ext>
          </c:extLst>
        </c:ser>
        <c:ser>
          <c:idx val="3"/>
          <c:order val="2"/>
          <c:tx>
            <c:strRef>
              <c:f>IPI_plus!$F$1</c:f>
              <c:strCache>
                <c:ptCount val="1"/>
                <c:pt idx="0">
                  <c:v>物価観</c:v>
                </c:pt>
              </c:strCache>
            </c:strRef>
          </c:tx>
          <c:spPr>
            <a:ln w="22225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IPI_plus!$A$2:$A$24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IPI_plus!$F$2:$F$24</c:f>
              <c:numCache>
                <c:formatCode>0.00_ </c:formatCode>
                <c:ptCount val="23"/>
                <c:pt idx="0">
                  <c:v>5.9062572726441401E-2</c:v>
                </c:pt>
                <c:pt idx="1">
                  <c:v>9.0658942952815749E-2</c:v>
                </c:pt>
                <c:pt idx="2">
                  <c:v>9.5511775262920012E-2</c:v>
                </c:pt>
                <c:pt idx="3">
                  <c:v>8.6682704013178027E-2</c:v>
                </c:pt>
                <c:pt idx="4">
                  <c:v>7.3970546319871114E-2</c:v>
                </c:pt>
                <c:pt idx="5">
                  <c:v>6.2399917797887471E-2</c:v>
                </c:pt>
                <c:pt idx="6">
                  <c:v>5.3591090686032919E-2</c:v>
                </c:pt>
                <c:pt idx="7">
                  <c:v>4.7339596926279495E-2</c:v>
                </c:pt>
                <c:pt idx="8">
                  <c:v>4.2786314107992988E-2</c:v>
                </c:pt>
                <c:pt idx="9">
                  <c:v>3.9093212829719025E-2</c:v>
                </c:pt>
                <c:pt idx="10">
                  <c:v>3.5716521756350386E-2</c:v>
                </c:pt>
                <c:pt idx="11">
                  <c:v>3.2424804341921694E-2</c:v>
                </c:pt>
                <c:pt idx="12">
                  <c:v>2.9200528604744116E-2</c:v>
                </c:pt>
                <c:pt idx="13">
                  <c:v>2.6122421521701571E-2</c:v>
                </c:pt>
                <c:pt idx="14">
                  <c:v>2.3278478230987453E-2</c:v>
                </c:pt>
                <c:pt idx="15">
                  <c:v>2.0722357251625283E-2</c:v>
                </c:pt>
                <c:pt idx="16">
                  <c:v>1.8464728633979445E-2</c:v>
                </c:pt>
                <c:pt idx="17">
                  <c:v>1.6484056659781334E-2</c:v>
                </c:pt>
                <c:pt idx="18">
                  <c:v>1.4743063040262424E-2</c:v>
                </c:pt>
                <c:pt idx="19">
                  <c:v>1.3202462543885938E-2</c:v>
                </c:pt>
                <c:pt idx="20">
                  <c:v>1.1828854950283631E-2</c:v>
                </c:pt>
                <c:pt idx="21">
                  <c:v>1.0597194945403515E-2</c:v>
                </c:pt>
                <c:pt idx="22">
                  <c:v>9.4898105835983688E-3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517-4F80-8334-9E6356DD779B}"/>
            </c:ext>
          </c:extLst>
        </c:ser>
        <c:ser>
          <c:idx val="6"/>
          <c:order val="3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IPI_plus!$B$2:$B$24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517-4F80-8334-9E6356DD77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44480831"/>
        <c:axId val="344486591"/>
      </c:lineChart>
      <c:catAx>
        <c:axId val="34448083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6591"/>
        <c:crossesAt val="-100"/>
        <c:auto val="1"/>
        <c:lblAlgn val="ctr"/>
        <c:lblOffset val="100"/>
        <c:tickLblSkip val="4"/>
        <c:tickMarkSkip val="1"/>
        <c:noMultiLvlLbl val="0"/>
      </c:catAx>
      <c:valAx>
        <c:axId val="344486591"/>
        <c:scaling>
          <c:orientation val="minMax"/>
          <c:max val="0.8"/>
          <c:min val="-0.2"/>
        </c:scaling>
        <c:delete val="0"/>
        <c:axPos val="l"/>
        <c:numFmt formatCode="0.0_ " sourceLinked="0"/>
        <c:majorTickMark val="out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0831"/>
        <c:crosses val="autoZero"/>
        <c:crossBetween val="midCat"/>
        <c:majorUnit val="0.1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  <a:effectLst/>
      </c:spPr>
    </c:plotArea>
    <c:legend>
      <c:legendPos val="b"/>
      <c:legendEntry>
        <c:idx val="3"/>
        <c:delete val="1"/>
      </c:legendEntry>
      <c:layout>
        <c:manualLayout>
          <c:xMode val="edge"/>
          <c:yMode val="edge"/>
          <c:x val="0.42384495257508259"/>
          <c:y val="0.15739884889130873"/>
          <c:w val="0.51769993260237046"/>
          <c:h val="0.21690984576381592"/>
        </c:manualLayout>
      </c:layout>
      <c:overlay val="0"/>
      <c:spPr>
        <a:noFill/>
        <a:ln w="2540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rgbClr val="000000"/>
              </a:solidFill>
              <a:latin typeface="ＭＳ ゴシック"/>
              <a:ea typeface="ＭＳ ゴシック"/>
              <a:cs typeface="ＭＳ ゴシック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25400" cap="flat" cmpd="sng" algn="ctr">
      <a:noFill/>
      <a:round/>
    </a:ln>
    <a:effectLst/>
  </c:spPr>
  <c:txPr>
    <a:bodyPr/>
    <a:lstStyle/>
    <a:p>
      <a:pPr>
        <a:defRPr>
          <a:solidFill>
            <a:srgbClr val="000000"/>
          </a:solidFill>
          <a:latin typeface="ＭＳ ゴシック"/>
          <a:ea typeface="ＭＳ ゴシック"/>
          <a:cs typeface="ＭＳ ゴシック"/>
        </a:defRPr>
      </a:pPr>
      <a:endParaRPr lang="ja-JP"/>
    </a:p>
  </c:txPr>
  <c:printSettings>
    <c:headerFooter/>
    <c:pageMargins b="0.75" l="0.7" r="0.7" t="0.75" header="0.3" footer="0.3"/>
    <c:pageSetup/>
  </c:printSettings>
  <c:userShapes r:id="rId3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40233076776417"/>
          <c:y val="9.5123027297075252E-2"/>
          <c:w val="0.83208394199593816"/>
          <c:h val="0.81169163212805151"/>
        </c:manualLayout>
      </c:layout>
      <c:lineChart>
        <c:grouping val="standard"/>
        <c:varyColors val="0"/>
        <c:ser>
          <c:idx val="0"/>
          <c:order val="0"/>
          <c:tx>
            <c:strRef>
              <c:f>IPI_plus!$G$1</c:f>
              <c:strCache>
                <c:ptCount val="1"/>
                <c:pt idx="0">
                  <c:v>名目金利</c:v>
                </c:pt>
              </c:strCache>
            </c:strRef>
          </c:tx>
          <c:spPr>
            <a:ln w="25400" cap="rnd">
              <a:solidFill>
                <a:srgbClr val="002060"/>
              </a:solidFill>
              <a:prstDash val="solid"/>
              <a:round/>
            </a:ln>
            <a:effectLst/>
          </c:spPr>
          <c:marker>
            <c:symbol val="circle"/>
            <c:size val="8"/>
            <c:spPr>
              <a:solidFill>
                <a:srgbClr val="002060"/>
              </a:solidFill>
              <a:ln w="12700">
                <a:solidFill>
                  <a:srgbClr val="002060"/>
                </a:solidFill>
                <a:prstDash val="solid"/>
              </a:ln>
              <a:effectLst/>
            </c:spPr>
          </c:marker>
          <c:val>
            <c:numRef>
              <c:f>IPI_plus!$G$2:$G$24</c:f>
              <c:numCache>
                <c:formatCode>0.00_ </c:formatCode>
                <c:ptCount val="23"/>
                <c:pt idx="0">
                  <c:v>0.40805396893306661</c:v>
                </c:pt>
                <c:pt idx="1">
                  <c:v>0.38290353213092337</c:v>
                </c:pt>
                <c:pt idx="2">
                  <c:v>0.16872947519362499</c:v>
                </c:pt>
                <c:pt idx="3">
                  <c:v>-2.086690996142173E-2</c:v>
                </c:pt>
                <c:pt idx="4">
                  <c:v>-0.11346601481014067</c:v>
                </c:pt>
                <c:pt idx="5">
                  <c:v>-0.12078391417337897</c:v>
                </c:pt>
                <c:pt idx="6">
                  <c:v>-8.240855096118517E-2</c:v>
                </c:pt>
                <c:pt idx="7">
                  <c:v>-3.4246887061753897E-2</c:v>
                </c:pt>
                <c:pt idx="8">
                  <c:v>2.7708064959456832E-3</c:v>
                </c:pt>
                <c:pt idx="9">
                  <c:v>2.2156979795872188E-2</c:v>
                </c:pt>
                <c:pt idx="10">
                  <c:v>2.6553517127352644E-2</c:v>
                </c:pt>
                <c:pt idx="11">
                  <c:v>2.2122099642371312E-2</c:v>
                </c:pt>
                <c:pt idx="12">
                  <c:v>1.4699013118273895E-2</c:v>
                </c:pt>
                <c:pt idx="13">
                  <c:v>8.0638431016074701E-3</c:v>
                </c:pt>
                <c:pt idx="14">
                  <c:v>3.7835054614166457E-3</c:v>
                </c:pt>
                <c:pt idx="15">
                  <c:v>1.8582257451393441E-3</c:v>
                </c:pt>
                <c:pt idx="16">
                  <c:v>1.5393598260196207E-3</c:v>
                </c:pt>
                <c:pt idx="17">
                  <c:v>1.9629475630356537E-3</c:v>
                </c:pt>
                <c:pt idx="18">
                  <c:v>2.4893408754004774E-3</c:v>
                </c:pt>
                <c:pt idx="19">
                  <c:v>2.7922937612433929E-3</c:v>
                </c:pt>
                <c:pt idx="20">
                  <c:v>2.7996789115449878E-3</c:v>
                </c:pt>
                <c:pt idx="21">
                  <c:v>2.582762783601152E-3</c:v>
                </c:pt>
                <c:pt idx="22">
                  <c:v>2.2569535050618499E-3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8A8-470C-B130-E452DDFEA910}"/>
            </c:ext>
          </c:extLst>
        </c:ser>
        <c:ser>
          <c:idx val="1"/>
          <c:order val="1"/>
          <c:tx>
            <c:strRef>
              <c:f>IPI_plus!$C$1</c:f>
              <c:strCache>
                <c:ptCount val="1"/>
                <c:pt idx="0">
                  <c:v>需給ギャップ</c:v>
                </c:pt>
              </c:strCache>
            </c:strRef>
          </c:tx>
          <c:spPr>
            <a:ln w="19050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IPI_plus!$A$2:$A$24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IPI_plus!$C$2:$C$24</c:f>
              <c:numCache>
                <c:formatCode>0.00_ </c:formatCode>
                <c:ptCount val="23"/>
                <c:pt idx="0">
                  <c:v>-3.7299240530264788E-2</c:v>
                </c:pt>
                <c:pt idx="1">
                  <c:v>-9.754750850567756E-2</c:v>
                </c:pt>
                <c:pt idx="2">
                  <c:v>-0.1389094117450404</c:v>
                </c:pt>
                <c:pt idx="3">
                  <c:v>-0.14457332850960189</c:v>
                </c:pt>
                <c:pt idx="4">
                  <c:v>-0.12195975133164232</c:v>
                </c:pt>
                <c:pt idx="5">
                  <c:v>-8.7535191966035042E-2</c:v>
                </c:pt>
                <c:pt idx="6">
                  <c:v>-5.5333760481306948E-2</c:v>
                </c:pt>
                <c:pt idx="7">
                  <c:v>-3.2584244125130168E-2</c:v>
                </c:pt>
                <c:pt idx="8">
                  <c:v>-2.0304410128780936E-2</c:v>
                </c:pt>
                <c:pt idx="9">
                  <c:v>-1.5913057423773254E-2</c:v>
                </c:pt>
                <c:pt idx="10">
                  <c:v>-1.5808708685600373E-2</c:v>
                </c:pt>
                <c:pt idx="11">
                  <c:v>-1.7007701534536502E-2</c:v>
                </c:pt>
                <c:pt idx="12">
                  <c:v>-1.7758388639490041E-2</c:v>
                </c:pt>
                <c:pt idx="13">
                  <c:v>-1.7448155786083244E-2</c:v>
                </c:pt>
                <c:pt idx="14">
                  <c:v>-1.6195284154283923E-2</c:v>
                </c:pt>
                <c:pt idx="15">
                  <c:v>-1.4419845083803463E-2</c:v>
                </c:pt>
                <c:pt idx="16">
                  <c:v>-1.2542680005015521E-2</c:v>
                </c:pt>
                <c:pt idx="17">
                  <c:v>-1.0842675316294905E-2</c:v>
                </c:pt>
                <c:pt idx="18">
                  <c:v>-9.435592546515905E-3</c:v>
                </c:pt>
                <c:pt idx="19">
                  <c:v>-8.3175608175975781E-3</c:v>
                </c:pt>
                <c:pt idx="20">
                  <c:v>-7.4251559268492242E-3</c:v>
                </c:pt>
                <c:pt idx="21">
                  <c:v>-6.6837916644916081E-3</c:v>
                </c:pt>
                <c:pt idx="22">
                  <c:v>-6.0347639559874718E-3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8A8-470C-B130-E452DDFEA910}"/>
            </c:ext>
          </c:extLst>
        </c:ser>
        <c:ser>
          <c:idx val="6"/>
          <c:order val="2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IPI_plus!$B$2:$B$24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8A8-470C-B130-E452DDFEA9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480831"/>
        <c:axId val="344486591"/>
      </c:lineChart>
      <c:catAx>
        <c:axId val="34448083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6591"/>
        <c:crossesAt val="-100"/>
        <c:auto val="1"/>
        <c:lblAlgn val="ctr"/>
        <c:lblOffset val="100"/>
        <c:tickLblSkip val="4"/>
        <c:tickMarkSkip val="1"/>
        <c:noMultiLvlLbl val="0"/>
      </c:catAx>
      <c:valAx>
        <c:axId val="344486591"/>
        <c:scaling>
          <c:orientation val="minMax"/>
          <c:max val="0.75000000000000011"/>
          <c:min val="-0.25"/>
        </c:scaling>
        <c:delete val="0"/>
        <c:axPos val="l"/>
        <c:numFmt formatCode="0.00_ " sourceLinked="0"/>
        <c:majorTickMark val="out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0831"/>
        <c:crosses val="autoZero"/>
        <c:crossBetween val="midCat"/>
        <c:majorUnit val="0.25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  <a:effectLst/>
      </c:spPr>
    </c:plotArea>
    <c:legend>
      <c:legendPos val="b"/>
      <c:legendEntry>
        <c:idx val="2"/>
        <c:delete val="1"/>
      </c:legendEntry>
      <c:layout>
        <c:manualLayout>
          <c:xMode val="edge"/>
          <c:yMode val="edge"/>
          <c:x val="0.52473829855272747"/>
          <c:y val="0.12060273195031537"/>
          <c:w val="0.4388255418582177"/>
          <c:h val="0.15985385709312802"/>
        </c:manualLayout>
      </c:layout>
      <c:overlay val="0"/>
      <c:spPr>
        <a:noFill/>
        <a:ln w="2540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rgbClr val="000000"/>
              </a:solidFill>
              <a:latin typeface="ＭＳ ゴシック"/>
              <a:ea typeface="ＭＳ ゴシック"/>
              <a:cs typeface="ＭＳ ゴシック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25400" cap="flat" cmpd="sng" algn="ctr">
      <a:noFill/>
      <a:round/>
    </a:ln>
    <a:effectLst/>
  </c:spPr>
  <c:txPr>
    <a:bodyPr/>
    <a:lstStyle/>
    <a:p>
      <a:pPr>
        <a:defRPr>
          <a:solidFill>
            <a:srgbClr val="000000"/>
          </a:solidFill>
          <a:latin typeface="ＭＳ ゴシック"/>
          <a:ea typeface="ＭＳ ゴシック"/>
          <a:cs typeface="ＭＳ ゴシック"/>
        </a:defRPr>
      </a:pPr>
      <a:endParaRPr lang="ja-JP"/>
    </a:p>
  </c:txPr>
  <c:printSettings>
    <c:headerFooter/>
    <c:pageMargins b="0.75" l="0.7" r="0.7" t="0.75" header="0.3" footer="0.3"/>
    <c:pageSetup/>
  </c:printSettings>
  <c:userShapes r:id="rId3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40233076776417"/>
          <c:y val="9.5123027297075252E-2"/>
          <c:w val="0.83208394199593816"/>
          <c:h val="0.81169163212805151"/>
        </c:manualLayout>
      </c:layout>
      <c:lineChart>
        <c:grouping val="standard"/>
        <c:varyColors val="0"/>
        <c:ser>
          <c:idx val="1"/>
          <c:order val="0"/>
          <c:tx>
            <c:strRef>
              <c:f>IPI_minus!$D$1</c:f>
              <c:strCache>
                <c:ptCount val="1"/>
                <c:pt idx="0">
                  <c:v>インフレ率</c:v>
                </c:pt>
              </c:strCache>
            </c:strRef>
          </c:tx>
          <c:spPr>
            <a:ln w="25400" cap="rnd">
              <a:solidFill>
                <a:srgbClr val="00206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IPI_minus!$A$2:$A$24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IPI_minus!$D$2:$D$24</c:f>
              <c:numCache>
                <c:formatCode>0.00_ </c:formatCode>
                <c:ptCount val="23"/>
                <c:pt idx="0">
                  <c:v>-0.71563858445062778</c:v>
                </c:pt>
                <c:pt idx="1">
                  <c:v>-0.51105890260768683</c:v>
                </c:pt>
                <c:pt idx="2">
                  <c:v>-0.25444014181812497</c:v>
                </c:pt>
                <c:pt idx="3">
                  <c:v>-7.8394634658821932E-2</c:v>
                </c:pt>
                <c:pt idx="4">
                  <c:v>1.4818920362573051E-2</c:v>
                </c:pt>
                <c:pt idx="5">
                  <c:v>4.8926350992242934E-2</c:v>
                </c:pt>
                <c:pt idx="6">
                  <c:v>4.9199396426241312E-2</c:v>
                </c:pt>
                <c:pt idx="7">
                  <c:v>3.5471554462323612E-2</c:v>
                </c:pt>
                <c:pt idx="8">
                  <c:v>2.0228720801143539E-2</c:v>
                </c:pt>
                <c:pt idx="9">
                  <c:v>9.2844303176405248E-3</c:v>
                </c:pt>
                <c:pt idx="10">
                  <c:v>3.7797454123845017E-3</c:v>
                </c:pt>
                <c:pt idx="11">
                  <c:v>2.4204892239511056E-3</c:v>
                </c:pt>
                <c:pt idx="12">
                  <c:v>3.2345673177331851E-3</c:v>
                </c:pt>
                <c:pt idx="13">
                  <c:v>4.589518376937776E-3</c:v>
                </c:pt>
                <c:pt idx="14">
                  <c:v>5.5516351743219701E-3</c:v>
                </c:pt>
                <c:pt idx="15">
                  <c:v>5.8243612531310917E-3</c:v>
                </c:pt>
                <c:pt idx="16">
                  <c:v>5.5099373171572643E-3</c:v>
                </c:pt>
                <c:pt idx="17">
                  <c:v>4.8656688588716553E-3</c:v>
                </c:pt>
                <c:pt idx="18">
                  <c:v>4.1373418471302228E-3</c:v>
                </c:pt>
                <c:pt idx="19">
                  <c:v>3.4837066802973302E-3</c:v>
                </c:pt>
                <c:pt idx="20">
                  <c:v>2.9689423502322222E-3</c:v>
                </c:pt>
                <c:pt idx="21">
                  <c:v>2.5899610608483914E-3</c:v>
                </c:pt>
                <c:pt idx="22">
                  <c:v>2.3114249818285883E-3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0F2-41B2-BD4F-6C70E16EA89B}"/>
            </c:ext>
          </c:extLst>
        </c:ser>
        <c:ser>
          <c:idx val="2"/>
          <c:order val="1"/>
          <c:tx>
            <c:strRef>
              <c:f>IPI_minus!$E$1</c:f>
              <c:strCache>
                <c:ptCount val="1"/>
                <c:pt idx="0">
                  <c:v>期待インフレ率</c:v>
                </c:pt>
              </c:strCache>
            </c:strRef>
          </c:tx>
          <c:spPr>
            <a:ln w="19050" cap="rnd">
              <a:solidFill>
                <a:srgbClr val="00B05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IPI_minus!$A$2:$A$24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IPI_minus!$E$2:$E$24</c:f>
              <c:numCache>
                <c:formatCode>0.00_ </c:formatCode>
                <c:ptCount val="23"/>
                <c:pt idx="0">
                  <c:v>-0.21285603293610156</c:v>
                </c:pt>
                <c:pt idx="1">
                  <c:v>-0.24124074610718441</c:v>
                </c:pt>
                <c:pt idx="2">
                  <c:v>-0.15465694564062177</c:v>
                </c:pt>
                <c:pt idx="3">
                  <c:v>-8.3186460946544402E-2</c:v>
                </c:pt>
                <c:pt idx="4">
                  <c:v>-4.1025129886170006E-2</c:v>
                </c:pt>
                <c:pt idx="5">
                  <c:v>-2.1883274642949223E-2</c:v>
                </c:pt>
                <c:pt idx="6">
                  <c:v>-1.6562155124710307E-2</c:v>
                </c:pt>
                <c:pt idx="7">
                  <c:v>-1.7469573159282832E-2</c:v>
                </c:pt>
                <c:pt idx="8">
                  <c:v>-1.9708396707581358E-2</c:v>
                </c:pt>
                <c:pt idx="9">
                  <c:v>-2.089765091836044E-2</c:v>
                </c:pt>
                <c:pt idx="10">
                  <c:v>-2.0447632574274545E-2</c:v>
                </c:pt>
                <c:pt idx="11">
                  <c:v>-1.8730446237205867E-2</c:v>
                </c:pt>
                <c:pt idx="12">
                  <c:v>-1.6417547681918766E-2</c:v>
                </c:pt>
                <c:pt idx="13">
                  <c:v>-1.4086223685584039E-2</c:v>
                </c:pt>
                <c:pt idx="14">
                  <c:v>-1.2070800720401703E-2</c:v>
                </c:pt>
                <c:pt idx="15">
                  <c:v>-1.0474186979302568E-2</c:v>
                </c:pt>
                <c:pt idx="16">
                  <c:v>-9.2502145227420316E-3</c:v>
                </c:pt>
                <c:pt idx="17">
                  <c:v>-8.2922183279606609E-3</c:v>
                </c:pt>
                <c:pt idx="18">
                  <c:v>-7.4954915107227687E-3</c:v>
                </c:pt>
                <c:pt idx="19">
                  <c:v>-6.7868540033195549E-3</c:v>
                </c:pt>
                <c:pt idx="20">
                  <c:v>-6.1288663900075802E-3</c:v>
                </c:pt>
                <c:pt idx="21">
                  <c:v>-5.5105453249841866E-3</c:v>
                </c:pt>
                <c:pt idx="22">
                  <c:v>-4.9346288707000415E-3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0F2-41B2-BD4F-6C70E16EA89B}"/>
            </c:ext>
          </c:extLst>
        </c:ser>
        <c:ser>
          <c:idx val="3"/>
          <c:order val="2"/>
          <c:tx>
            <c:strRef>
              <c:f>IPI_minus!$F$1</c:f>
              <c:strCache>
                <c:ptCount val="1"/>
                <c:pt idx="0">
                  <c:v>物価観</c:v>
                </c:pt>
              </c:strCache>
            </c:strRef>
          </c:tx>
          <c:spPr>
            <a:ln w="22225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IPI_minus!$A$2:$A$24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IPI_minus!$F$2:$F$24</c:f>
              <c:numCache>
                <c:formatCode>0.00_ </c:formatCode>
                <c:ptCount val="23"/>
                <c:pt idx="0">
                  <c:v>-6.4407472600556487E-2</c:v>
                </c:pt>
                <c:pt idx="1">
                  <c:v>-0.10460610130119823</c:v>
                </c:pt>
                <c:pt idx="2">
                  <c:v>-0.11809116494772165</c:v>
                </c:pt>
                <c:pt idx="3">
                  <c:v>-0.11451847722172068</c:v>
                </c:pt>
                <c:pt idx="4">
                  <c:v>-0.10287811143913424</c:v>
                </c:pt>
                <c:pt idx="5">
                  <c:v>-8.9215709820310324E-2</c:v>
                </c:pt>
                <c:pt idx="6">
                  <c:v>-7.6758350258120681E-2</c:v>
                </c:pt>
                <c:pt idx="7">
                  <c:v>-6.6657658833280689E-2</c:v>
                </c:pt>
                <c:pt idx="8">
                  <c:v>-5.8837884666182512E-2</c:v>
                </c:pt>
                <c:pt idx="9">
                  <c:v>-5.2706876317638443E-2</c:v>
                </c:pt>
                <c:pt idx="10">
                  <c:v>-4.7623080361936375E-2</c:v>
                </c:pt>
                <c:pt idx="11">
                  <c:v>-4.3119159099206501E-2</c:v>
                </c:pt>
                <c:pt idx="12">
                  <c:v>-3.8947323721681928E-2</c:v>
                </c:pt>
                <c:pt idx="13">
                  <c:v>-3.5029007932806153E-2</c:v>
                </c:pt>
                <c:pt idx="14">
                  <c:v>-3.1376750053164627E-2</c:v>
                </c:pt>
                <c:pt idx="15">
                  <c:v>-2.8028650035598013E-2</c:v>
                </c:pt>
                <c:pt idx="16">
                  <c:v>-2.5010177173850037E-2</c:v>
                </c:pt>
                <c:pt idx="17">
                  <c:v>-2.2321351030905087E-2</c:v>
                </c:pt>
                <c:pt idx="18">
                  <c:v>-1.994006867188191E-2</c:v>
                </c:pt>
                <c:pt idx="19">
                  <c:v>-1.7831928890185776E-2</c:v>
                </c:pt>
                <c:pt idx="20">
                  <c:v>-1.5959850478548157E-2</c:v>
                </c:pt>
                <c:pt idx="21">
                  <c:v>-1.429036744000247E-2</c:v>
                </c:pt>
                <c:pt idx="22">
                  <c:v>-1.2796206122037674E-2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0F2-41B2-BD4F-6C70E16EA89B}"/>
            </c:ext>
          </c:extLst>
        </c:ser>
        <c:ser>
          <c:idx val="6"/>
          <c:order val="3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IPI_minus!$B$2:$B$24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0F2-41B2-BD4F-6C70E16EA8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44480831"/>
        <c:axId val="344486591"/>
      </c:lineChart>
      <c:catAx>
        <c:axId val="34448083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6591"/>
        <c:crossesAt val="-100"/>
        <c:auto val="1"/>
        <c:lblAlgn val="ctr"/>
        <c:lblOffset val="100"/>
        <c:tickLblSkip val="4"/>
        <c:tickMarkSkip val="1"/>
        <c:noMultiLvlLbl val="0"/>
      </c:catAx>
      <c:valAx>
        <c:axId val="344486591"/>
        <c:scaling>
          <c:orientation val="minMax"/>
          <c:max val="0.2"/>
          <c:min val="-0.8"/>
        </c:scaling>
        <c:delete val="0"/>
        <c:axPos val="l"/>
        <c:numFmt formatCode="0.0_ " sourceLinked="0"/>
        <c:majorTickMark val="out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0831"/>
        <c:crosses val="autoZero"/>
        <c:crossBetween val="midCat"/>
        <c:majorUnit val="0.1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  <a:effectLst/>
      </c:spPr>
    </c:plotArea>
    <c:legend>
      <c:legendPos val="b"/>
      <c:legendEntry>
        <c:idx val="3"/>
        <c:delete val="1"/>
      </c:legendEntry>
      <c:layout>
        <c:manualLayout>
          <c:xMode val="edge"/>
          <c:yMode val="edge"/>
          <c:x val="0.40714349119721205"/>
          <c:y val="0.64577357027057569"/>
          <c:w val="0.51769993260237046"/>
          <c:h val="0.21690984576381592"/>
        </c:manualLayout>
      </c:layout>
      <c:overlay val="0"/>
      <c:spPr>
        <a:noFill/>
        <a:ln w="2540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rgbClr val="000000"/>
              </a:solidFill>
              <a:latin typeface="ＭＳ ゴシック"/>
              <a:ea typeface="ＭＳ ゴシック"/>
              <a:cs typeface="ＭＳ ゴシック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25400" cap="flat" cmpd="sng" algn="ctr">
      <a:noFill/>
      <a:round/>
    </a:ln>
    <a:effectLst/>
  </c:spPr>
  <c:txPr>
    <a:bodyPr/>
    <a:lstStyle/>
    <a:p>
      <a:pPr>
        <a:defRPr>
          <a:solidFill>
            <a:srgbClr val="000000"/>
          </a:solidFill>
          <a:latin typeface="ＭＳ ゴシック"/>
          <a:ea typeface="ＭＳ ゴシック"/>
          <a:cs typeface="ＭＳ ゴシック"/>
        </a:defRPr>
      </a:pPr>
      <a:endParaRPr lang="ja-JP"/>
    </a:p>
  </c:txPr>
  <c:printSettings>
    <c:headerFooter/>
    <c:pageMargins b="0.75" l="0.7" r="0.7" t="0.75" header="0.3" footer="0.3"/>
    <c:pageSetup/>
  </c:printSettings>
  <c:userShapes r:id="rId3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40233076776417"/>
          <c:y val="9.5123027297075252E-2"/>
          <c:w val="0.83208394199593816"/>
          <c:h val="0.81169163212805151"/>
        </c:manualLayout>
      </c:layout>
      <c:lineChart>
        <c:grouping val="standard"/>
        <c:varyColors val="0"/>
        <c:ser>
          <c:idx val="0"/>
          <c:order val="0"/>
          <c:tx>
            <c:strRef>
              <c:f>IPI_minus!$G$1</c:f>
              <c:strCache>
                <c:ptCount val="1"/>
                <c:pt idx="0">
                  <c:v>名目金利</c:v>
                </c:pt>
              </c:strCache>
            </c:strRef>
          </c:tx>
          <c:spPr>
            <a:ln w="25400" cap="rnd">
              <a:solidFill>
                <a:srgbClr val="002060"/>
              </a:solidFill>
              <a:prstDash val="solid"/>
              <a:round/>
            </a:ln>
            <a:effectLst/>
          </c:spPr>
          <c:marker>
            <c:symbol val="circle"/>
            <c:size val="8"/>
            <c:spPr>
              <a:solidFill>
                <a:srgbClr val="002060"/>
              </a:solidFill>
              <a:ln w="12700">
                <a:solidFill>
                  <a:srgbClr val="002060"/>
                </a:solidFill>
                <a:prstDash val="solid"/>
              </a:ln>
              <a:effectLst/>
            </c:spPr>
          </c:marker>
          <c:val>
            <c:numRef>
              <c:f>IPI_minus!$G$2:$G$24</c:f>
              <c:numCache>
                <c:formatCode>0.00_ </c:formatCode>
                <c:ptCount val="23"/>
                <c:pt idx="0">
                  <c:v>-0.25</c:v>
                </c:pt>
                <c:pt idx="1">
                  <c:v>-0.25</c:v>
                </c:pt>
                <c:pt idx="2">
                  <c:v>-0.24999999999999997</c:v>
                </c:pt>
                <c:pt idx="3">
                  <c:v>-0.2268418585151023</c:v>
                </c:pt>
                <c:pt idx="4">
                  <c:v>-5.0850315248111025E-2</c:v>
                </c:pt>
                <c:pt idx="5">
                  <c:v>4.5476565763423973E-2</c:v>
                </c:pt>
                <c:pt idx="6">
                  <c:v>7.1874655029353265E-2</c:v>
                </c:pt>
                <c:pt idx="7">
                  <c:v>5.6601710351352842E-2</c:v>
                </c:pt>
                <c:pt idx="8">
                  <c:v>2.6888113093565327E-2</c:v>
                </c:pt>
                <c:pt idx="9">
                  <c:v>4.027598535255323E-4</c:v>
                </c:pt>
                <c:pt idx="10">
                  <c:v>-1.5535375041597674E-2</c:v>
                </c:pt>
                <c:pt idx="11">
                  <c:v>-2.0919187902279156E-2</c:v>
                </c:pt>
                <c:pt idx="12">
                  <c:v>-1.9219468693437814E-2</c:v>
                </c:pt>
                <c:pt idx="13">
                  <c:v>-1.4428144015164098E-2</c:v>
                </c:pt>
                <c:pt idx="14">
                  <c:v>-9.4820954799833563E-3</c:v>
                </c:pt>
                <c:pt idx="15">
                  <c:v>-5.8566956413694093E-3</c:v>
                </c:pt>
                <c:pt idx="16">
                  <c:v>-3.8482276147504598E-3</c:v>
                </c:pt>
                <c:pt idx="17">
                  <c:v>-3.0923396303756314E-3</c:v>
                </c:pt>
                <c:pt idx="18">
                  <c:v>-3.0262054592150845E-3</c:v>
                </c:pt>
                <c:pt idx="19">
                  <c:v>-3.1735091101565641E-3</c:v>
                </c:pt>
                <c:pt idx="20">
                  <c:v>-3.2523102008152863E-3</c:v>
                </c:pt>
                <c:pt idx="21">
                  <c:v>-3.1634227419397799E-3</c:v>
                </c:pt>
                <c:pt idx="22">
                  <c:v>-2.9256225557446692E-3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9B0-4342-AA71-077D0111DBD2}"/>
            </c:ext>
          </c:extLst>
        </c:ser>
        <c:ser>
          <c:idx val="1"/>
          <c:order val="1"/>
          <c:tx>
            <c:strRef>
              <c:f>IPI_minus!$C$1</c:f>
              <c:strCache>
                <c:ptCount val="1"/>
                <c:pt idx="0">
                  <c:v>需給ギャップ</c:v>
                </c:pt>
              </c:strCache>
            </c:strRef>
          </c:tx>
          <c:spPr>
            <a:ln w="19050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IPI_minus!$A$2:$A$24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IPI_minus!$C$2:$C$24</c:f>
              <c:numCache>
                <c:formatCode>0.00_ </c:formatCode>
                <c:ptCount val="23"/>
                <c:pt idx="0">
                  <c:v>1.4598756488026017E-3</c:v>
                </c:pt>
                <c:pt idx="1">
                  <c:v>1.7861341185779887E-2</c:v>
                </c:pt>
                <c:pt idx="2">
                  <c:v>5.1360314363167139E-2</c:v>
                </c:pt>
                <c:pt idx="3">
                  <c:v>9.3518569511168007E-2</c:v>
                </c:pt>
                <c:pt idx="4">
                  <c:v>0.1115609894829336</c:v>
                </c:pt>
                <c:pt idx="5">
                  <c:v>0.10473049257302749</c:v>
                </c:pt>
                <c:pt idx="6">
                  <c:v>8.4102284271966338E-2</c:v>
                </c:pt>
                <c:pt idx="7">
                  <c:v>6.1022145412915077E-2</c:v>
                </c:pt>
                <c:pt idx="8">
                  <c:v>4.2456734282100519E-2</c:v>
                </c:pt>
                <c:pt idx="9">
                  <c:v>3.0653110619294634E-2</c:v>
                </c:pt>
                <c:pt idx="10">
                  <c:v>2.4715628442914861E-2</c:v>
                </c:pt>
                <c:pt idx="11">
                  <c:v>2.2468189732663169E-2</c:v>
                </c:pt>
                <c:pt idx="12">
                  <c:v>2.1795658165429929E-2</c:v>
                </c:pt>
                <c:pt idx="13">
                  <c:v>2.1279116974045467E-2</c:v>
                </c:pt>
                <c:pt idx="14">
                  <c:v>2.0279109228878142E-2</c:v>
                </c:pt>
                <c:pt idx="15">
                  <c:v>1.8725146528619441E-2</c:v>
                </c:pt>
                <c:pt idx="16">
                  <c:v>1.6832221187794188E-2</c:v>
                </c:pt>
                <c:pt idx="17">
                  <c:v>1.4874084275922243E-2</c:v>
                </c:pt>
                <c:pt idx="18">
                  <c:v>1.3056994963782494E-2</c:v>
                </c:pt>
                <c:pt idx="19">
                  <c:v>1.1482231629614079E-2</c:v>
                </c:pt>
                <c:pt idx="20">
                  <c:v>1.0162982093046842E-2</c:v>
                </c:pt>
                <c:pt idx="21">
                  <c:v>9.0615767848998448E-3</c:v>
                </c:pt>
                <c:pt idx="22">
                  <c:v>8.1242480616431738E-3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9B0-4342-AA71-077D0111DBD2}"/>
            </c:ext>
          </c:extLst>
        </c:ser>
        <c:ser>
          <c:idx val="6"/>
          <c:order val="2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IPI_minus!$B$2:$B$24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9B0-4342-AA71-077D0111DB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480831"/>
        <c:axId val="344486591"/>
      </c:lineChart>
      <c:catAx>
        <c:axId val="34448083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6591"/>
        <c:crossesAt val="-100"/>
        <c:auto val="1"/>
        <c:lblAlgn val="ctr"/>
        <c:lblOffset val="100"/>
        <c:tickLblSkip val="4"/>
        <c:tickMarkSkip val="1"/>
        <c:noMultiLvlLbl val="0"/>
      </c:catAx>
      <c:valAx>
        <c:axId val="344486591"/>
        <c:scaling>
          <c:orientation val="minMax"/>
          <c:max val="0.25"/>
          <c:min val="-0.25"/>
        </c:scaling>
        <c:delete val="0"/>
        <c:axPos val="l"/>
        <c:numFmt formatCode="0.00_ " sourceLinked="0"/>
        <c:majorTickMark val="out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0831"/>
        <c:crosses val="autoZero"/>
        <c:crossBetween val="midCat"/>
        <c:majorUnit val="0.25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  <a:effectLst/>
      </c:spPr>
    </c:plotArea>
    <c:legend>
      <c:legendPos val="b"/>
      <c:legendEntry>
        <c:idx val="2"/>
        <c:delete val="1"/>
      </c:legendEntry>
      <c:layout>
        <c:manualLayout>
          <c:xMode val="edge"/>
          <c:yMode val="edge"/>
          <c:x val="0.52473829855272747"/>
          <c:y val="0.12060273195031537"/>
          <c:w val="0.4388255418582177"/>
          <c:h val="0.15985385709312802"/>
        </c:manualLayout>
      </c:layout>
      <c:overlay val="0"/>
      <c:spPr>
        <a:noFill/>
        <a:ln w="2540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rgbClr val="000000"/>
              </a:solidFill>
              <a:latin typeface="ＭＳ ゴシック"/>
              <a:ea typeface="ＭＳ ゴシック"/>
              <a:cs typeface="ＭＳ ゴシック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25400" cap="flat" cmpd="sng" algn="ctr">
      <a:noFill/>
      <a:round/>
    </a:ln>
    <a:effectLst/>
  </c:spPr>
  <c:txPr>
    <a:bodyPr/>
    <a:lstStyle/>
    <a:p>
      <a:pPr>
        <a:defRPr>
          <a:solidFill>
            <a:srgbClr val="000000"/>
          </a:solidFill>
          <a:latin typeface="ＭＳ ゴシック"/>
          <a:ea typeface="ＭＳ ゴシック"/>
          <a:cs typeface="ＭＳ ゴシック"/>
        </a:defRPr>
      </a:pPr>
      <a:endParaRPr lang="ja-JP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69850</xdr:colOff>
          <xdr:row>1</xdr:row>
          <xdr:rowOff>25400</xdr:rowOff>
        </xdr:from>
        <xdr:to>
          <xdr:col>17</xdr:col>
          <xdr:colOff>596900</xdr:colOff>
          <xdr:row>2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Refresh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41648</xdr:colOff>
      <xdr:row>2</xdr:row>
      <xdr:rowOff>259228</xdr:rowOff>
    </xdr:from>
    <xdr:to>
      <xdr:col>6</xdr:col>
      <xdr:colOff>643591</xdr:colOff>
      <xdr:row>21</xdr:row>
      <xdr:rowOff>150517</xdr:rowOff>
    </xdr:to>
    <xdr:graphicFrame macro="">
      <xdr:nvGraphicFramePr>
        <xdr:cNvPr id="8" name="グラフ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147056</xdr:colOff>
      <xdr:row>2</xdr:row>
      <xdr:rowOff>246529</xdr:rowOff>
    </xdr:from>
    <xdr:to>
      <xdr:col>14</xdr:col>
      <xdr:colOff>43889</xdr:colOff>
      <xdr:row>21</xdr:row>
      <xdr:rowOff>150517</xdr:rowOff>
    </xdr:to>
    <xdr:graphicFrame macro="">
      <xdr:nvGraphicFramePr>
        <xdr:cNvPr id="9" name="グラフ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52855</xdr:colOff>
      <xdr:row>22</xdr:row>
      <xdr:rowOff>275290</xdr:rowOff>
    </xdr:from>
    <xdr:to>
      <xdr:col>6</xdr:col>
      <xdr:colOff>654798</xdr:colOff>
      <xdr:row>41</xdr:row>
      <xdr:rowOff>172929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158263</xdr:colOff>
      <xdr:row>22</xdr:row>
      <xdr:rowOff>268941</xdr:rowOff>
    </xdr:from>
    <xdr:to>
      <xdr:col>14</xdr:col>
      <xdr:colOff>55096</xdr:colOff>
      <xdr:row>41</xdr:row>
      <xdr:rowOff>172929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56029</xdr:colOff>
      <xdr:row>43</xdr:row>
      <xdr:rowOff>9524</xdr:rowOff>
    </xdr:from>
    <xdr:to>
      <xdr:col>6</xdr:col>
      <xdr:colOff>654797</xdr:colOff>
      <xdr:row>62</xdr:row>
      <xdr:rowOff>19222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38625818-1FF8-4BBD-A3F5-42B41D13F6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158262</xdr:colOff>
      <xdr:row>43</xdr:row>
      <xdr:rowOff>0</xdr:rowOff>
    </xdr:from>
    <xdr:to>
      <xdr:col>14</xdr:col>
      <xdr:colOff>58270</xdr:colOff>
      <xdr:row>62</xdr:row>
      <xdr:rowOff>19222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23F078E8-1255-4D4D-827D-13925D9438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64</xdr:row>
      <xdr:rowOff>12699</xdr:rowOff>
    </xdr:from>
    <xdr:to>
      <xdr:col>6</xdr:col>
      <xdr:colOff>595593</xdr:colOff>
      <xdr:row>82</xdr:row>
      <xdr:rowOff>131281</xdr:rowOff>
    </xdr:to>
    <xdr:graphicFrame macro="">
      <xdr:nvGraphicFramePr>
        <xdr:cNvPr id="6" name="グラフ 5">
          <a:extLst>
            <a:ext uri="{FF2B5EF4-FFF2-40B4-BE49-F238E27FC236}">
              <a16:creationId xmlns:a16="http://schemas.microsoft.com/office/drawing/2014/main" id="{D03E7646-BA1C-474E-A93D-BCCEB8122B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99058</xdr:colOff>
      <xdr:row>64</xdr:row>
      <xdr:rowOff>0</xdr:rowOff>
    </xdr:from>
    <xdr:to>
      <xdr:col>14</xdr:col>
      <xdr:colOff>2241</xdr:colOff>
      <xdr:row>82</xdr:row>
      <xdr:rowOff>131281</xdr:rowOff>
    </xdr:to>
    <xdr:graphicFrame macro="">
      <xdr:nvGraphicFramePr>
        <xdr:cNvPr id="7" name="グラフ 6">
          <a:extLst>
            <a:ext uri="{FF2B5EF4-FFF2-40B4-BE49-F238E27FC236}">
              <a16:creationId xmlns:a16="http://schemas.microsoft.com/office/drawing/2014/main" id="{2DE7E9B2-C544-437F-A3A4-433D3FB215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44824</xdr:colOff>
      <xdr:row>84</xdr:row>
      <xdr:rowOff>20730</xdr:rowOff>
    </xdr:from>
    <xdr:to>
      <xdr:col>6</xdr:col>
      <xdr:colOff>643592</xdr:colOff>
      <xdr:row>103</xdr:row>
      <xdr:rowOff>30428</xdr:rowOff>
    </xdr:to>
    <xdr:graphicFrame macro="">
      <xdr:nvGraphicFramePr>
        <xdr:cNvPr id="10" name="グラフ 9">
          <a:extLst>
            <a:ext uri="{FF2B5EF4-FFF2-40B4-BE49-F238E27FC236}">
              <a16:creationId xmlns:a16="http://schemas.microsoft.com/office/drawing/2014/main" id="{A53E3934-A025-4685-8ECE-45B67B2130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7</xdr:col>
      <xdr:colOff>147057</xdr:colOff>
      <xdr:row>84</xdr:row>
      <xdr:rowOff>11206</xdr:rowOff>
    </xdr:from>
    <xdr:to>
      <xdr:col>14</xdr:col>
      <xdr:colOff>47065</xdr:colOff>
      <xdr:row>103</xdr:row>
      <xdr:rowOff>30428</xdr:rowOff>
    </xdr:to>
    <xdr:graphicFrame macro="">
      <xdr:nvGraphicFramePr>
        <xdr:cNvPr id="11" name="グラフ 10">
          <a:extLst>
            <a:ext uri="{FF2B5EF4-FFF2-40B4-BE49-F238E27FC236}">
              <a16:creationId xmlns:a16="http://schemas.microsoft.com/office/drawing/2014/main" id="{63EC45EB-1A45-4FDB-8C4D-510C85C0BB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0.13367</cdr:x>
      <cdr:y>0</cdr:y>
    </cdr:from>
    <cdr:to>
      <cdr:x>0.369</cdr:x>
      <cdr:y>0.04945</cdr:y>
    </cdr:to>
    <cdr:sp macro="" textlink="">
      <cdr:nvSpPr>
        <cdr:cNvPr id="2" name="テキスト ボックス 1">
          <a:extLst xmlns:a="http://schemas.openxmlformats.org/drawingml/2006/main">
            <a:ext uri="{FF2B5EF4-FFF2-40B4-BE49-F238E27FC236}">
              <a16:creationId xmlns:a16="http://schemas.microsoft.com/office/drawing/2014/main" id="{AD4E025C-7C8D-D8AE-D3EE-CC0EEAD7C7DB}"/>
            </a:ext>
          </a:extLst>
        </cdr:cNvPr>
        <cdr:cNvSpPr txBox="1"/>
      </cdr:nvSpPr>
      <cdr:spPr>
        <a:xfrm xmlns:a="http://schemas.openxmlformats.org/drawingml/2006/main">
          <a:off x="676275" y="0"/>
          <a:ext cx="1190625" cy="2000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ja-JP" altLang="en-US" sz="1100"/>
        </a:p>
      </cdr:txBody>
    </cdr:sp>
  </cdr:relSizeAnchor>
  <cdr:relSizeAnchor xmlns:cdr="http://schemas.openxmlformats.org/drawingml/2006/chartDrawing">
    <cdr:from>
      <cdr:x>0.10021</cdr:x>
      <cdr:y>0.00941</cdr:y>
    </cdr:from>
    <cdr:to>
      <cdr:x>0.41795</cdr:x>
      <cdr:y>0.09647</cdr:y>
    </cdr:to>
    <cdr:sp macro="" textlink="">
      <cdr:nvSpPr>
        <cdr:cNvPr id="3" name="テキスト ボックス 2">
          <a:extLst xmlns:a="http://schemas.openxmlformats.org/drawingml/2006/main">
            <a:ext uri="{FF2B5EF4-FFF2-40B4-BE49-F238E27FC236}">
              <a16:creationId xmlns:a16="http://schemas.microsoft.com/office/drawing/2014/main" id="{B8E5B2C2-E803-2B04-DDEB-EE5E8143FE79}"/>
            </a:ext>
          </a:extLst>
        </cdr:cNvPr>
        <cdr:cNvSpPr txBox="1"/>
      </cdr:nvSpPr>
      <cdr:spPr>
        <a:xfrm xmlns:a="http://schemas.openxmlformats.org/drawingml/2006/main">
          <a:off x="457201" y="40131"/>
          <a:ext cx="1449686" cy="37129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（％）</a:t>
          </a:r>
        </a:p>
      </cdr:txBody>
    </cdr:sp>
  </cdr:relSizeAnchor>
  <cdr:relSizeAnchor xmlns:cdr="http://schemas.openxmlformats.org/drawingml/2006/chartDrawing">
    <cdr:from>
      <cdr:x>0.893</cdr:x>
      <cdr:y>0.91052</cdr:y>
    </cdr:from>
    <cdr:to>
      <cdr:x>0.98337</cdr:x>
      <cdr:y>1</cdr:y>
    </cdr:to>
    <cdr:sp macro="" textlink="">
      <cdr:nvSpPr>
        <cdr:cNvPr id="4" name="テキスト ボックス 3">
          <a:extLst xmlns:a="http://schemas.openxmlformats.org/drawingml/2006/main">
            <a:ext uri="{FF2B5EF4-FFF2-40B4-BE49-F238E27FC236}">
              <a16:creationId xmlns:a16="http://schemas.microsoft.com/office/drawing/2014/main" id="{47E21FA7-941F-61F4-6AAB-DD7F993CAB32}"/>
            </a:ext>
          </a:extLst>
        </cdr:cNvPr>
        <cdr:cNvSpPr txBox="1"/>
      </cdr:nvSpPr>
      <cdr:spPr>
        <a:xfrm xmlns:a="http://schemas.openxmlformats.org/drawingml/2006/main">
          <a:off x="4192981" y="3883147"/>
          <a:ext cx="424322" cy="38161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年</a:t>
          </a:r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0.13367</cdr:x>
      <cdr:y>0</cdr:y>
    </cdr:from>
    <cdr:to>
      <cdr:x>0.369</cdr:x>
      <cdr:y>0.04945</cdr:y>
    </cdr:to>
    <cdr:sp macro="" textlink="">
      <cdr:nvSpPr>
        <cdr:cNvPr id="2" name="テキスト ボックス 1">
          <a:extLst xmlns:a="http://schemas.openxmlformats.org/drawingml/2006/main">
            <a:ext uri="{FF2B5EF4-FFF2-40B4-BE49-F238E27FC236}">
              <a16:creationId xmlns:a16="http://schemas.microsoft.com/office/drawing/2014/main" id="{AD4E025C-7C8D-D8AE-D3EE-CC0EEAD7C7DB}"/>
            </a:ext>
          </a:extLst>
        </cdr:cNvPr>
        <cdr:cNvSpPr txBox="1"/>
      </cdr:nvSpPr>
      <cdr:spPr>
        <a:xfrm xmlns:a="http://schemas.openxmlformats.org/drawingml/2006/main">
          <a:off x="676275" y="0"/>
          <a:ext cx="1190625" cy="2000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ja-JP" altLang="en-US" sz="1100"/>
        </a:p>
      </cdr:txBody>
    </cdr:sp>
  </cdr:relSizeAnchor>
  <cdr:relSizeAnchor xmlns:cdr="http://schemas.openxmlformats.org/drawingml/2006/chartDrawing">
    <cdr:from>
      <cdr:x>0.13814</cdr:x>
      <cdr:y>0.00941</cdr:y>
    </cdr:from>
    <cdr:to>
      <cdr:x>0.41795</cdr:x>
      <cdr:y>0.09647</cdr:y>
    </cdr:to>
    <cdr:sp macro="" textlink="">
      <cdr:nvSpPr>
        <cdr:cNvPr id="3" name="テキスト ボックス 2">
          <a:extLst xmlns:a="http://schemas.openxmlformats.org/drawingml/2006/main">
            <a:ext uri="{FF2B5EF4-FFF2-40B4-BE49-F238E27FC236}">
              <a16:creationId xmlns:a16="http://schemas.microsoft.com/office/drawing/2014/main" id="{B8E5B2C2-E803-2B04-DDEB-EE5E8143FE79}"/>
            </a:ext>
          </a:extLst>
        </cdr:cNvPr>
        <cdr:cNvSpPr txBox="1"/>
      </cdr:nvSpPr>
      <cdr:spPr>
        <a:xfrm xmlns:a="http://schemas.openxmlformats.org/drawingml/2006/main">
          <a:off x="625962" y="40251"/>
          <a:ext cx="1267857" cy="3723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（％）</a:t>
          </a:r>
        </a:p>
      </cdr:txBody>
    </cdr:sp>
  </cdr:relSizeAnchor>
  <cdr:relSizeAnchor xmlns:cdr="http://schemas.openxmlformats.org/drawingml/2006/chartDrawing">
    <cdr:from>
      <cdr:x>0.893</cdr:x>
      <cdr:y>0.91052</cdr:y>
    </cdr:from>
    <cdr:to>
      <cdr:x>0.98337</cdr:x>
      <cdr:y>1</cdr:y>
    </cdr:to>
    <cdr:sp macro="" textlink="">
      <cdr:nvSpPr>
        <cdr:cNvPr id="4" name="テキスト ボックス 3">
          <a:extLst xmlns:a="http://schemas.openxmlformats.org/drawingml/2006/main">
            <a:ext uri="{FF2B5EF4-FFF2-40B4-BE49-F238E27FC236}">
              <a16:creationId xmlns:a16="http://schemas.microsoft.com/office/drawing/2014/main" id="{47E21FA7-941F-61F4-6AAB-DD7F993CAB32}"/>
            </a:ext>
          </a:extLst>
        </cdr:cNvPr>
        <cdr:cNvSpPr txBox="1"/>
      </cdr:nvSpPr>
      <cdr:spPr>
        <a:xfrm xmlns:a="http://schemas.openxmlformats.org/drawingml/2006/main">
          <a:off x="4518025" y="3683001"/>
          <a:ext cx="457200" cy="3619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年</a:t>
          </a:r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0.13367</cdr:x>
      <cdr:y>0</cdr:y>
    </cdr:from>
    <cdr:to>
      <cdr:x>0.369</cdr:x>
      <cdr:y>0.04945</cdr:y>
    </cdr:to>
    <cdr:sp macro="" textlink="">
      <cdr:nvSpPr>
        <cdr:cNvPr id="2" name="テキスト ボックス 1">
          <a:extLst xmlns:a="http://schemas.openxmlformats.org/drawingml/2006/main">
            <a:ext uri="{FF2B5EF4-FFF2-40B4-BE49-F238E27FC236}">
              <a16:creationId xmlns:a16="http://schemas.microsoft.com/office/drawing/2014/main" id="{AD4E025C-7C8D-D8AE-D3EE-CC0EEAD7C7DB}"/>
            </a:ext>
          </a:extLst>
        </cdr:cNvPr>
        <cdr:cNvSpPr txBox="1"/>
      </cdr:nvSpPr>
      <cdr:spPr>
        <a:xfrm xmlns:a="http://schemas.openxmlformats.org/drawingml/2006/main">
          <a:off x="676275" y="0"/>
          <a:ext cx="1190625" cy="2000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ja-JP" altLang="en-US" sz="1100"/>
        </a:p>
      </cdr:txBody>
    </cdr:sp>
  </cdr:relSizeAnchor>
  <cdr:relSizeAnchor xmlns:cdr="http://schemas.openxmlformats.org/drawingml/2006/chartDrawing">
    <cdr:from>
      <cdr:x>0.10021</cdr:x>
      <cdr:y>0.00941</cdr:y>
    </cdr:from>
    <cdr:to>
      <cdr:x>0.41795</cdr:x>
      <cdr:y>0.09647</cdr:y>
    </cdr:to>
    <cdr:sp macro="" textlink="">
      <cdr:nvSpPr>
        <cdr:cNvPr id="3" name="テキスト ボックス 2">
          <a:extLst xmlns:a="http://schemas.openxmlformats.org/drawingml/2006/main">
            <a:ext uri="{FF2B5EF4-FFF2-40B4-BE49-F238E27FC236}">
              <a16:creationId xmlns:a16="http://schemas.microsoft.com/office/drawing/2014/main" id="{B8E5B2C2-E803-2B04-DDEB-EE5E8143FE79}"/>
            </a:ext>
          </a:extLst>
        </cdr:cNvPr>
        <cdr:cNvSpPr txBox="1"/>
      </cdr:nvSpPr>
      <cdr:spPr>
        <a:xfrm xmlns:a="http://schemas.openxmlformats.org/drawingml/2006/main">
          <a:off x="457201" y="40131"/>
          <a:ext cx="1449686" cy="37129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（％）</a:t>
          </a:r>
        </a:p>
      </cdr:txBody>
    </cdr:sp>
  </cdr:relSizeAnchor>
  <cdr:relSizeAnchor xmlns:cdr="http://schemas.openxmlformats.org/drawingml/2006/chartDrawing">
    <cdr:from>
      <cdr:x>0.893</cdr:x>
      <cdr:y>0.91052</cdr:y>
    </cdr:from>
    <cdr:to>
      <cdr:x>0.98337</cdr:x>
      <cdr:y>1</cdr:y>
    </cdr:to>
    <cdr:sp macro="" textlink="">
      <cdr:nvSpPr>
        <cdr:cNvPr id="4" name="テキスト ボックス 3">
          <a:extLst xmlns:a="http://schemas.openxmlformats.org/drawingml/2006/main">
            <a:ext uri="{FF2B5EF4-FFF2-40B4-BE49-F238E27FC236}">
              <a16:creationId xmlns:a16="http://schemas.microsoft.com/office/drawing/2014/main" id="{47E21FA7-941F-61F4-6AAB-DD7F993CAB32}"/>
            </a:ext>
          </a:extLst>
        </cdr:cNvPr>
        <cdr:cNvSpPr txBox="1"/>
      </cdr:nvSpPr>
      <cdr:spPr>
        <a:xfrm xmlns:a="http://schemas.openxmlformats.org/drawingml/2006/main">
          <a:off x="4192981" y="3883147"/>
          <a:ext cx="424322" cy="38161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年</a:t>
          </a:r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0.13367</cdr:x>
      <cdr:y>0</cdr:y>
    </cdr:from>
    <cdr:to>
      <cdr:x>0.369</cdr:x>
      <cdr:y>0.04945</cdr:y>
    </cdr:to>
    <cdr:sp macro="" textlink="">
      <cdr:nvSpPr>
        <cdr:cNvPr id="2" name="テキスト ボックス 1">
          <a:extLst xmlns:a="http://schemas.openxmlformats.org/drawingml/2006/main">
            <a:ext uri="{FF2B5EF4-FFF2-40B4-BE49-F238E27FC236}">
              <a16:creationId xmlns:a16="http://schemas.microsoft.com/office/drawing/2014/main" id="{AD4E025C-7C8D-D8AE-D3EE-CC0EEAD7C7DB}"/>
            </a:ext>
          </a:extLst>
        </cdr:cNvPr>
        <cdr:cNvSpPr txBox="1"/>
      </cdr:nvSpPr>
      <cdr:spPr>
        <a:xfrm xmlns:a="http://schemas.openxmlformats.org/drawingml/2006/main">
          <a:off x="676275" y="0"/>
          <a:ext cx="1190625" cy="2000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ja-JP" altLang="en-US" sz="1100"/>
        </a:p>
      </cdr:txBody>
    </cdr:sp>
  </cdr:relSizeAnchor>
  <cdr:relSizeAnchor xmlns:cdr="http://schemas.openxmlformats.org/drawingml/2006/chartDrawing">
    <cdr:from>
      <cdr:x>0.13814</cdr:x>
      <cdr:y>0.00941</cdr:y>
    </cdr:from>
    <cdr:to>
      <cdr:x>0.41795</cdr:x>
      <cdr:y>0.09647</cdr:y>
    </cdr:to>
    <cdr:sp macro="" textlink="">
      <cdr:nvSpPr>
        <cdr:cNvPr id="3" name="テキスト ボックス 2">
          <a:extLst xmlns:a="http://schemas.openxmlformats.org/drawingml/2006/main">
            <a:ext uri="{FF2B5EF4-FFF2-40B4-BE49-F238E27FC236}">
              <a16:creationId xmlns:a16="http://schemas.microsoft.com/office/drawing/2014/main" id="{B8E5B2C2-E803-2B04-DDEB-EE5E8143FE79}"/>
            </a:ext>
          </a:extLst>
        </cdr:cNvPr>
        <cdr:cNvSpPr txBox="1"/>
      </cdr:nvSpPr>
      <cdr:spPr>
        <a:xfrm xmlns:a="http://schemas.openxmlformats.org/drawingml/2006/main">
          <a:off x="625962" y="40251"/>
          <a:ext cx="1267857" cy="3723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（％）</a:t>
          </a:r>
        </a:p>
      </cdr:txBody>
    </cdr:sp>
  </cdr:relSizeAnchor>
  <cdr:relSizeAnchor xmlns:cdr="http://schemas.openxmlformats.org/drawingml/2006/chartDrawing">
    <cdr:from>
      <cdr:x>0.893</cdr:x>
      <cdr:y>0.91052</cdr:y>
    </cdr:from>
    <cdr:to>
      <cdr:x>0.98337</cdr:x>
      <cdr:y>1</cdr:y>
    </cdr:to>
    <cdr:sp macro="" textlink="">
      <cdr:nvSpPr>
        <cdr:cNvPr id="4" name="テキスト ボックス 3">
          <a:extLst xmlns:a="http://schemas.openxmlformats.org/drawingml/2006/main">
            <a:ext uri="{FF2B5EF4-FFF2-40B4-BE49-F238E27FC236}">
              <a16:creationId xmlns:a16="http://schemas.microsoft.com/office/drawing/2014/main" id="{47E21FA7-941F-61F4-6AAB-DD7F993CAB32}"/>
            </a:ext>
          </a:extLst>
        </cdr:cNvPr>
        <cdr:cNvSpPr txBox="1"/>
      </cdr:nvSpPr>
      <cdr:spPr>
        <a:xfrm xmlns:a="http://schemas.openxmlformats.org/drawingml/2006/main">
          <a:off x="4518025" y="3683001"/>
          <a:ext cx="457200" cy="3619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年</a:t>
          </a:r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0.13367</cdr:x>
      <cdr:y>0</cdr:y>
    </cdr:from>
    <cdr:to>
      <cdr:x>0.369</cdr:x>
      <cdr:y>0.04945</cdr:y>
    </cdr:to>
    <cdr:sp macro="" textlink="">
      <cdr:nvSpPr>
        <cdr:cNvPr id="2" name="テキスト ボックス 1">
          <a:extLst xmlns:a="http://schemas.openxmlformats.org/drawingml/2006/main">
            <a:ext uri="{FF2B5EF4-FFF2-40B4-BE49-F238E27FC236}">
              <a16:creationId xmlns:a16="http://schemas.microsoft.com/office/drawing/2014/main" id="{AD4E025C-7C8D-D8AE-D3EE-CC0EEAD7C7DB}"/>
            </a:ext>
          </a:extLst>
        </cdr:cNvPr>
        <cdr:cNvSpPr txBox="1"/>
      </cdr:nvSpPr>
      <cdr:spPr>
        <a:xfrm xmlns:a="http://schemas.openxmlformats.org/drawingml/2006/main">
          <a:off x="676275" y="0"/>
          <a:ext cx="1190625" cy="2000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ja-JP" altLang="en-US" sz="1100"/>
        </a:p>
      </cdr:txBody>
    </cdr:sp>
  </cdr:relSizeAnchor>
  <cdr:relSizeAnchor xmlns:cdr="http://schemas.openxmlformats.org/drawingml/2006/chartDrawing">
    <cdr:from>
      <cdr:x>0.10021</cdr:x>
      <cdr:y>0.00941</cdr:y>
    </cdr:from>
    <cdr:to>
      <cdr:x>0.41795</cdr:x>
      <cdr:y>0.09647</cdr:y>
    </cdr:to>
    <cdr:sp macro="" textlink="">
      <cdr:nvSpPr>
        <cdr:cNvPr id="3" name="テキスト ボックス 2">
          <a:extLst xmlns:a="http://schemas.openxmlformats.org/drawingml/2006/main">
            <a:ext uri="{FF2B5EF4-FFF2-40B4-BE49-F238E27FC236}">
              <a16:creationId xmlns:a16="http://schemas.microsoft.com/office/drawing/2014/main" id="{B8E5B2C2-E803-2B04-DDEB-EE5E8143FE79}"/>
            </a:ext>
          </a:extLst>
        </cdr:cNvPr>
        <cdr:cNvSpPr txBox="1"/>
      </cdr:nvSpPr>
      <cdr:spPr>
        <a:xfrm xmlns:a="http://schemas.openxmlformats.org/drawingml/2006/main">
          <a:off x="457201" y="40131"/>
          <a:ext cx="1449686" cy="37129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（％）</a:t>
          </a:r>
        </a:p>
      </cdr:txBody>
    </cdr:sp>
  </cdr:relSizeAnchor>
  <cdr:relSizeAnchor xmlns:cdr="http://schemas.openxmlformats.org/drawingml/2006/chartDrawing">
    <cdr:from>
      <cdr:x>0.893</cdr:x>
      <cdr:y>0.91052</cdr:y>
    </cdr:from>
    <cdr:to>
      <cdr:x>0.98337</cdr:x>
      <cdr:y>1</cdr:y>
    </cdr:to>
    <cdr:sp macro="" textlink="">
      <cdr:nvSpPr>
        <cdr:cNvPr id="4" name="テキスト ボックス 3">
          <a:extLst xmlns:a="http://schemas.openxmlformats.org/drawingml/2006/main">
            <a:ext uri="{FF2B5EF4-FFF2-40B4-BE49-F238E27FC236}">
              <a16:creationId xmlns:a16="http://schemas.microsoft.com/office/drawing/2014/main" id="{47E21FA7-941F-61F4-6AAB-DD7F993CAB32}"/>
            </a:ext>
          </a:extLst>
        </cdr:cNvPr>
        <cdr:cNvSpPr txBox="1"/>
      </cdr:nvSpPr>
      <cdr:spPr>
        <a:xfrm xmlns:a="http://schemas.openxmlformats.org/drawingml/2006/main">
          <a:off x="4192981" y="3883147"/>
          <a:ext cx="424322" cy="38161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年</a:t>
          </a:r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0.13367</cdr:x>
      <cdr:y>0</cdr:y>
    </cdr:from>
    <cdr:to>
      <cdr:x>0.369</cdr:x>
      <cdr:y>0.04945</cdr:y>
    </cdr:to>
    <cdr:sp macro="" textlink="">
      <cdr:nvSpPr>
        <cdr:cNvPr id="2" name="テキスト ボックス 1">
          <a:extLst xmlns:a="http://schemas.openxmlformats.org/drawingml/2006/main">
            <a:ext uri="{FF2B5EF4-FFF2-40B4-BE49-F238E27FC236}">
              <a16:creationId xmlns:a16="http://schemas.microsoft.com/office/drawing/2014/main" id="{AD4E025C-7C8D-D8AE-D3EE-CC0EEAD7C7DB}"/>
            </a:ext>
          </a:extLst>
        </cdr:cNvPr>
        <cdr:cNvSpPr txBox="1"/>
      </cdr:nvSpPr>
      <cdr:spPr>
        <a:xfrm xmlns:a="http://schemas.openxmlformats.org/drawingml/2006/main">
          <a:off x="676275" y="0"/>
          <a:ext cx="1190625" cy="2000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ja-JP" altLang="en-US" sz="1100"/>
        </a:p>
      </cdr:txBody>
    </cdr:sp>
  </cdr:relSizeAnchor>
  <cdr:relSizeAnchor xmlns:cdr="http://schemas.openxmlformats.org/drawingml/2006/chartDrawing">
    <cdr:from>
      <cdr:x>0.13814</cdr:x>
      <cdr:y>0.00941</cdr:y>
    </cdr:from>
    <cdr:to>
      <cdr:x>0.41795</cdr:x>
      <cdr:y>0.09647</cdr:y>
    </cdr:to>
    <cdr:sp macro="" textlink="">
      <cdr:nvSpPr>
        <cdr:cNvPr id="3" name="テキスト ボックス 2">
          <a:extLst xmlns:a="http://schemas.openxmlformats.org/drawingml/2006/main">
            <a:ext uri="{FF2B5EF4-FFF2-40B4-BE49-F238E27FC236}">
              <a16:creationId xmlns:a16="http://schemas.microsoft.com/office/drawing/2014/main" id="{B8E5B2C2-E803-2B04-DDEB-EE5E8143FE79}"/>
            </a:ext>
          </a:extLst>
        </cdr:cNvPr>
        <cdr:cNvSpPr txBox="1"/>
      </cdr:nvSpPr>
      <cdr:spPr>
        <a:xfrm xmlns:a="http://schemas.openxmlformats.org/drawingml/2006/main">
          <a:off x="625962" y="40251"/>
          <a:ext cx="1267857" cy="3723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（％）</a:t>
          </a:r>
        </a:p>
      </cdr:txBody>
    </cdr:sp>
  </cdr:relSizeAnchor>
  <cdr:relSizeAnchor xmlns:cdr="http://schemas.openxmlformats.org/drawingml/2006/chartDrawing">
    <cdr:from>
      <cdr:x>0.893</cdr:x>
      <cdr:y>0.91052</cdr:y>
    </cdr:from>
    <cdr:to>
      <cdr:x>0.98337</cdr:x>
      <cdr:y>1</cdr:y>
    </cdr:to>
    <cdr:sp macro="" textlink="">
      <cdr:nvSpPr>
        <cdr:cNvPr id="4" name="テキスト ボックス 3">
          <a:extLst xmlns:a="http://schemas.openxmlformats.org/drawingml/2006/main">
            <a:ext uri="{FF2B5EF4-FFF2-40B4-BE49-F238E27FC236}">
              <a16:creationId xmlns:a16="http://schemas.microsoft.com/office/drawing/2014/main" id="{47E21FA7-941F-61F4-6AAB-DD7F993CAB32}"/>
            </a:ext>
          </a:extLst>
        </cdr:cNvPr>
        <cdr:cNvSpPr txBox="1"/>
      </cdr:nvSpPr>
      <cdr:spPr>
        <a:xfrm xmlns:a="http://schemas.openxmlformats.org/drawingml/2006/main">
          <a:off x="4518025" y="3683001"/>
          <a:ext cx="457200" cy="3619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年</a:t>
          </a:r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0.13367</cdr:x>
      <cdr:y>0</cdr:y>
    </cdr:from>
    <cdr:to>
      <cdr:x>0.369</cdr:x>
      <cdr:y>0.04945</cdr:y>
    </cdr:to>
    <cdr:sp macro="" textlink="">
      <cdr:nvSpPr>
        <cdr:cNvPr id="2" name="テキスト ボックス 1">
          <a:extLst xmlns:a="http://schemas.openxmlformats.org/drawingml/2006/main">
            <a:ext uri="{FF2B5EF4-FFF2-40B4-BE49-F238E27FC236}">
              <a16:creationId xmlns:a16="http://schemas.microsoft.com/office/drawing/2014/main" id="{AD4E025C-7C8D-D8AE-D3EE-CC0EEAD7C7DB}"/>
            </a:ext>
          </a:extLst>
        </cdr:cNvPr>
        <cdr:cNvSpPr txBox="1"/>
      </cdr:nvSpPr>
      <cdr:spPr>
        <a:xfrm xmlns:a="http://schemas.openxmlformats.org/drawingml/2006/main">
          <a:off x="676275" y="0"/>
          <a:ext cx="1190625" cy="2000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ja-JP" altLang="en-US" sz="1100"/>
        </a:p>
      </cdr:txBody>
    </cdr:sp>
  </cdr:relSizeAnchor>
  <cdr:relSizeAnchor xmlns:cdr="http://schemas.openxmlformats.org/drawingml/2006/chartDrawing">
    <cdr:from>
      <cdr:x>0.10021</cdr:x>
      <cdr:y>0.00941</cdr:y>
    </cdr:from>
    <cdr:to>
      <cdr:x>0.41795</cdr:x>
      <cdr:y>0.09647</cdr:y>
    </cdr:to>
    <cdr:sp macro="" textlink="">
      <cdr:nvSpPr>
        <cdr:cNvPr id="3" name="テキスト ボックス 2">
          <a:extLst xmlns:a="http://schemas.openxmlformats.org/drawingml/2006/main">
            <a:ext uri="{FF2B5EF4-FFF2-40B4-BE49-F238E27FC236}">
              <a16:creationId xmlns:a16="http://schemas.microsoft.com/office/drawing/2014/main" id="{B8E5B2C2-E803-2B04-DDEB-EE5E8143FE79}"/>
            </a:ext>
          </a:extLst>
        </cdr:cNvPr>
        <cdr:cNvSpPr txBox="1"/>
      </cdr:nvSpPr>
      <cdr:spPr>
        <a:xfrm xmlns:a="http://schemas.openxmlformats.org/drawingml/2006/main">
          <a:off x="457201" y="40131"/>
          <a:ext cx="1449686" cy="37129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（％）</a:t>
          </a:r>
        </a:p>
      </cdr:txBody>
    </cdr:sp>
  </cdr:relSizeAnchor>
  <cdr:relSizeAnchor xmlns:cdr="http://schemas.openxmlformats.org/drawingml/2006/chartDrawing">
    <cdr:from>
      <cdr:x>0.893</cdr:x>
      <cdr:y>0.91052</cdr:y>
    </cdr:from>
    <cdr:to>
      <cdr:x>0.98337</cdr:x>
      <cdr:y>1</cdr:y>
    </cdr:to>
    <cdr:sp macro="" textlink="">
      <cdr:nvSpPr>
        <cdr:cNvPr id="4" name="テキスト ボックス 3">
          <a:extLst xmlns:a="http://schemas.openxmlformats.org/drawingml/2006/main">
            <a:ext uri="{FF2B5EF4-FFF2-40B4-BE49-F238E27FC236}">
              <a16:creationId xmlns:a16="http://schemas.microsoft.com/office/drawing/2014/main" id="{47E21FA7-941F-61F4-6AAB-DD7F993CAB32}"/>
            </a:ext>
          </a:extLst>
        </cdr:cNvPr>
        <cdr:cNvSpPr txBox="1"/>
      </cdr:nvSpPr>
      <cdr:spPr>
        <a:xfrm xmlns:a="http://schemas.openxmlformats.org/drawingml/2006/main">
          <a:off x="4192981" y="3883147"/>
          <a:ext cx="424322" cy="38161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年</a:t>
          </a:r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0.13367</cdr:x>
      <cdr:y>0</cdr:y>
    </cdr:from>
    <cdr:to>
      <cdr:x>0.369</cdr:x>
      <cdr:y>0.04945</cdr:y>
    </cdr:to>
    <cdr:sp macro="" textlink="">
      <cdr:nvSpPr>
        <cdr:cNvPr id="2" name="テキスト ボックス 1">
          <a:extLst xmlns:a="http://schemas.openxmlformats.org/drawingml/2006/main">
            <a:ext uri="{FF2B5EF4-FFF2-40B4-BE49-F238E27FC236}">
              <a16:creationId xmlns:a16="http://schemas.microsoft.com/office/drawing/2014/main" id="{AD4E025C-7C8D-D8AE-D3EE-CC0EEAD7C7DB}"/>
            </a:ext>
          </a:extLst>
        </cdr:cNvPr>
        <cdr:cNvSpPr txBox="1"/>
      </cdr:nvSpPr>
      <cdr:spPr>
        <a:xfrm xmlns:a="http://schemas.openxmlformats.org/drawingml/2006/main">
          <a:off x="676275" y="0"/>
          <a:ext cx="1190625" cy="2000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ja-JP" altLang="en-US" sz="1100"/>
        </a:p>
      </cdr:txBody>
    </cdr:sp>
  </cdr:relSizeAnchor>
  <cdr:relSizeAnchor xmlns:cdr="http://schemas.openxmlformats.org/drawingml/2006/chartDrawing">
    <cdr:from>
      <cdr:x>0.13814</cdr:x>
      <cdr:y>0.00941</cdr:y>
    </cdr:from>
    <cdr:to>
      <cdr:x>0.41795</cdr:x>
      <cdr:y>0.09647</cdr:y>
    </cdr:to>
    <cdr:sp macro="" textlink="">
      <cdr:nvSpPr>
        <cdr:cNvPr id="3" name="テキスト ボックス 2">
          <a:extLst xmlns:a="http://schemas.openxmlformats.org/drawingml/2006/main">
            <a:ext uri="{FF2B5EF4-FFF2-40B4-BE49-F238E27FC236}">
              <a16:creationId xmlns:a16="http://schemas.microsoft.com/office/drawing/2014/main" id="{B8E5B2C2-E803-2B04-DDEB-EE5E8143FE79}"/>
            </a:ext>
          </a:extLst>
        </cdr:cNvPr>
        <cdr:cNvSpPr txBox="1"/>
      </cdr:nvSpPr>
      <cdr:spPr>
        <a:xfrm xmlns:a="http://schemas.openxmlformats.org/drawingml/2006/main">
          <a:off x="625962" y="40251"/>
          <a:ext cx="1267857" cy="3723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（％）</a:t>
          </a:r>
        </a:p>
      </cdr:txBody>
    </cdr:sp>
  </cdr:relSizeAnchor>
  <cdr:relSizeAnchor xmlns:cdr="http://schemas.openxmlformats.org/drawingml/2006/chartDrawing">
    <cdr:from>
      <cdr:x>0.893</cdr:x>
      <cdr:y>0.91052</cdr:y>
    </cdr:from>
    <cdr:to>
      <cdr:x>0.98337</cdr:x>
      <cdr:y>1</cdr:y>
    </cdr:to>
    <cdr:sp macro="" textlink="">
      <cdr:nvSpPr>
        <cdr:cNvPr id="4" name="テキスト ボックス 3">
          <a:extLst xmlns:a="http://schemas.openxmlformats.org/drawingml/2006/main">
            <a:ext uri="{FF2B5EF4-FFF2-40B4-BE49-F238E27FC236}">
              <a16:creationId xmlns:a16="http://schemas.microsoft.com/office/drawing/2014/main" id="{47E21FA7-941F-61F4-6AAB-DD7F993CAB32}"/>
            </a:ext>
          </a:extLst>
        </cdr:cNvPr>
        <cdr:cNvSpPr txBox="1"/>
      </cdr:nvSpPr>
      <cdr:spPr>
        <a:xfrm xmlns:a="http://schemas.openxmlformats.org/drawingml/2006/main">
          <a:off x="4518025" y="3683001"/>
          <a:ext cx="457200" cy="3619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年</a:t>
          </a:r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0.13367</cdr:x>
      <cdr:y>0</cdr:y>
    </cdr:from>
    <cdr:to>
      <cdr:x>0.369</cdr:x>
      <cdr:y>0.04945</cdr:y>
    </cdr:to>
    <cdr:sp macro="" textlink="">
      <cdr:nvSpPr>
        <cdr:cNvPr id="2" name="テキスト ボックス 1">
          <a:extLst xmlns:a="http://schemas.openxmlformats.org/drawingml/2006/main">
            <a:ext uri="{FF2B5EF4-FFF2-40B4-BE49-F238E27FC236}">
              <a16:creationId xmlns:a16="http://schemas.microsoft.com/office/drawing/2014/main" id="{AD4E025C-7C8D-D8AE-D3EE-CC0EEAD7C7DB}"/>
            </a:ext>
          </a:extLst>
        </cdr:cNvPr>
        <cdr:cNvSpPr txBox="1"/>
      </cdr:nvSpPr>
      <cdr:spPr>
        <a:xfrm xmlns:a="http://schemas.openxmlformats.org/drawingml/2006/main">
          <a:off x="676275" y="0"/>
          <a:ext cx="1190625" cy="2000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ja-JP" altLang="en-US" sz="1100"/>
        </a:p>
      </cdr:txBody>
    </cdr:sp>
  </cdr:relSizeAnchor>
  <cdr:relSizeAnchor xmlns:cdr="http://schemas.openxmlformats.org/drawingml/2006/chartDrawing">
    <cdr:from>
      <cdr:x>0.10021</cdr:x>
      <cdr:y>0.00941</cdr:y>
    </cdr:from>
    <cdr:to>
      <cdr:x>0.41795</cdr:x>
      <cdr:y>0.09647</cdr:y>
    </cdr:to>
    <cdr:sp macro="" textlink="">
      <cdr:nvSpPr>
        <cdr:cNvPr id="3" name="テキスト ボックス 2">
          <a:extLst xmlns:a="http://schemas.openxmlformats.org/drawingml/2006/main">
            <a:ext uri="{FF2B5EF4-FFF2-40B4-BE49-F238E27FC236}">
              <a16:creationId xmlns:a16="http://schemas.microsoft.com/office/drawing/2014/main" id="{B8E5B2C2-E803-2B04-DDEB-EE5E8143FE79}"/>
            </a:ext>
          </a:extLst>
        </cdr:cNvPr>
        <cdr:cNvSpPr txBox="1"/>
      </cdr:nvSpPr>
      <cdr:spPr>
        <a:xfrm xmlns:a="http://schemas.openxmlformats.org/drawingml/2006/main">
          <a:off x="457201" y="40131"/>
          <a:ext cx="1449686" cy="37129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（％）</a:t>
          </a:r>
        </a:p>
      </cdr:txBody>
    </cdr:sp>
  </cdr:relSizeAnchor>
  <cdr:relSizeAnchor xmlns:cdr="http://schemas.openxmlformats.org/drawingml/2006/chartDrawing">
    <cdr:from>
      <cdr:x>0.893</cdr:x>
      <cdr:y>0.91052</cdr:y>
    </cdr:from>
    <cdr:to>
      <cdr:x>0.98337</cdr:x>
      <cdr:y>1</cdr:y>
    </cdr:to>
    <cdr:sp macro="" textlink="">
      <cdr:nvSpPr>
        <cdr:cNvPr id="4" name="テキスト ボックス 3">
          <a:extLst xmlns:a="http://schemas.openxmlformats.org/drawingml/2006/main">
            <a:ext uri="{FF2B5EF4-FFF2-40B4-BE49-F238E27FC236}">
              <a16:creationId xmlns:a16="http://schemas.microsoft.com/office/drawing/2014/main" id="{47E21FA7-941F-61F4-6AAB-DD7F993CAB32}"/>
            </a:ext>
          </a:extLst>
        </cdr:cNvPr>
        <cdr:cNvSpPr txBox="1"/>
      </cdr:nvSpPr>
      <cdr:spPr>
        <a:xfrm xmlns:a="http://schemas.openxmlformats.org/drawingml/2006/main">
          <a:off x="4192981" y="3883147"/>
          <a:ext cx="424322" cy="38161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年</a:t>
          </a:r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0.13367</cdr:x>
      <cdr:y>0</cdr:y>
    </cdr:from>
    <cdr:to>
      <cdr:x>0.369</cdr:x>
      <cdr:y>0.04945</cdr:y>
    </cdr:to>
    <cdr:sp macro="" textlink="">
      <cdr:nvSpPr>
        <cdr:cNvPr id="2" name="テキスト ボックス 1">
          <a:extLst xmlns:a="http://schemas.openxmlformats.org/drawingml/2006/main">
            <a:ext uri="{FF2B5EF4-FFF2-40B4-BE49-F238E27FC236}">
              <a16:creationId xmlns:a16="http://schemas.microsoft.com/office/drawing/2014/main" id="{AD4E025C-7C8D-D8AE-D3EE-CC0EEAD7C7DB}"/>
            </a:ext>
          </a:extLst>
        </cdr:cNvPr>
        <cdr:cNvSpPr txBox="1"/>
      </cdr:nvSpPr>
      <cdr:spPr>
        <a:xfrm xmlns:a="http://schemas.openxmlformats.org/drawingml/2006/main">
          <a:off x="676275" y="0"/>
          <a:ext cx="1190625" cy="2000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ja-JP" altLang="en-US" sz="1100"/>
        </a:p>
      </cdr:txBody>
    </cdr:sp>
  </cdr:relSizeAnchor>
  <cdr:relSizeAnchor xmlns:cdr="http://schemas.openxmlformats.org/drawingml/2006/chartDrawing">
    <cdr:from>
      <cdr:x>0.13814</cdr:x>
      <cdr:y>0.00941</cdr:y>
    </cdr:from>
    <cdr:to>
      <cdr:x>0.41795</cdr:x>
      <cdr:y>0.09647</cdr:y>
    </cdr:to>
    <cdr:sp macro="" textlink="">
      <cdr:nvSpPr>
        <cdr:cNvPr id="3" name="テキスト ボックス 2">
          <a:extLst xmlns:a="http://schemas.openxmlformats.org/drawingml/2006/main">
            <a:ext uri="{FF2B5EF4-FFF2-40B4-BE49-F238E27FC236}">
              <a16:creationId xmlns:a16="http://schemas.microsoft.com/office/drawing/2014/main" id="{B8E5B2C2-E803-2B04-DDEB-EE5E8143FE79}"/>
            </a:ext>
          </a:extLst>
        </cdr:cNvPr>
        <cdr:cNvSpPr txBox="1"/>
      </cdr:nvSpPr>
      <cdr:spPr>
        <a:xfrm xmlns:a="http://schemas.openxmlformats.org/drawingml/2006/main">
          <a:off x="625962" y="40251"/>
          <a:ext cx="1267857" cy="3723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（％）</a:t>
          </a:r>
        </a:p>
      </cdr:txBody>
    </cdr:sp>
  </cdr:relSizeAnchor>
  <cdr:relSizeAnchor xmlns:cdr="http://schemas.openxmlformats.org/drawingml/2006/chartDrawing">
    <cdr:from>
      <cdr:x>0.893</cdr:x>
      <cdr:y>0.91052</cdr:y>
    </cdr:from>
    <cdr:to>
      <cdr:x>0.98337</cdr:x>
      <cdr:y>1</cdr:y>
    </cdr:to>
    <cdr:sp macro="" textlink="">
      <cdr:nvSpPr>
        <cdr:cNvPr id="4" name="テキスト ボックス 3">
          <a:extLst xmlns:a="http://schemas.openxmlformats.org/drawingml/2006/main">
            <a:ext uri="{FF2B5EF4-FFF2-40B4-BE49-F238E27FC236}">
              <a16:creationId xmlns:a16="http://schemas.microsoft.com/office/drawing/2014/main" id="{47E21FA7-941F-61F4-6AAB-DD7F993CAB32}"/>
            </a:ext>
          </a:extLst>
        </cdr:cNvPr>
        <cdr:cNvSpPr txBox="1"/>
      </cdr:nvSpPr>
      <cdr:spPr>
        <a:xfrm xmlns:a="http://schemas.openxmlformats.org/drawingml/2006/main">
          <a:off x="4518025" y="3683001"/>
          <a:ext cx="457200" cy="3619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年</a:t>
          </a:r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0</xdr:row>
          <xdr:rowOff>38100</xdr:rowOff>
        </xdr:from>
        <xdr:to>
          <xdr:col>7</xdr:col>
          <xdr:colOff>539750</xdr:colOff>
          <xdr:row>1</xdr:row>
          <xdr:rowOff>203200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Refresh</a:t>
              </a:r>
            </a:p>
          </xdr:txBody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3</xdr:row>
      <xdr:rowOff>9524</xdr:rowOff>
    </xdr:from>
    <xdr:to>
      <xdr:col>17</xdr:col>
      <xdr:colOff>615950</xdr:colOff>
      <xdr:row>21</xdr:row>
      <xdr:rowOff>159482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123337</xdr:colOff>
      <xdr:row>3</xdr:row>
      <xdr:rowOff>0</xdr:rowOff>
    </xdr:from>
    <xdr:to>
      <xdr:col>25</xdr:col>
      <xdr:colOff>57150</xdr:colOff>
      <xdr:row>21</xdr:row>
      <xdr:rowOff>159482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0.13367</cdr:x>
      <cdr:y>0</cdr:y>
    </cdr:from>
    <cdr:to>
      <cdr:x>0.369</cdr:x>
      <cdr:y>0.04945</cdr:y>
    </cdr:to>
    <cdr:sp macro="" textlink="">
      <cdr:nvSpPr>
        <cdr:cNvPr id="2" name="テキスト ボックス 1">
          <a:extLst xmlns:a="http://schemas.openxmlformats.org/drawingml/2006/main">
            <a:ext uri="{FF2B5EF4-FFF2-40B4-BE49-F238E27FC236}">
              <a16:creationId xmlns:a16="http://schemas.microsoft.com/office/drawing/2014/main" id="{AD4E025C-7C8D-D8AE-D3EE-CC0EEAD7C7DB}"/>
            </a:ext>
          </a:extLst>
        </cdr:cNvPr>
        <cdr:cNvSpPr txBox="1"/>
      </cdr:nvSpPr>
      <cdr:spPr>
        <a:xfrm xmlns:a="http://schemas.openxmlformats.org/drawingml/2006/main">
          <a:off x="676275" y="0"/>
          <a:ext cx="1190625" cy="2000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ja-JP" altLang="en-US" sz="1100"/>
        </a:p>
      </cdr:txBody>
    </cdr:sp>
  </cdr:relSizeAnchor>
  <cdr:relSizeAnchor xmlns:cdr="http://schemas.openxmlformats.org/drawingml/2006/chartDrawing">
    <cdr:from>
      <cdr:x>0.10021</cdr:x>
      <cdr:y>0.00941</cdr:y>
    </cdr:from>
    <cdr:to>
      <cdr:x>0.41795</cdr:x>
      <cdr:y>0.09647</cdr:y>
    </cdr:to>
    <cdr:sp macro="" textlink="">
      <cdr:nvSpPr>
        <cdr:cNvPr id="3" name="テキスト ボックス 2">
          <a:extLst xmlns:a="http://schemas.openxmlformats.org/drawingml/2006/main">
            <a:ext uri="{FF2B5EF4-FFF2-40B4-BE49-F238E27FC236}">
              <a16:creationId xmlns:a16="http://schemas.microsoft.com/office/drawing/2014/main" id="{B8E5B2C2-E803-2B04-DDEB-EE5E8143FE79}"/>
            </a:ext>
          </a:extLst>
        </cdr:cNvPr>
        <cdr:cNvSpPr txBox="1"/>
      </cdr:nvSpPr>
      <cdr:spPr>
        <a:xfrm xmlns:a="http://schemas.openxmlformats.org/drawingml/2006/main">
          <a:off x="457201" y="40131"/>
          <a:ext cx="1449686" cy="37129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（％）</a:t>
          </a:r>
        </a:p>
      </cdr:txBody>
    </cdr:sp>
  </cdr:relSizeAnchor>
  <cdr:relSizeAnchor xmlns:cdr="http://schemas.openxmlformats.org/drawingml/2006/chartDrawing">
    <cdr:from>
      <cdr:x>0.893</cdr:x>
      <cdr:y>0.91052</cdr:y>
    </cdr:from>
    <cdr:to>
      <cdr:x>0.98337</cdr:x>
      <cdr:y>1</cdr:y>
    </cdr:to>
    <cdr:sp macro="" textlink="">
      <cdr:nvSpPr>
        <cdr:cNvPr id="4" name="テキスト ボックス 3">
          <a:extLst xmlns:a="http://schemas.openxmlformats.org/drawingml/2006/main">
            <a:ext uri="{FF2B5EF4-FFF2-40B4-BE49-F238E27FC236}">
              <a16:creationId xmlns:a16="http://schemas.microsoft.com/office/drawing/2014/main" id="{47E21FA7-941F-61F4-6AAB-DD7F993CAB32}"/>
            </a:ext>
          </a:extLst>
        </cdr:cNvPr>
        <cdr:cNvSpPr txBox="1"/>
      </cdr:nvSpPr>
      <cdr:spPr>
        <a:xfrm xmlns:a="http://schemas.openxmlformats.org/drawingml/2006/main">
          <a:off x="4192981" y="3883147"/>
          <a:ext cx="424322" cy="38161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年</a:t>
          </a:r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0.13367</cdr:x>
      <cdr:y>0</cdr:y>
    </cdr:from>
    <cdr:to>
      <cdr:x>0.369</cdr:x>
      <cdr:y>0.04945</cdr:y>
    </cdr:to>
    <cdr:sp macro="" textlink="">
      <cdr:nvSpPr>
        <cdr:cNvPr id="2" name="テキスト ボックス 1">
          <a:extLst xmlns:a="http://schemas.openxmlformats.org/drawingml/2006/main">
            <a:ext uri="{FF2B5EF4-FFF2-40B4-BE49-F238E27FC236}">
              <a16:creationId xmlns:a16="http://schemas.microsoft.com/office/drawing/2014/main" id="{AD4E025C-7C8D-D8AE-D3EE-CC0EEAD7C7DB}"/>
            </a:ext>
          </a:extLst>
        </cdr:cNvPr>
        <cdr:cNvSpPr txBox="1"/>
      </cdr:nvSpPr>
      <cdr:spPr>
        <a:xfrm xmlns:a="http://schemas.openxmlformats.org/drawingml/2006/main">
          <a:off x="676275" y="0"/>
          <a:ext cx="1190625" cy="2000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ja-JP" altLang="en-US" sz="1100"/>
        </a:p>
      </cdr:txBody>
    </cdr:sp>
  </cdr:relSizeAnchor>
  <cdr:relSizeAnchor xmlns:cdr="http://schemas.openxmlformats.org/drawingml/2006/chartDrawing">
    <cdr:from>
      <cdr:x>0.13814</cdr:x>
      <cdr:y>0.00941</cdr:y>
    </cdr:from>
    <cdr:to>
      <cdr:x>0.41795</cdr:x>
      <cdr:y>0.09647</cdr:y>
    </cdr:to>
    <cdr:sp macro="" textlink="">
      <cdr:nvSpPr>
        <cdr:cNvPr id="3" name="テキスト ボックス 2">
          <a:extLst xmlns:a="http://schemas.openxmlformats.org/drawingml/2006/main">
            <a:ext uri="{FF2B5EF4-FFF2-40B4-BE49-F238E27FC236}">
              <a16:creationId xmlns:a16="http://schemas.microsoft.com/office/drawing/2014/main" id="{B8E5B2C2-E803-2B04-DDEB-EE5E8143FE79}"/>
            </a:ext>
          </a:extLst>
        </cdr:cNvPr>
        <cdr:cNvSpPr txBox="1"/>
      </cdr:nvSpPr>
      <cdr:spPr>
        <a:xfrm xmlns:a="http://schemas.openxmlformats.org/drawingml/2006/main">
          <a:off x="625962" y="40251"/>
          <a:ext cx="1267857" cy="3723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（％）</a:t>
          </a:r>
        </a:p>
      </cdr:txBody>
    </cdr:sp>
  </cdr:relSizeAnchor>
  <cdr:relSizeAnchor xmlns:cdr="http://schemas.openxmlformats.org/drawingml/2006/chartDrawing">
    <cdr:from>
      <cdr:x>0.893</cdr:x>
      <cdr:y>0.91052</cdr:y>
    </cdr:from>
    <cdr:to>
      <cdr:x>0.98337</cdr:x>
      <cdr:y>1</cdr:y>
    </cdr:to>
    <cdr:sp macro="" textlink="">
      <cdr:nvSpPr>
        <cdr:cNvPr id="4" name="テキスト ボックス 3">
          <a:extLst xmlns:a="http://schemas.openxmlformats.org/drawingml/2006/main">
            <a:ext uri="{FF2B5EF4-FFF2-40B4-BE49-F238E27FC236}">
              <a16:creationId xmlns:a16="http://schemas.microsoft.com/office/drawing/2014/main" id="{47E21FA7-941F-61F4-6AAB-DD7F993CAB32}"/>
            </a:ext>
          </a:extLst>
        </cdr:cNvPr>
        <cdr:cNvSpPr txBox="1"/>
      </cdr:nvSpPr>
      <cdr:spPr>
        <a:xfrm xmlns:a="http://schemas.openxmlformats.org/drawingml/2006/main">
          <a:off x="4518025" y="3683001"/>
          <a:ext cx="457200" cy="3619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年</a:t>
          </a:r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cdr:txBody>
    </cdr:sp>
  </cdr:relSizeAnchor>
</c:userShapes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3</xdr:row>
      <xdr:rowOff>9524</xdr:rowOff>
    </xdr:from>
    <xdr:to>
      <xdr:col>17</xdr:col>
      <xdr:colOff>615950</xdr:colOff>
      <xdr:row>21</xdr:row>
      <xdr:rowOff>159482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123337</xdr:colOff>
      <xdr:row>3</xdr:row>
      <xdr:rowOff>0</xdr:rowOff>
    </xdr:from>
    <xdr:to>
      <xdr:col>25</xdr:col>
      <xdr:colOff>57150</xdr:colOff>
      <xdr:row>21</xdr:row>
      <xdr:rowOff>159482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0.13367</cdr:x>
      <cdr:y>0</cdr:y>
    </cdr:from>
    <cdr:to>
      <cdr:x>0.369</cdr:x>
      <cdr:y>0.04945</cdr:y>
    </cdr:to>
    <cdr:sp macro="" textlink="">
      <cdr:nvSpPr>
        <cdr:cNvPr id="2" name="テキスト ボックス 1">
          <a:extLst xmlns:a="http://schemas.openxmlformats.org/drawingml/2006/main">
            <a:ext uri="{FF2B5EF4-FFF2-40B4-BE49-F238E27FC236}">
              <a16:creationId xmlns:a16="http://schemas.microsoft.com/office/drawing/2014/main" id="{AD4E025C-7C8D-D8AE-D3EE-CC0EEAD7C7DB}"/>
            </a:ext>
          </a:extLst>
        </cdr:cNvPr>
        <cdr:cNvSpPr txBox="1"/>
      </cdr:nvSpPr>
      <cdr:spPr>
        <a:xfrm xmlns:a="http://schemas.openxmlformats.org/drawingml/2006/main">
          <a:off x="676275" y="0"/>
          <a:ext cx="1190625" cy="2000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ja-JP" altLang="en-US" sz="1100"/>
        </a:p>
      </cdr:txBody>
    </cdr:sp>
  </cdr:relSizeAnchor>
  <cdr:relSizeAnchor xmlns:cdr="http://schemas.openxmlformats.org/drawingml/2006/chartDrawing">
    <cdr:from>
      <cdr:x>0.10021</cdr:x>
      <cdr:y>0.00941</cdr:y>
    </cdr:from>
    <cdr:to>
      <cdr:x>0.41795</cdr:x>
      <cdr:y>0.09647</cdr:y>
    </cdr:to>
    <cdr:sp macro="" textlink="">
      <cdr:nvSpPr>
        <cdr:cNvPr id="3" name="テキスト ボックス 2">
          <a:extLst xmlns:a="http://schemas.openxmlformats.org/drawingml/2006/main">
            <a:ext uri="{FF2B5EF4-FFF2-40B4-BE49-F238E27FC236}">
              <a16:creationId xmlns:a16="http://schemas.microsoft.com/office/drawing/2014/main" id="{B8E5B2C2-E803-2B04-DDEB-EE5E8143FE79}"/>
            </a:ext>
          </a:extLst>
        </cdr:cNvPr>
        <cdr:cNvSpPr txBox="1"/>
      </cdr:nvSpPr>
      <cdr:spPr>
        <a:xfrm xmlns:a="http://schemas.openxmlformats.org/drawingml/2006/main">
          <a:off x="457201" y="40131"/>
          <a:ext cx="1449686" cy="37129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（％）</a:t>
          </a:r>
        </a:p>
      </cdr:txBody>
    </cdr:sp>
  </cdr:relSizeAnchor>
  <cdr:relSizeAnchor xmlns:cdr="http://schemas.openxmlformats.org/drawingml/2006/chartDrawing">
    <cdr:from>
      <cdr:x>0.893</cdr:x>
      <cdr:y>0.91052</cdr:y>
    </cdr:from>
    <cdr:to>
      <cdr:x>0.98337</cdr:x>
      <cdr:y>1</cdr:y>
    </cdr:to>
    <cdr:sp macro="" textlink="">
      <cdr:nvSpPr>
        <cdr:cNvPr id="4" name="テキスト ボックス 3">
          <a:extLst xmlns:a="http://schemas.openxmlformats.org/drawingml/2006/main">
            <a:ext uri="{FF2B5EF4-FFF2-40B4-BE49-F238E27FC236}">
              <a16:creationId xmlns:a16="http://schemas.microsoft.com/office/drawing/2014/main" id="{47E21FA7-941F-61F4-6AAB-DD7F993CAB32}"/>
            </a:ext>
          </a:extLst>
        </cdr:cNvPr>
        <cdr:cNvSpPr txBox="1"/>
      </cdr:nvSpPr>
      <cdr:spPr>
        <a:xfrm xmlns:a="http://schemas.openxmlformats.org/drawingml/2006/main">
          <a:off x="4192981" y="3883147"/>
          <a:ext cx="424322" cy="38161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年</a:t>
          </a:r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0.13367</cdr:x>
      <cdr:y>0</cdr:y>
    </cdr:from>
    <cdr:to>
      <cdr:x>0.369</cdr:x>
      <cdr:y>0.04945</cdr:y>
    </cdr:to>
    <cdr:sp macro="" textlink="">
      <cdr:nvSpPr>
        <cdr:cNvPr id="2" name="テキスト ボックス 1">
          <a:extLst xmlns:a="http://schemas.openxmlformats.org/drawingml/2006/main">
            <a:ext uri="{FF2B5EF4-FFF2-40B4-BE49-F238E27FC236}">
              <a16:creationId xmlns:a16="http://schemas.microsoft.com/office/drawing/2014/main" id="{AD4E025C-7C8D-D8AE-D3EE-CC0EEAD7C7DB}"/>
            </a:ext>
          </a:extLst>
        </cdr:cNvPr>
        <cdr:cNvSpPr txBox="1"/>
      </cdr:nvSpPr>
      <cdr:spPr>
        <a:xfrm xmlns:a="http://schemas.openxmlformats.org/drawingml/2006/main">
          <a:off x="676275" y="0"/>
          <a:ext cx="1190625" cy="2000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ja-JP" altLang="en-US" sz="1100"/>
        </a:p>
      </cdr:txBody>
    </cdr:sp>
  </cdr:relSizeAnchor>
  <cdr:relSizeAnchor xmlns:cdr="http://schemas.openxmlformats.org/drawingml/2006/chartDrawing">
    <cdr:from>
      <cdr:x>0.13814</cdr:x>
      <cdr:y>0.00941</cdr:y>
    </cdr:from>
    <cdr:to>
      <cdr:x>0.41795</cdr:x>
      <cdr:y>0.09647</cdr:y>
    </cdr:to>
    <cdr:sp macro="" textlink="">
      <cdr:nvSpPr>
        <cdr:cNvPr id="3" name="テキスト ボックス 2">
          <a:extLst xmlns:a="http://schemas.openxmlformats.org/drawingml/2006/main">
            <a:ext uri="{FF2B5EF4-FFF2-40B4-BE49-F238E27FC236}">
              <a16:creationId xmlns:a16="http://schemas.microsoft.com/office/drawing/2014/main" id="{B8E5B2C2-E803-2B04-DDEB-EE5E8143FE79}"/>
            </a:ext>
          </a:extLst>
        </cdr:cNvPr>
        <cdr:cNvSpPr txBox="1"/>
      </cdr:nvSpPr>
      <cdr:spPr>
        <a:xfrm xmlns:a="http://schemas.openxmlformats.org/drawingml/2006/main">
          <a:off x="625962" y="40251"/>
          <a:ext cx="1267857" cy="3723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（％）</a:t>
          </a:r>
        </a:p>
      </cdr:txBody>
    </cdr:sp>
  </cdr:relSizeAnchor>
  <cdr:relSizeAnchor xmlns:cdr="http://schemas.openxmlformats.org/drawingml/2006/chartDrawing">
    <cdr:from>
      <cdr:x>0.893</cdr:x>
      <cdr:y>0.91052</cdr:y>
    </cdr:from>
    <cdr:to>
      <cdr:x>0.98337</cdr:x>
      <cdr:y>1</cdr:y>
    </cdr:to>
    <cdr:sp macro="" textlink="">
      <cdr:nvSpPr>
        <cdr:cNvPr id="4" name="テキスト ボックス 3">
          <a:extLst xmlns:a="http://schemas.openxmlformats.org/drawingml/2006/main">
            <a:ext uri="{FF2B5EF4-FFF2-40B4-BE49-F238E27FC236}">
              <a16:creationId xmlns:a16="http://schemas.microsoft.com/office/drawing/2014/main" id="{47E21FA7-941F-61F4-6AAB-DD7F993CAB32}"/>
            </a:ext>
          </a:extLst>
        </cdr:cNvPr>
        <cdr:cNvSpPr txBox="1"/>
      </cdr:nvSpPr>
      <cdr:spPr>
        <a:xfrm xmlns:a="http://schemas.openxmlformats.org/drawingml/2006/main">
          <a:off x="4518025" y="3683001"/>
          <a:ext cx="457200" cy="3619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年</a:t>
          </a:r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cdr:txBody>
    </cdr:sp>
  </cdr:relSizeAnchor>
</c:userShapes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3</xdr:row>
      <xdr:rowOff>9524</xdr:rowOff>
    </xdr:from>
    <xdr:to>
      <xdr:col>17</xdr:col>
      <xdr:colOff>615950</xdr:colOff>
      <xdr:row>21</xdr:row>
      <xdr:rowOff>159482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E27FB5BE-2A15-4720-8797-C86D79661E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123337</xdr:colOff>
      <xdr:row>3</xdr:row>
      <xdr:rowOff>0</xdr:rowOff>
    </xdr:from>
    <xdr:to>
      <xdr:col>25</xdr:col>
      <xdr:colOff>57150</xdr:colOff>
      <xdr:row>21</xdr:row>
      <xdr:rowOff>159482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93B18AA3-9C3C-445D-9076-0838E3659CA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0.13367</cdr:x>
      <cdr:y>0</cdr:y>
    </cdr:from>
    <cdr:to>
      <cdr:x>0.369</cdr:x>
      <cdr:y>0.04945</cdr:y>
    </cdr:to>
    <cdr:sp macro="" textlink="">
      <cdr:nvSpPr>
        <cdr:cNvPr id="2" name="テキスト ボックス 1">
          <a:extLst xmlns:a="http://schemas.openxmlformats.org/drawingml/2006/main">
            <a:ext uri="{FF2B5EF4-FFF2-40B4-BE49-F238E27FC236}">
              <a16:creationId xmlns:a16="http://schemas.microsoft.com/office/drawing/2014/main" id="{AD4E025C-7C8D-D8AE-D3EE-CC0EEAD7C7DB}"/>
            </a:ext>
          </a:extLst>
        </cdr:cNvPr>
        <cdr:cNvSpPr txBox="1"/>
      </cdr:nvSpPr>
      <cdr:spPr>
        <a:xfrm xmlns:a="http://schemas.openxmlformats.org/drawingml/2006/main">
          <a:off x="676275" y="0"/>
          <a:ext cx="1190625" cy="2000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ja-JP" altLang="en-US" sz="1100"/>
        </a:p>
      </cdr:txBody>
    </cdr:sp>
  </cdr:relSizeAnchor>
  <cdr:relSizeAnchor xmlns:cdr="http://schemas.openxmlformats.org/drawingml/2006/chartDrawing">
    <cdr:from>
      <cdr:x>0.10021</cdr:x>
      <cdr:y>0.00941</cdr:y>
    </cdr:from>
    <cdr:to>
      <cdr:x>0.41795</cdr:x>
      <cdr:y>0.09647</cdr:y>
    </cdr:to>
    <cdr:sp macro="" textlink="">
      <cdr:nvSpPr>
        <cdr:cNvPr id="3" name="テキスト ボックス 2">
          <a:extLst xmlns:a="http://schemas.openxmlformats.org/drawingml/2006/main">
            <a:ext uri="{FF2B5EF4-FFF2-40B4-BE49-F238E27FC236}">
              <a16:creationId xmlns:a16="http://schemas.microsoft.com/office/drawing/2014/main" id="{B8E5B2C2-E803-2B04-DDEB-EE5E8143FE79}"/>
            </a:ext>
          </a:extLst>
        </cdr:cNvPr>
        <cdr:cNvSpPr txBox="1"/>
      </cdr:nvSpPr>
      <cdr:spPr>
        <a:xfrm xmlns:a="http://schemas.openxmlformats.org/drawingml/2006/main">
          <a:off x="457201" y="40131"/>
          <a:ext cx="1449686" cy="37129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（％）</a:t>
          </a:r>
        </a:p>
      </cdr:txBody>
    </cdr:sp>
  </cdr:relSizeAnchor>
  <cdr:relSizeAnchor xmlns:cdr="http://schemas.openxmlformats.org/drawingml/2006/chartDrawing">
    <cdr:from>
      <cdr:x>0.893</cdr:x>
      <cdr:y>0.91052</cdr:y>
    </cdr:from>
    <cdr:to>
      <cdr:x>0.98337</cdr:x>
      <cdr:y>1</cdr:y>
    </cdr:to>
    <cdr:sp macro="" textlink="">
      <cdr:nvSpPr>
        <cdr:cNvPr id="4" name="テキスト ボックス 3">
          <a:extLst xmlns:a="http://schemas.openxmlformats.org/drawingml/2006/main">
            <a:ext uri="{FF2B5EF4-FFF2-40B4-BE49-F238E27FC236}">
              <a16:creationId xmlns:a16="http://schemas.microsoft.com/office/drawing/2014/main" id="{47E21FA7-941F-61F4-6AAB-DD7F993CAB32}"/>
            </a:ext>
          </a:extLst>
        </cdr:cNvPr>
        <cdr:cNvSpPr txBox="1"/>
      </cdr:nvSpPr>
      <cdr:spPr>
        <a:xfrm xmlns:a="http://schemas.openxmlformats.org/drawingml/2006/main">
          <a:off x="4192981" y="3883147"/>
          <a:ext cx="424322" cy="38161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年</a:t>
          </a:r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0.13367</cdr:x>
      <cdr:y>0</cdr:y>
    </cdr:from>
    <cdr:to>
      <cdr:x>0.369</cdr:x>
      <cdr:y>0.04945</cdr:y>
    </cdr:to>
    <cdr:sp macro="" textlink="">
      <cdr:nvSpPr>
        <cdr:cNvPr id="2" name="テキスト ボックス 1">
          <a:extLst xmlns:a="http://schemas.openxmlformats.org/drawingml/2006/main">
            <a:ext uri="{FF2B5EF4-FFF2-40B4-BE49-F238E27FC236}">
              <a16:creationId xmlns:a16="http://schemas.microsoft.com/office/drawing/2014/main" id="{AD4E025C-7C8D-D8AE-D3EE-CC0EEAD7C7DB}"/>
            </a:ext>
          </a:extLst>
        </cdr:cNvPr>
        <cdr:cNvSpPr txBox="1"/>
      </cdr:nvSpPr>
      <cdr:spPr>
        <a:xfrm xmlns:a="http://schemas.openxmlformats.org/drawingml/2006/main">
          <a:off x="676275" y="0"/>
          <a:ext cx="1190625" cy="2000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ja-JP" altLang="en-US" sz="1100"/>
        </a:p>
      </cdr:txBody>
    </cdr:sp>
  </cdr:relSizeAnchor>
  <cdr:relSizeAnchor xmlns:cdr="http://schemas.openxmlformats.org/drawingml/2006/chartDrawing">
    <cdr:from>
      <cdr:x>0.13814</cdr:x>
      <cdr:y>0.00941</cdr:y>
    </cdr:from>
    <cdr:to>
      <cdr:x>0.41795</cdr:x>
      <cdr:y>0.09647</cdr:y>
    </cdr:to>
    <cdr:sp macro="" textlink="">
      <cdr:nvSpPr>
        <cdr:cNvPr id="3" name="テキスト ボックス 2">
          <a:extLst xmlns:a="http://schemas.openxmlformats.org/drawingml/2006/main">
            <a:ext uri="{FF2B5EF4-FFF2-40B4-BE49-F238E27FC236}">
              <a16:creationId xmlns:a16="http://schemas.microsoft.com/office/drawing/2014/main" id="{B8E5B2C2-E803-2B04-DDEB-EE5E8143FE79}"/>
            </a:ext>
          </a:extLst>
        </cdr:cNvPr>
        <cdr:cNvSpPr txBox="1"/>
      </cdr:nvSpPr>
      <cdr:spPr>
        <a:xfrm xmlns:a="http://schemas.openxmlformats.org/drawingml/2006/main">
          <a:off x="625962" y="40251"/>
          <a:ext cx="1267857" cy="3723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（％）</a:t>
          </a:r>
        </a:p>
      </cdr:txBody>
    </cdr:sp>
  </cdr:relSizeAnchor>
  <cdr:relSizeAnchor xmlns:cdr="http://schemas.openxmlformats.org/drawingml/2006/chartDrawing">
    <cdr:from>
      <cdr:x>0.893</cdr:x>
      <cdr:y>0.91052</cdr:y>
    </cdr:from>
    <cdr:to>
      <cdr:x>0.98337</cdr:x>
      <cdr:y>1</cdr:y>
    </cdr:to>
    <cdr:sp macro="" textlink="">
      <cdr:nvSpPr>
        <cdr:cNvPr id="4" name="テキスト ボックス 3">
          <a:extLst xmlns:a="http://schemas.openxmlformats.org/drawingml/2006/main">
            <a:ext uri="{FF2B5EF4-FFF2-40B4-BE49-F238E27FC236}">
              <a16:creationId xmlns:a16="http://schemas.microsoft.com/office/drawing/2014/main" id="{47E21FA7-941F-61F4-6AAB-DD7F993CAB32}"/>
            </a:ext>
          </a:extLst>
        </cdr:cNvPr>
        <cdr:cNvSpPr txBox="1"/>
      </cdr:nvSpPr>
      <cdr:spPr>
        <a:xfrm xmlns:a="http://schemas.openxmlformats.org/drawingml/2006/main">
          <a:off x="4518025" y="3683001"/>
          <a:ext cx="457200" cy="3619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年</a:t>
          </a:r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cdr:txBody>
    </cdr:sp>
  </cdr:relSizeAnchor>
</c:userShapes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3</xdr:row>
      <xdr:rowOff>9524</xdr:rowOff>
    </xdr:from>
    <xdr:to>
      <xdr:col>17</xdr:col>
      <xdr:colOff>615950</xdr:colOff>
      <xdr:row>21</xdr:row>
      <xdr:rowOff>159482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63C3513B-8CD0-4E6B-BD0F-34E729EB1B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123337</xdr:colOff>
      <xdr:row>3</xdr:row>
      <xdr:rowOff>0</xdr:rowOff>
    </xdr:from>
    <xdr:to>
      <xdr:col>25</xdr:col>
      <xdr:colOff>57150</xdr:colOff>
      <xdr:row>21</xdr:row>
      <xdr:rowOff>159482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D1FC1F08-D28F-41B7-B1B0-73DA8B6D04C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0.13367</cdr:x>
      <cdr:y>0</cdr:y>
    </cdr:from>
    <cdr:to>
      <cdr:x>0.369</cdr:x>
      <cdr:y>0.04945</cdr:y>
    </cdr:to>
    <cdr:sp macro="" textlink="">
      <cdr:nvSpPr>
        <cdr:cNvPr id="2" name="テキスト ボックス 1">
          <a:extLst xmlns:a="http://schemas.openxmlformats.org/drawingml/2006/main">
            <a:ext uri="{FF2B5EF4-FFF2-40B4-BE49-F238E27FC236}">
              <a16:creationId xmlns:a16="http://schemas.microsoft.com/office/drawing/2014/main" id="{AD4E025C-7C8D-D8AE-D3EE-CC0EEAD7C7DB}"/>
            </a:ext>
          </a:extLst>
        </cdr:cNvPr>
        <cdr:cNvSpPr txBox="1"/>
      </cdr:nvSpPr>
      <cdr:spPr>
        <a:xfrm xmlns:a="http://schemas.openxmlformats.org/drawingml/2006/main">
          <a:off x="676275" y="0"/>
          <a:ext cx="1190625" cy="2000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ja-JP" altLang="en-US" sz="1100"/>
        </a:p>
      </cdr:txBody>
    </cdr:sp>
  </cdr:relSizeAnchor>
  <cdr:relSizeAnchor xmlns:cdr="http://schemas.openxmlformats.org/drawingml/2006/chartDrawing">
    <cdr:from>
      <cdr:x>0.10021</cdr:x>
      <cdr:y>0.00941</cdr:y>
    </cdr:from>
    <cdr:to>
      <cdr:x>0.41795</cdr:x>
      <cdr:y>0.09647</cdr:y>
    </cdr:to>
    <cdr:sp macro="" textlink="">
      <cdr:nvSpPr>
        <cdr:cNvPr id="3" name="テキスト ボックス 2">
          <a:extLst xmlns:a="http://schemas.openxmlformats.org/drawingml/2006/main">
            <a:ext uri="{FF2B5EF4-FFF2-40B4-BE49-F238E27FC236}">
              <a16:creationId xmlns:a16="http://schemas.microsoft.com/office/drawing/2014/main" id="{B8E5B2C2-E803-2B04-DDEB-EE5E8143FE79}"/>
            </a:ext>
          </a:extLst>
        </cdr:cNvPr>
        <cdr:cNvSpPr txBox="1"/>
      </cdr:nvSpPr>
      <cdr:spPr>
        <a:xfrm xmlns:a="http://schemas.openxmlformats.org/drawingml/2006/main">
          <a:off x="457201" y="40131"/>
          <a:ext cx="1449686" cy="37129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（％）</a:t>
          </a:r>
        </a:p>
      </cdr:txBody>
    </cdr:sp>
  </cdr:relSizeAnchor>
  <cdr:relSizeAnchor xmlns:cdr="http://schemas.openxmlformats.org/drawingml/2006/chartDrawing">
    <cdr:from>
      <cdr:x>0.893</cdr:x>
      <cdr:y>0.91052</cdr:y>
    </cdr:from>
    <cdr:to>
      <cdr:x>0.98337</cdr:x>
      <cdr:y>1</cdr:y>
    </cdr:to>
    <cdr:sp macro="" textlink="">
      <cdr:nvSpPr>
        <cdr:cNvPr id="4" name="テキスト ボックス 3">
          <a:extLst xmlns:a="http://schemas.openxmlformats.org/drawingml/2006/main">
            <a:ext uri="{FF2B5EF4-FFF2-40B4-BE49-F238E27FC236}">
              <a16:creationId xmlns:a16="http://schemas.microsoft.com/office/drawing/2014/main" id="{47E21FA7-941F-61F4-6AAB-DD7F993CAB32}"/>
            </a:ext>
          </a:extLst>
        </cdr:cNvPr>
        <cdr:cNvSpPr txBox="1"/>
      </cdr:nvSpPr>
      <cdr:spPr>
        <a:xfrm xmlns:a="http://schemas.openxmlformats.org/drawingml/2006/main">
          <a:off x="4192981" y="3883147"/>
          <a:ext cx="424322" cy="38161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年</a:t>
          </a:r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0.13367</cdr:x>
      <cdr:y>0</cdr:y>
    </cdr:from>
    <cdr:to>
      <cdr:x>0.369</cdr:x>
      <cdr:y>0.04945</cdr:y>
    </cdr:to>
    <cdr:sp macro="" textlink="">
      <cdr:nvSpPr>
        <cdr:cNvPr id="2" name="テキスト ボックス 1">
          <a:extLst xmlns:a="http://schemas.openxmlformats.org/drawingml/2006/main">
            <a:ext uri="{FF2B5EF4-FFF2-40B4-BE49-F238E27FC236}">
              <a16:creationId xmlns:a16="http://schemas.microsoft.com/office/drawing/2014/main" id="{AD4E025C-7C8D-D8AE-D3EE-CC0EEAD7C7DB}"/>
            </a:ext>
          </a:extLst>
        </cdr:cNvPr>
        <cdr:cNvSpPr txBox="1"/>
      </cdr:nvSpPr>
      <cdr:spPr>
        <a:xfrm xmlns:a="http://schemas.openxmlformats.org/drawingml/2006/main">
          <a:off x="676275" y="0"/>
          <a:ext cx="1190625" cy="2000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ja-JP" altLang="en-US" sz="1100"/>
        </a:p>
      </cdr:txBody>
    </cdr:sp>
  </cdr:relSizeAnchor>
  <cdr:relSizeAnchor xmlns:cdr="http://schemas.openxmlformats.org/drawingml/2006/chartDrawing">
    <cdr:from>
      <cdr:x>0.13814</cdr:x>
      <cdr:y>0.00941</cdr:y>
    </cdr:from>
    <cdr:to>
      <cdr:x>0.41795</cdr:x>
      <cdr:y>0.09647</cdr:y>
    </cdr:to>
    <cdr:sp macro="" textlink="">
      <cdr:nvSpPr>
        <cdr:cNvPr id="3" name="テキスト ボックス 2">
          <a:extLst xmlns:a="http://schemas.openxmlformats.org/drawingml/2006/main">
            <a:ext uri="{FF2B5EF4-FFF2-40B4-BE49-F238E27FC236}">
              <a16:creationId xmlns:a16="http://schemas.microsoft.com/office/drawing/2014/main" id="{B8E5B2C2-E803-2B04-DDEB-EE5E8143FE79}"/>
            </a:ext>
          </a:extLst>
        </cdr:cNvPr>
        <cdr:cNvSpPr txBox="1"/>
      </cdr:nvSpPr>
      <cdr:spPr>
        <a:xfrm xmlns:a="http://schemas.openxmlformats.org/drawingml/2006/main">
          <a:off x="625962" y="40251"/>
          <a:ext cx="1267857" cy="3723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（％）</a:t>
          </a:r>
        </a:p>
      </cdr:txBody>
    </cdr:sp>
  </cdr:relSizeAnchor>
  <cdr:relSizeAnchor xmlns:cdr="http://schemas.openxmlformats.org/drawingml/2006/chartDrawing">
    <cdr:from>
      <cdr:x>0.893</cdr:x>
      <cdr:y>0.91052</cdr:y>
    </cdr:from>
    <cdr:to>
      <cdr:x>0.98337</cdr:x>
      <cdr:y>1</cdr:y>
    </cdr:to>
    <cdr:sp macro="" textlink="">
      <cdr:nvSpPr>
        <cdr:cNvPr id="4" name="テキスト ボックス 3">
          <a:extLst xmlns:a="http://schemas.openxmlformats.org/drawingml/2006/main">
            <a:ext uri="{FF2B5EF4-FFF2-40B4-BE49-F238E27FC236}">
              <a16:creationId xmlns:a16="http://schemas.microsoft.com/office/drawing/2014/main" id="{47E21FA7-941F-61F4-6AAB-DD7F993CAB32}"/>
            </a:ext>
          </a:extLst>
        </cdr:cNvPr>
        <cdr:cNvSpPr txBox="1"/>
      </cdr:nvSpPr>
      <cdr:spPr>
        <a:xfrm xmlns:a="http://schemas.openxmlformats.org/drawingml/2006/main">
          <a:off x="4518025" y="3683001"/>
          <a:ext cx="457200" cy="3619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年</a:t>
          </a:r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cdr:txBody>
    </cdr:sp>
  </cdr:relSizeAnchor>
</c:userShapes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3</xdr:row>
      <xdr:rowOff>9524</xdr:rowOff>
    </xdr:from>
    <xdr:to>
      <xdr:col>17</xdr:col>
      <xdr:colOff>615950</xdr:colOff>
      <xdr:row>21</xdr:row>
      <xdr:rowOff>159482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6BCD8B77-CDC2-43A8-BA8A-FD2249E696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123337</xdr:colOff>
      <xdr:row>3</xdr:row>
      <xdr:rowOff>0</xdr:rowOff>
    </xdr:from>
    <xdr:to>
      <xdr:col>25</xdr:col>
      <xdr:colOff>57150</xdr:colOff>
      <xdr:row>21</xdr:row>
      <xdr:rowOff>159482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B2227149-8CDE-40BE-90A0-AC9226DA28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0.13367</cdr:x>
      <cdr:y>0</cdr:y>
    </cdr:from>
    <cdr:to>
      <cdr:x>0.369</cdr:x>
      <cdr:y>0.04945</cdr:y>
    </cdr:to>
    <cdr:sp macro="" textlink="">
      <cdr:nvSpPr>
        <cdr:cNvPr id="2" name="テキスト ボックス 1">
          <a:extLst xmlns:a="http://schemas.openxmlformats.org/drawingml/2006/main">
            <a:ext uri="{FF2B5EF4-FFF2-40B4-BE49-F238E27FC236}">
              <a16:creationId xmlns:a16="http://schemas.microsoft.com/office/drawing/2014/main" id="{AD4E025C-7C8D-D8AE-D3EE-CC0EEAD7C7DB}"/>
            </a:ext>
          </a:extLst>
        </cdr:cNvPr>
        <cdr:cNvSpPr txBox="1"/>
      </cdr:nvSpPr>
      <cdr:spPr>
        <a:xfrm xmlns:a="http://schemas.openxmlformats.org/drawingml/2006/main">
          <a:off x="676275" y="0"/>
          <a:ext cx="1190625" cy="2000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ja-JP" altLang="en-US" sz="1100"/>
        </a:p>
      </cdr:txBody>
    </cdr:sp>
  </cdr:relSizeAnchor>
  <cdr:relSizeAnchor xmlns:cdr="http://schemas.openxmlformats.org/drawingml/2006/chartDrawing">
    <cdr:from>
      <cdr:x>0.10021</cdr:x>
      <cdr:y>0.00941</cdr:y>
    </cdr:from>
    <cdr:to>
      <cdr:x>0.41795</cdr:x>
      <cdr:y>0.09647</cdr:y>
    </cdr:to>
    <cdr:sp macro="" textlink="">
      <cdr:nvSpPr>
        <cdr:cNvPr id="3" name="テキスト ボックス 2">
          <a:extLst xmlns:a="http://schemas.openxmlformats.org/drawingml/2006/main">
            <a:ext uri="{FF2B5EF4-FFF2-40B4-BE49-F238E27FC236}">
              <a16:creationId xmlns:a16="http://schemas.microsoft.com/office/drawing/2014/main" id="{B8E5B2C2-E803-2B04-DDEB-EE5E8143FE79}"/>
            </a:ext>
          </a:extLst>
        </cdr:cNvPr>
        <cdr:cNvSpPr txBox="1"/>
      </cdr:nvSpPr>
      <cdr:spPr>
        <a:xfrm xmlns:a="http://schemas.openxmlformats.org/drawingml/2006/main">
          <a:off x="457201" y="40131"/>
          <a:ext cx="1449686" cy="37129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（％）</a:t>
          </a:r>
        </a:p>
      </cdr:txBody>
    </cdr:sp>
  </cdr:relSizeAnchor>
  <cdr:relSizeAnchor xmlns:cdr="http://schemas.openxmlformats.org/drawingml/2006/chartDrawing">
    <cdr:from>
      <cdr:x>0.893</cdr:x>
      <cdr:y>0.91052</cdr:y>
    </cdr:from>
    <cdr:to>
      <cdr:x>0.98337</cdr:x>
      <cdr:y>1</cdr:y>
    </cdr:to>
    <cdr:sp macro="" textlink="">
      <cdr:nvSpPr>
        <cdr:cNvPr id="4" name="テキスト ボックス 3">
          <a:extLst xmlns:a="http://schemas.openxmlformats.org/drawingml/2006/main">
            <a:ext uri="{FF2B5EF4-FFF2-40B4-BE49-F238E27FC236}">
              <a16:creationId xmlns:a16="http://schemas.microsoft.com/office/drawing/2014/main" id="{47E21FA7-941F-61F4-6AAB-DD7F993CAB32}"/>
            </a:ext>
          </a:extLst>
        </cdr:cNvPr>
        <cdr:cNvSpPr txBox="1"/>
      </cdr:nvSpPr>
      <cdr:spPr>
        <a:xfrm xmlns:a="http://schemas.openxmlformats.org/drawingml/2006/main">
          <a:off x="4192981" y="3883147"/>
          <a:ext cx="424322" cy="38161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年</a:t>
          </a:r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cdr:txBody>
    </cdr:sp>
  </cdr:relSizeAnchor>
</c:userShapes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0.13367</cdr:x>
      <cdr:y>0</cdr:y>
    </cdr:from>
    <cdr:to>
      <cdr:x>0.369</cdr:x>
      <cdr:y>0.04945</cdr:y>
    </cdr:to>
    <cdr:sp macro="" textlink="">
      <cdr:nvSpPr>
        <cdr:cNvPr id="2" name="テキスト ボックス 1">
          <a:extLst xmlns:a="http://schemas.openxmlformats.org/drawingml/2006/main">
            <a:ext uri="{FF2B5EF4-FFF2-40B4-BE49-F238E27FC236}">
              <a16:creationId xmlns:a16="http://schemas.microsoft.com/office/drawing/2014/main" id="{AD4E025C-7C8D-D8AE-D3EE-CC0EEAD7C7DB}"/>
            </a:ext>
          </a:extLst>
        </cdr:cNvPr>
        <cdr:cNvSpPr txBox="1"/>
      </cdr:nvSpPr>
      <cdr:spPr>
        <a:xfrm xmlns:a="http://schemas.openxmlformats.org/drawingml/2006/main">
          <a:off x="676275" y="0"/>
          <a:ext cx="1190625" cy="2000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ja-JP" altLang="en-US" sz="1100"/>
        </a:p>
      </cdr:txBody>
    </cdr:sp>
  </cdr:relSizeAnchor>
  <cdr:relSizeAnchor xmlns:cdr="http://schemas.openxmlformats.org/drawingml/2006/chartDrawing">
    <cdr:from>
      <cdr:x>0.13814</cdr:x>
      <cdr:y>0.00941</cdr:y>
    </cdr:from>
    <cdr:to>
      <cdr:x>0.41795</cdr:x>
      <cdr:y>0.09647</cdr:y>
    </cdr:to>
    <cdr:sp macro="" textlink="">
      <cdr:nvSpPr>
        <cdr:cNvPr id="3" name="テキスト ボックス 2">
          <a:extLst xmlns:a="http://schemas.openxmlformats.org/drawingml/2006/main">
            <a:ext uri="{FF2B5EF4-FFF2-40B4-BE49-F238E27FC236}">
              <a16:creationId xmlns:a16="http://schemas.microsoft.com/office/drawing/2014/main" id="{B8E5B2C2-E803-2B04-DDEB-EE5E8143FE79}"/>
            </a:ext>
          </a:extLst>
        </cdr:cNvPr>
        <cdr:cNvSpPr txBox="1"/>
      </cdr:nvSpPr>
      <cdr:spPr>
        <a:xfrm xmlns:a="http://schemas.openxmlformats.org/drawingml/2006/main">
          <a:off x="625962" y="40251"/>
          <a:ext cx="1267857" cy="3723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（％）</a:t>
          </a:r>
        </a:p>
      </cdr:txBody>
    </cdr:sp>
  </cdr:relSizeAnchor>
  <cdr:relSizeAnchor xmlns:cdr="http://schemas.openxmlformats.org/drawingml/2006/chartDrawing">
    <cdr:from>
      <cdr:x>0.893</cdr:x>
      <cdr:y>0.91052</cdr:y>
    </cdr:from>
    <cdr:to>
      <cdr:x>0.98337</cdr:x>
      <cdr:y>1</cdr:y>
    </cdr:to>
    <cdr:sp macro="" textlink="">
      <cdr:nvSpPr>
        <cdr:cNvPr id="4" name="テキスト ボックス 3">
          <a:extLst xmlns:a="http://schemas.openxmlformats.org/drawingml/2006/main">
            <a:ext uri="{FF2B5EF4-FFF2-40B4-BE49-F238E27FC236}">
              <a16:creationId xmlns:a16="http://schemas.microsoft.com/office/drawing/2014/main" id="{47E21FA7-941F-61F4-6AAB-DD7F993CAB32}"/>
            </a:ext>
          </a:extLst>
        </cdr:cNvPr>
        <cdr:cNvSpPr txBox="1"/>
      </cdr:nvSpPr>
      <cdr:spPr>
        <a:xfrm xmlns:a="http://schemas.openxmlformats.org/drawingml/2006/main">
          <a:off x="4518025" y="3683001"/>
          <a:ext cx="457200" cy="3619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年</a:t>
          </a:r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cdr:txBody>
    </cdr:sp>
  </cdr:relSizeAnchor>
</c:userShapes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3</xdr:row>
      <xdr:rowOff>9524</xdr:rowOff>
    </xdr:from>
    <xdr:to>
      <xdr:col>17</xdr:col>
      <xdr:colOff>615950</xdr:colOff>
      <xdr:row>21</xdr:row>
      <xdr:rowOff>159482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28AF64CB-6ABE-4904-806B-1C736982E2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123337</xdr:colOff>
      <xdr:row>3</xdr:row>
      <xdr:rowOff>0</xdr:rowOff>
    </xdr:from>
    <xdr:to>
      <xdr:col>25</xdr:col>
      <xdr:colOff>57150</xdr:colOff>
      <xdr:row>21</xdr:row>
      <xdr:rowOff>159482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AE27CFE3-81BD-4D78-8661-CDC2E2E807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0.13367</cdr:x>
      <cdr:y>0</cdr:y>
    </cdr:from>
    <cdr:to>
      <cdr:x>0.369</cdr:x>
      <cdr:y>0.04945</cdr:y>
    </cdr:to>
    <cdr:sp macro="" textlink="">
      <cdr:nvSpPr>
        <cdr:cNvPr id="2" name="テキスト ボックス 1">
          <a:extLst xmlns:a="http://schemas.openxmlformats.org/drawingml/2006/main">
            <a:ext uri="{FF2B5EF4-FFF2-40B4-BE49-F238E27FC236}">
              <a16:creationId xmlns:a16="http://schemas.microsoft.com/office/drawing/2014/main" id="{AD4E025C-7C8D-D8AE-D3EE-CC0EEAD7C7DB}"/>
            </a:ext>
          </a:extLst>
        </cdr:cNvPr>
        <cdr:cNvSpPr txBox="1"/>
      </cdr:nvSpPr>
      <cdr:spPr>
        <a:xfrm xmlns:a="http://schemas.openxmlformats.org/drawingml/2006/main">
          <a:off x="676275" y="0"/>
          <a:ext cx="1190625" cy="2000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ja-JP" altLang="en-US" sz="1100"/>
        </a:p>
      </cdr:txBody>
    </cdr:sp>
  </cdr:relSizeAnchor>
  <cdr:relSizeAnchor xmlns:cdr="http://schemas.openxmlformats.org/drawingml/2006/chartDrawing">
    <cdr:from>
      <cdr:x>0.10021</cdr:x>
      <cdr:y>0.00941</cdr:y>
    </cdr:from>
    <cdr:to>
      <cdr:x>0.41795</cdr:x>
      <cdr:y>0.09647</cdr:y>
    </cdr:to>
    <cdr:sp macro="" textlink="">
      <cdr:nvSpPr>
        <cdr:cNvPr id="3" name="テキスト ボックス 2">
          <a:extLst xmlns:a="http://schemas.openxmlformats.org/drawingml/2006/main">
            <a:ext uri="{FF2B5EF4-FFF2-40B4-BE49-F238E27FC236}">
              <a16:creationId xmlns:a16="http://schemas.microsoft.com/office/drawing/2014/main" id="{B8E5B2C2-E803-2B04-DDEB-EE5E8143FE79}"/>
            </a:ext>
          </a:extLst>
        </cdr:cNvPr>
        <cdr:cNvSpPr txBox="1"/>
      </cdr:nvSpPr>
      <cdr:spPr>
        <a:xfrm xmlns:a="http://schemas.openxmlformats.org/drawingml/2006/main">
          <a:off x="457201" y="40131"/>
          <a:ext cx="1449686" cy="37129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（％）</a:t>
          </a:r>
        </a:p>
      </cdr:txBody>
    </cdr:sp>
  </cdr:relSizeAnchor>
  <cdr:relSizeAnchor xmlns:cdr="http://schemas.openxmlformats.org/drawingml/2006/chartDrawing">
    <cdr:from>
      <cdr:x>0.893</cdr:x>
      <cdr:y>0.91052</cdr:y>
    </cdr:from>
    <cdr:to>
      <cdr:x>0.98337</cdr:x>
      <cdr:y>1</cdr:y>
    </cdr:to>
    <cdr:sp macro="" textlink="">
      <cdr:nvSpPr>
        <cdr:cNvPr id="4" name="テキスト ボックス 3">
          <a:extLst xmlns:a="http://schemas.openxmlformats.org/drawingml/2006/main">
            <a:ext uri="{FF2B5EF4-FFF2-40B4-BE49-F238E27FC236}">
              <a16:creationId xmlns:a16="http://schemas.microsoft.com/office/drawing/2014/main" id="{47E21FA7-941F-61F4-6AAB-DD7F993CAB32}"/>
            </a:ext>
          </a:extLst>
        </cdr:cNvPr>
        <cdr:cNvSpPr txBox="1"/>
      </cdr:nvSpPr>
      <cdr:spPr>
        <a:xfrm xmlns:a="http://schemas.openxmlformats.org/drawingml/2006/main">
          <a:off x="4192981" y="3883147"/>
          <a:ext cx="424322" cy="38161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年</a:t>
          </a:r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cdr:txBody>
    </cdr:sp>
  </cdr:relSizeAnchor>
</c:userShapes>
</file>

<file path=xl/drawings/drawing30.xml><?xml version="1.0" encoding="utf-8"?>
<c:userShapes xmlns:c="http://schemas.openxmlformats.org/drawingml/2006/chart">
  <cdr:relSizeAnchor xmlns:cdr="http://schemas.openxmlformats.org/drawingml/2006/chartDrawing">
    <cdr:from>
      <cdr:x>0.13367</cdr:x>
      <cdr:y>0</cdr:y>
    </cdr:from>
    <cdr:to>
      <cdr:x>0.369</cdr:x>
      <cdr:y>0.04945</cdr:y>
    </cdr:to>
    <cdr:sp macro="" textlink="">
      <cdr:nvSpPr>
        <cdr:cNvPr id="2" name="テキスト ボックス 1">
          <a:extLst xmlns:a="http://schemas.openxmlformats.org/drawingml/2006/main">
            <a:ext uri="{FF2B5EF4-FFF2-40B4-BE49-F238E27FC236}">
              <a16:creationId xmlns:a16="http://schemas.microsoft.com/office/drawing/2014/main" id="{AD4E025C-7C8D-D8AE-D3EE-CC0EEAD7C7DB}"/>
            </a:ext>
          </a:extLst>
        </cdr:cNvPr>
        <cdr:cNvSpPr txBox="1"/>
      </cdr:nvSpPr>
      <cdr:spPr>
        <a:xfrm xmlns:a="http://schemas.openxmlformats.org/drawingml/2006/main">
          <a:off x="676275" y="0"/>
          <a:ext cx="1190625" cy="2000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ja-JP" altLang="en-US" sz="1100"/>
        </a:p>
      </cdr:txBody>
    </cdr:sp>
  </cdr:relSizeAnchor>
  <cdr:relSizeAnchor xmlns:cdr="http://schemas.openxmlformats.org/drawingml/2006/chartDrawing">
    <cdr:from>
      <cdr:x>0.13814</cdr:x>
      <cdr:y>0.00941</cdr:y>
    </cdr:from>
    <cdr:to>
      <cdr:x>0.41795</cdr:x>
      <cdr:y>0.09647</cdr:y>
    </cdr:to>
    <cdr:sp macro="" textlink="">
      <cdr:nvSpPr>
        <cdr:cNvPr id="3" name="テキスト ボックス 2">
          <a:extLst xmlns:a="http://schemas.openxmlformats.org/drawingml/2006/main">
            <a:ext uri="{FF2B5EF4-FFF2-40B4-BE49-F238E27FC236}">
              <a16:creationId xmlns:a16="http://schemas.microsoft.com/office/drawing/2014/main" id="{B8E5B2C2-E803-2B04-DDEB-EE5E8143FE79}"/>
            </a:ext>
          </a:extLst>
        </cdr:cNvPr>
        <cdr:cNvSpPr txBox="1"/>
      </cdr:nvSpPr>
      <cdr:spPr>
        <a:xfrm xmlns:a="http://schemas.openxmlformats.org/drawingml/2006/main">
          <a:off x="625962" y="40251"/>
          <a:ext cx="1267857" cy="3723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（％）</a:t>
          </a:r>
        </a:p>
      </cdr:txBody>
    </cdr:sp>
  </cdr:relSizeAnchor>
  <cdr:relSizeAnchor xmlns:cdr="http://schemas.openxmlformats.org/drawingml/2006/chartDrawing">
    <cdr:from>
      <cdr:x>0.893</cdr:x>
      <cdr:y>0.91052</cdr:y>
    </cdr:from>
    <cdr:to>
      <cdr:x>0.98337</cdr:x>
      <cdr:y>1</cdr:y>
    </cdr:to>
    <cdr:sp macro="" textlink="">
      <cdr:nvSpPr>
        <cdr:cNvPr id="4" name="テキスト ボックス 3">
          <a:extLst xmlns:a="http://schemas.openxmlformats.org/drawingml/2006/main">
            <a:ext uri="{FF2B5EF4-FFF2-40B4-BE49-F238E27FC236}">
              <a16:creationId xmlns:a16="http://schemas.microsoft.com/office/drawing/2014/main" id="{47E21FA7-941F-61F4-6AAB-DD7F993CAB32}"/>
            </a:ext>
          </a:extLst>
        </cdr:cNvPr>
        <cdr:cNvSpPr txBox="1"/>
      </cdr:nvSpPr>
      <cdr:spPr>
        <a:xfrm xmlns:a="http://schemas.openxmlformats.org/drawingml/2006/main">
          <a:off x="4518025" y="3683001"/>
          <a:ext cx="457200" cy="3619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年</a:t>
          </a:r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cdr:txBody>
    </cdr:sp>
  </cdr:relSizeAnchor>
</c:userShapes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3</xdr:row>
      <xdr:rowOff>9524</xdr:rowOff>
    </xdr:from>
    <xdr:to>
      <xdr:col>17</xdr:col>
      <xdr:colOff>615950</xdr:colOff>
      <xdr:row>21</xdr:row>
      <xdr:rowOff>159482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B92F49E3-88A0-4EB8-9F52-C0490F5B86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123337</xdr:colOff>
      <xdr:row>3</xdr:row>
      <xdr:rowOff>0</xdr:rowOff>
    </xdr:from>
    <xdr:to>
      <xdr:col>25</xdr:col>
      <xdr:colOff>57150</xdr:colOff>
      <xdr:row>21</xdr:row>
      <xdr:rowOff>159482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8DA458C3-BECA-4BD5-A8B5-0FF8F8E3A0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2.xml><?xml version="1.0" encoding="utf-8"?>
<c:userShapes xmlns:c="http://schemas.openxmlformats.org/drawingml/2006/chart">
  <cdr:relSizeAnchor xmlns:cdr="http://schemas.openxmlformats.org/drawingml/2006/chartDrawing">
    <cdr:from>
      <cdr:x>0.13367</cdr:x>
      <cdr:y>0</cdr:y>
    </cdr:from>
    <cdr:to>
      <cdr:x>0.369</cdr:x>
      <cdr:y>0.04945</cdr:y>
    </cdr:to>
    <cdr:sp macro="" textlink="">
      <cdr:nvSpPr>
        <cdr:cNvPr id="2" name="テキスト ボックス 1">
          <a:extLst xmlns:a="http://schemas.openxmlformats.org/drawingml/2006/main">
            <a:ext uri="{FF2B5EF4-FFF2-40B4-BE49-F238E27FC236}">
              <a16:creationId xmlns:a16="http://schemas.microsoft.com/office/drawing/2014/main" id="{AD4E025C-7C8D-D8AE-D3EE-CC0EEAD7C7DB}"/>
            </a:ext>
          </a:extLst>
        </cdr:cNvPr>
        <cdr:cNvSpPr txBox="1"/>
      </cdr:nvSpPr>
      <cdr:spPr>
        <a:xfrm xmlns:a="http://schemas.openxmlformats.org/drawingml/2006/main">
          <a:off x="676275" y="0"/>
          <a:ext cx="1190625" cy="2000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ja-JP" altLang="en-US" sz="1100"/>
        </a:p>
      </cdr:txBody>
    </cdr:sp>
  </cdr:relSizeAnchor>
  <cdr:relSizeAnchor xmlns:cdr="http://schemas.openxmlformats.org/drawingml/2006/chartDrawing">
    <cdr:from>
      <cdr:x>0.10021</cdr:x>
      <cdr:y>0.00941</cdr:y>
    </cdr:from>
    <cdr:to>
      <cdr:x>0.41795</cdr:x>
      <cdr:y>0.09647</cdr:y>
    </cdr:to>
    <cdr:sp macro="" textlink="">
      <cdr:nvSpPr>
        <cdr:cNvPr id="3" name="テキスト ボックス 2">
          <a:extLst xmlns:a="http://schemas.openxmlformats.org/drawingml/2006/main">
            <a:ext uri="{FF2B5EF4-FFF2-40B4-BE49-F238E27FC236}">
              <a16:creationId xmlns:a16="http://schemas.microsoft.com/office/drawing/2014/main" id="{B8E5B2C2-E803-2B04-DDEB-EE5E8143FE79}"/>
            </a:ext>
          </a:extLst>
        </cdr:cNvPr>
        <cdr:cNvSpPr txBox="1"/>
      </cdr:nvSpPr>
      <cdr:spPr>
        <a:xfrm xmlns:a="http://schemas.openxmlformats.org/drawingml/2006/main">
          <a:off x="457201" y="40131"/>
          <a:ext cx="1449686" cy="37129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（％）</a:t>
          </a:r>
        </a:p>
      </cdr:txBody>
    </cdr:sp>
  </cdr:relSizeAnchor>
  <cdr:relSizeAnchor xmlns:cdr="http://schemas.openxmlformats.org/drawingml/2006/chartDrawing">
    <cdr:from>
      <cdr:x>0.893</cdr:x>
      <cdr:y>0.91052</cdr:y>
    </cdr:from>
    <cdr:to>
      <cdr:x>0.98337</cdr:x>
      <cdr:y>1</cdr:y>
    </cdr:to>
    <cdr:sp macro="" textlink="">
      <cdr:nvSpPr>
        <cdr:cNvPr id="4" name="テキスト ボックス 3">
          <a:extLst xmlns:a="http://schemas.openxmlformats.org/drawingml/2006/main">
            <a:ext uri="{FF2B5EF4-FFF2-40B4-BE49-F238E27FC236}">
              <a16:creationId xmlns:a16="http://schemas.microsoft.com/office/drawing/2014/main" id="{47E21FA7-941F-61F4-6AAB-DD7F993CAB32}"/>
            </a:ext>
          </a:extLst>
        </cdr:cNvPr>
        <cdr:cNvSpPr txBox="1"/>
      </cdr:nvSpPr>
      <cdr:spPr>
        <a:xfrm xmlns:a="http://schemas.openxmlformats.org/drawingml/2006/main">
          <a:off x="4192981" y="3883147"/>
          <a:ext cx="424322" cy="38161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年</a:t>
          </a:r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cdr:txBody>
    </cdr:sp>
  </cdr:relSizeAnchor>
</c:userShapes>
</file>

<file path=xl/drawings/drawing33.xml><?xml version="1.0" encoding="utf-8"?>
<c:userShapes xmlns:c="http://schemas.openxmlformats.org/drawingml/2006/chart">
  <cdr:relSizeAnchor xmlns:cdr="http://schemas.openxmlformats.org/drawingml/2006/chartDrawing">
    <cdr:from>
      <cdr:x>0.13367</cdr:x>
      <cdr:y>0</cdr:y>
    </cdr:from>
    <cdr:to>
      <cdr:x>0.369</cdr:x>
      <cdr:y>0.04945</cdr:y>
    </cdr:to>
    <cdr:sp macro="" textlink="">
      <cdr:nvSpPr>
        <cdr:cNvPr id="2" name="テキスト ボックス 1">
          <a:extLst xmlns:a="http://schemas.openxmlformats.org/drawingml/2006/main">
            <a:ext uri="{FF2B5EF4-FFF2-40B4-BE49-F238E27FC236}">
              <a16:creationId xmlns:a16="http://schemas.microsoft.com/office/drawing/2014/main" id="{AD4E025C-7C8D-D8AE-D3EE-CC0EEAD7C7DB}"/>
            </a:ext>
          </a:extLst>
        </cdr:cNvPr>
        <cdr:cNvSpPr txBox="1"/>
      </cdr:nvSpPr>
      <cdr:spPr>
        <a:xfrm xmlns:a="http://schemas.openxmlformats.org/drawingml/2006/main">
          <a:off x="676275" y="0"/>
          <a:ext cx="1190625" cy="2000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ja-JP" altLang="en-US" sz="1100"/>
        </a:p>
      </cdr:txBody>
    </cdr:sp>
  </cdr:relSizeAnchor>
  <cdr:relSizeAnchor xmlns:cdr="http://schemas.openxmlformats.org/drawingml/2006/chartDrawing">
    <cdr:from>
      <cdr:x>0.13814</cdr:x>
      <cdr:y>0.00941</cdr:y>
    </cdr:from>
    <cdr:to>
      <cdr:x>0.41795</cdr:x>
      <cdr:y>0.09647</cdr:y>
    </cdr:to>
    <cdr:sp macro="" textlink="">
      <cdr:nvSpPr>
        <cdr:cNvPr id="3" name="テキスト ボックス 2">
          <a:extLst xmlns:a="http://schemas.openxmlformats.org/drawingml/2006/main">
            <a:ext uri="{FF2B5EF4-FFF2-40B4-BE49-F238E27FC236}">
              <a16:creationId xmlns:a16="http://schemas.microsoft.com/office/drawing/2014/main" id="{B8E5B2C2-E803-2B04-DDEB-EE5E8143FE79}"/>
            </a:ext>
          </a:extLst>
        </cdr:cNvPr>
        <cdr:cNvSpPr txBox="1"/>
      </cdr:nvSpPr>
      <cdr:spPr>
        <a:xfrm xmlns:a="http://schemas.openxmlformats.org/drawingml/2006/main">
          <a:off x="625962" y="40251"/>
          <a:ext cx="1267857" cy="3723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（％）</a:t>
          </a:r>
        </a:p>
      </cdr:txBody>
    </cdr:sp>
  </cdr:relSizeAnchor>
  <cdr:relSizeAnchor xmlns:cdr="http://schemas.openxmlformats.org/drawingml/2006/chartDrawing">
    <cdr:from>
      <cdr:x>0.893</cdr:x>
      <cdr:y>0.91052</cdr:y>
    </cdr:from>
    <cdr:to>
      <cdr:x>0.98337</cdr:x>
      <cdr:y>1</cdr:y>
    </cdr:to>
    <cdr:sp macro="" textlink="">
      <cdr:nvSpPr>
        <cdr:cNvPr id="4" name="テキスト ボックス 3">
          <a:extLst xmlns:a="http://schemas.openxmlformats.org/drawingml/2006/main">
            <a:ext uri="{FF2B5EF4-FFF2-40B4-BE49-F238E27FC236}">
              <a16:creationId xmlns:a16="http://schemas.microsoft.com/office/drawing/2014/main" id="{47E21FA7-941F-61F4-6AAB-DD7F993CAB32}"/>
            </a:ext>
          </a:extLst>
        </cdr:cNvPr>
        <cdr:cNvSpPr txBox="1"/>
      </cdr:nvSpPr>
      <cdr:spPr>
        <a:xfrm xmlns:a="http://schemas.openxmlformats.org/drawingml/2006/main">
          <a:off x="4518025" y="3683001"/>
          <a:ext cx="457200" cy="3619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年</a:t>
          </a:r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cdr:txBody>
    </cdr:sp>
  </cdr:relSizeAnchor>
</c:userShape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A015BE-A8AD-4B9F-AF98-FBBA76D3A84F}">
  <sheetPr codeName="Sheet1">
    <tabColor theme="7"/>
  </sheetPr>
  <dimension ref="A1:O84"/>
  <sheetViews>
    <sheetView tabSelected="1" view="pageBreakPreview" zoomScale="85" zoomScaleNormal="100" zoomScaleSheetLayoutView="85" workbookViewId="0">
      <selection sqref="A1:N1"/>
    </sheetView>
  </sheetViews>
  <sheetFormatPr defaultRowHeight="18" x14ac:dyDescent="0.55000000000000004"/>
  <sheetData>
    <row r="1" spans="1:15" ht="26.5" x14ac:dyDescent="0.55000000000000004">
      <c r="A1" s="18" t="s">
        <v>1</v>
      </c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2"/>
    </row>
    <row r="3" spans="1:15" ht="26.5" x14ac:dyDescent="0.55000000000000004">
      <c r="A3" s="2" t="s">
        <v>2</v>
      </c>
    </row>
    <row r="23" spans="1:1" ht="26.5" x14ac:dyDescent="0.55000000000000004">
      <c r="A23" s="2" t="s">
        <v>20</v>
      </c>
    </row>
    <row r="43" spans="1:1" ht="26.5" x14ac:dyDescent="0.55000000000000004">
      <c r="A43" s="2" t="s">
        <v>22</v>
      </c>
    </row>
    <row r="64" spans="1:1" ht="26.5" x14ac:dyDescent="0.55000000000000004">
      <c r="A64" s="2" t="s">
        <v>24</v>
      </c>
    </row>
    <row r="66" spans="1:1" ht="26.5" x14ac:dyDescent="0.55000000000000004">
      <c r="A66" s="2"/>
    </row>
    <row r="84" spans="1:1" ht="26.5" x14ac:dyDescent="0.55000000000000004">
      <c r="A84" s="2" t="s">
        <v>27</v>
      </c>
    </row>
  </sheetData>
  <mergeCells count="1">
    <mergeCell ref="A1:N1"/>
  </mergeCells>
  <phoneticPr fontId="1"/>
  <pageMargins left="0.7" right="0.7" top="0.75" bottom="0.75" header="0.3" footer="0.3"/>
  <pageSetup paperSize="9" scale="6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autoFill="0" autoPict="0" macro="[0]!貼付">
                <anchor moveWithCells="1" sizeWithCells="1">
                  <from>
                    <xdr:col>16</xdr:col>
                    <xdr:colOff>69850</xdr:colOff>
                    <xdr:row>1</xdr:row>
                    <xdr:rowOff>25400</xdr:rowOff>
                  </from>
                  <to>
                    <xdr:col>17</xdr:col>
                    <xdr:colOff>596900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69970F-BEC4-4BBF-9C82-8AE0521C69FE}">
  <sheetPr codeName="Sheet5"/>
  <dimension ref="A1:B12"/>
  <sheetViews>
    <sheetView workbookViewId="0">
      <selection activeCell="A12" sqref="A12"/>
    </sheetView>
  </sheetViews>
  <sheetFormatPr defaultRowHeight="18" x14ac:dyDescent="0.55000000000000004"/>
  <cols>
    <col min="1" max="2" width="18.5" customWidth="1"/>
  </cols>
  <sheetData>
    <row r="1" spans="1:2" x14ac:dyDescent="0.55000000000000004">
      <c r="A1" s="9" t="str">
        <f ca="1">LEFT(CELL("filename",A1),FIND("[",CELL("filename",A1))-1)</f>
        <v>https://d.docs.live.net/db8eac9eaa5b2f1d/経済ファイル/02_分析/08_点検/</v>
      </c>
    </row>
    <row r="2" spans="1:2" ht="18.5" thickBot="1" x14ac:dyDescent="0.6">
      <c r="A2" s="9" t="str">
        <f ca="1">MID(CELL("filename",A1),FIND("[",CELL("filename",A1))+1,FIND("]",CELL("filename",A1))-FIND("[",CELL("filename",A1))-1)</f>
        <v>★図表.xlsm</v>
      </c>
      <c r="B2" s="8" t="s">
        <v>7</v>
      </c>
    </row>
    <row r="3" spans="1:2" ht="18.5" thickBot="1" x14ac:dyDescent="0.6">
      <c r="A3" s="12" t="s">
        <v>5</v>
      </c>
      <c r="B3" s="8" t="s">
        <v>9</v>
      </c>
    </row>
    <row r="4" spans="1:2" x14ac:dyDescent="0.55000000000000004">
      <c r="A4" s="10">
        <f>ROW($A$8)</f>
        <v>8</v>
      </c>
      <c r="B4" s="8" t="s">
        <v>6</v>
      </c>
    </row>
    <row r="5" spans="1:2" s="6" customFormat="1" x14ac:dyDescent="0.55000000000000004">
      <c r="A5" s="7" t="s">
        <v>8</v>
      </c>
    </row>
    <row r="6" spans="1:2" x14ac:dyDescent="0.55000000000000004">
      <c r="A6" s="11"/>
    </row>
    <row r="7" spans="1:2" ht="18.5" thickBot="1" x14ac:dyDescent="0.6"/>
    <row r="8" spans="1:2" x14ac:dyDescent="0.55000000000000004">
      <c r="A8" s="20" t="s">
        <v>4</v>
      </c>
      <c r="B8" s="21" t="s">
        <v>3</v>
      </c>
    </row>
    <row r="9" spans="1:2" x14ac:dyDescent="0.55000000000000004">
      <c r="A9" s="22" t="s">
        <v>19</v>
      </c>
      <c r="B9" s="23" t="s">
        <v>19</v>
      </c>
    </row>
    <row r="10" spans="1:2" x14ac:dyDescent="0.55000000000000004">
      <c r="A10" s="22" t="s">
        <v>21</v>
      </c>
      <c r="B10" s="23" t="s">
        <v>21</v>
      </c>
    </row>
    <row r="11" spans="1:2" x14ac:dyDescent="0.55000000000000004">
      <c r="A11" s="22" t="s">
        <v>23</v>
      </c>
      <c r="B11" s="23" t="s">
        <v>23</v>
      </c>
    </row>
    <row r="12" spans="1:2" ht="18.5" thickBot="1" x14ac:dyDescent="0.6">
      <c r="A12" s="24" t="s">
        <v>26</v>
      </c>
      <c r="B12" s="25" t="s">
        <v>25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autoFill="0" autoPict="0" macro="[0]!貼付">
                <anchor moveWithCells="1" sizeWithCells="1">
                  <from>
                    <xdr:col>6</xdr:col>
                    <xdr:colOff>12700</xdr:colOff>
                    <xdr:row>0</xdr:row>
                    <xdr:rowOff>38100</xdr:rowOff>
                  </from>
                  <to>
                    <xdr:col>7</xdr:col>
                    <xdr:colOff>539750</xdr:colOff>
                    <xdr:row>1</xdr:row>
                    <xdr:rowOff>203200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A7E0D3-D373-465C-B173-A4976DBDC002}">
  <sheetPr codeName="Sheet2">
    <tabColor theme="8" tint="0.79998168889431442"/>
  </sheetPr>
  <dimension ref="A1:J200"/>
  <sheetViews>
    <sheetView zoomScaleNormal="100" workbookViewId="0">
      <pane xSplit="2" ySplit="1" topLeftCell="G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defaultRowHeight="18" x14ac:dyDescent="0.55000000000000004"/>
  <cols>
    <col min="1" max="1" width="8.6640625" style="5"/>
    <col min="2" max="2" width="4.75" style="4" bestFit="1" customWidth="1"/>
    <col min="3" max="7" width="8.6640625" style="14"/>
    <col min="8" max="10" width="8.6640625" style="17"/>
  </cols>
  <sheetData>
    <row r="1" spans="1:10" s="1" customFormat="1" ht="33" x14ac:dyDescent="0.55000000000000004">
      <c r="A1" s="3" t="s">
        <v>15</v>
      </c>
      <c r="B1" s="3" t="s">
        <v>0</v>
      </c>
      <c r="C1" s="13" t="s">
        <v>10</v>
      </c>
      <c r="D1" s="13" t="s">
        <v>11</v>
      </c>
      <c r="E1" s="13" t="s">
        <v>12</v>
      </c>
      <c r="F1" s="13" t="s">
        <v>13</v>
      </c>
      <c r="G1" s="13" t="s">
        <v>14</v>
      </c>
      <c r="H1" s="15" t="s">
        <v>16</v>
      </c>
      <c r="I1" s="15" t="s">
        <v>17</v>
      </c>
      <c r="J1" s="15" t="s">
        <v>18</v>
      </c>
    </row>
    <row r="2" spans="1:10" x14ac:dyDescent="0.55000000000000004">
      <c r="A2" s="5">
        <v>-1</v>
      </c>
      <c r="B2" s="4">
        <v>0</v>
      </c>
      <c r="C2" s="14">
        <v>0</v>
      </c>
      <c r="D2" s="14">
        <v>1.5</v>
      </c>
      <c r="E2" s="14">
        <v>1.5</v>
      </c>
      <c r="F2" s="14">
        <v>1.5</v>
      </c>
      <c r="G2" s="14">
        <v>0</v>
      </c>
      <c r="H2" s="16">
        <v>2</v>
      </c>
      <c r="I2" s="16">
        <v>0.5</v>
      </c>
      <c r="J2" s="16">
        <v>-200</v>
      </c>
    </row>
    <row r="3" spans="1:10" ht="18" customHeight="1" x14ac:dyDescent="0.55000000000000004">
      <c r="A3" s="5">
        <f>A2+0.25</f>
        <v>-0.75</v>
      </c>
      <c r="B3" s="4">
        <f>B2</f>
        <v>0</v>
      </c>
      <c r="C3" s="14">
        <v>3.3488205426709321E-2</v>
      </c>
      <c r="D3" s="14">
        <v>1.6573876655055337</v>
      </c>
      <c r="E3" s="14">
        <v>1.6200488214049564</v>
      </c>
      <c r="F3" s="14">
        <v>1.514164889895498</v>
      </c>
      <c r="G3" s="14">
        <v>-9.9999999999964517E-6</v>
      </c>
      <c r="H3" s="16">
        <f>H2</f>
        <v>2</v>
      </c>
      <c r="I3" s="16">
        <f>I2</f>
        <v>0.5</v>
      </c>
      <c r="J3" s="16">
        <v>-200</v>
      </c>
    </row>
    <row r="4" spans="1:10" x14ac:dyDescent="0.55000000000000004">
      <c r="A4" s="5">
        <f t="shared" ref="A4:A67" si="0">A3+0.25</f>
        <v>-0.5</v>
      </c>
      <c r="B4" s="4">
        <f t="shared" ref="B4:B67" si="1">B3</f>
        <v>0</v>
      </c>
      <c r="C4" s="14">
        <v>9.0769099612936457E-2</v>
      </c>
      <c r="D4" s="14">
        <v>1.7882324643576384</v>
      </c>
      <c r="E4" s="14">
        <v>1.700919232560256</v>
      </c>
      <c r="F4" s="14">
        <v>1.5388309715970907</v>
      </c>
      <c r="G4" s="14">
        <v>-9.9999999999969363E-6</v>
      </c>
      <c r="H4" s="16">
        <f t="shared" ref="H4:H53" si="2">H3</f>
        <v>2</v>
      </c>
      <c r="I4" s="16">
        <f t="shared" ref="I4:I53" si="3">I3</f>
        <v>0.5</v>
      </c>
      <c r="J4" s="16">
        <v>-200</v>
      </c>
    </row>
    <row r="5" spans="1:10" x14ac:dyDescent="0.55000000000000004">
      <c r="A5" s="5">
        <f t="shared" si="0"/>
        <v>-0.25</v>
      </c>
      <c r="B5" s="4">
        <f t="shared" si="1"/>
        <v>0</v>
      </c>
      <c r="C5" s="14">
        <v>0.16516032460820018</v>
      </c>
      <c r="D5" s="14">
        <v>1.910973836650006</v>
      </c>
      <c r="E5" s="14">
        <v>1.7733501337212731</v>
      </c>
      <c r="F5" s="14">
        <v>1.5723238294518531</v>
      </c>
      <c r="G5" s="14">
        <v>-9.9999999999961231E-6</v>
      </c>
      <c r="H5" s="16">
        <f t="shared" si="2"/>
        <v>2</v>
      </c>
      <c r="I5" s="16">
        <f t="shared" si="3"/>
        <v>0.5</v>
      </c>
      <c r="J5" s="16">
        <v>-200</v>
      </c>
    </row>
    <row r="6" spans="1:10" x14ac:dyDescent="0.55000000000000004">
      <c r="A6" s="5">
        <f t="shared" si="0"/>
        <v>0</v>
      </c>
      <c r="B6" s="4">
        <f t="shared" si="1"/>
        <v>0</v>
      </c>
      <c r="C6" s="14">
        <v>0.22635885034944389</v>
      </c>
      <c r="D6" s="14">
        <v>2.0120817236021336</v>
      </c>
      <c r="E6" s="14">
        <v>1.832075349157313</v>
      </c>
      <c r="F6" s="14">
        <v>1.6119020399253783</v>
      </c>
      <c r="G6" s="14">
        <v>0.14648745553971695</v>
      </c>
      <c r="H6" s="16">
        <f t="shared" si="2"/>
        <v>2</v>
      </c>
      <c r="I6" s="16">
        <f t="shared" si="3"/>
        <v>0.5</v>
      </c>
      <c r="J6" s="16">
        <v>100</v>
      </c>
    </row>
    <row r="7" spans="1:10" x14ac:dyDescent="0.55000000000000004">
      <c r="A7" s="5">
        <f t="shared" si="0"/>
        <v>0.25</v>
      </c>
      <c r="B7" s="4">
        <f t="shared" si="1"/>
        <v>0</v>
      </c>
      <c r="C7" s="14">
        <v>0.24992084702376424</v>
      </c>
      <c r="D7" s="14">
        <v>2.074014150281954</v>
      </c>
      <c r="E7" s="14">
        <v>1.8737954754274537</v>
      </c>
      <c r="F7" s="14">
        <v>1.6534921298574701</v>
      </c>
      <c r="G7" s="14">
        <v>0.35642061867104624</v>
      </c>
      <c r="H7" s="16">
        <f t="shared" si="2"/>
        <v>2</v>
      </c>
      <c r="I7" s="16">
        <f t="shared" si="3"/>
        <v>0.5</v>
      </c>
      <c r="J7" s="16">
        <v>-200</v>
      </c>
    </row>
    <row r="8" spans="1:10" x14ac:dyDescent="0.55000000000000004">
      <c r="A8" s="5">
        <f t="shared" si="0"/>
        <v>0.5</v>
      </c>
      <c r="B8" s="4">
        <f t="shared" si="1"/>
        <v>0</v>
      </c>
      <c r="C8" s="14">
        <v>0.23978613835948714</v>
      </c>
      <c r="D8" s="14">
        <v>2.0965754683781084</v>
      </c>
      <c r="E8" s="14">
        <v>1.8990045530898327</v>
      </c>
      <c r="F8" s="14">
        <v>1.6933696303243275</v>
      </c>
      <c r="G8" s="14">
        <v>0.48164652485099568</v>
      </c>
      <c r="H8" s="16">
        <f t="shared" si="2"/>
        <v>2</v>
      </c>
      <c r="I8" s="16">
        <f t="shared" si="3"/>
        <v>0.5</v>
      </c>
      <c r="J8" s="16">
        <v>-200</v>
      </c>
    </row>
    <row r="9" spans="1:10" x14ac:dyDescent="0.55000000000000004">
      <c r="A9" s="5">
        <f t="shared" si="0"/>
        <v>0.75</v>
      </c>
      <c r="B9" s="4">
        <f t="shared" si="1"/>
        <v>0</v>
      </c>
      <c r="C9" s="14">
        <v>0.21030707432105028</v>
      </c>
      <c r="D9" s="14">
        <v>2.0915092251004235</v>
      </c>
      <c r="E9" s="14">
        <v>1.9121026729121597</v>
      </c>
      <c r="F9" s="14">
        <v>1.7292021938541762</v>
      </c>
      <c r="G9" s="14">
        <v>0.52915482804008873</v>
      </c>
      <c r="H9" s="16">
        <f t="shared" si="2"/>
        <v>2</v>
      </c>
      <c r="I9" s="16">
        <f t="shared" si="3"/>
        <v>0.5</v>
      </c>
      <c r="J9" s="16">
        <v>-200</v>
      </c>
    </row>
    <row r="10" spans="1:10" x14ac:dyDescent="0.55000000000000004">
      <c r="A10" s="5">
        <f t="shared" si="0"/>
        <v>1</v>
      </c>
      <c r="B10" s="4">
        <f t="shared" si="1"/>
        <v>0</v>
      </c>
      <c r="C10" s="14">
        <v>0.17550581645697874</v>
      </c>
      <c r="D10" s="14">
        <v>2.0733268137091172</v>
      </c>
      <c r="E10" s="14">
        <v>1.918549084468727</v>
      </c>
      <c r="F10" s="14">
        <v>1.760173409641121</v>
      </c>
      <c r="G10" s="14">
        <v>0.52645840883100115</v>
      </c>
      <c r="H10" s="16">
        <f t="shared" si="2"/>
        <v>2</v>
      </c>
      <c r="I10" s="16">
        <f t="shared" si="3"/>
        <v>0.5</v>
      </c>
      <c r="J10" s="16">
        <v>-200</v>
      </c>
    </row>
    <row r="11" spans="1:10" x14ac:dyDescent="0.55000000000000004">
      <c r="A11" s="5">
        <f t="shared" si="0"/>
        <v>1.25</v>
      </c>
      <c r="B11" s="4">
        <f t="shared" si="1"/>
        <v>0</v>
      </c>
      <c r="C11" s="14">
        <v>0.14445152085888557</v>
      </c>
      <c r="D11" s="14">
        <v>2.0533338527440046</v>
      </c>
      <c r="E11" s="14">
        <v>1.9227184010319971</v>
      </c>
      <c r="F11" s="14">
        <v>1.7865578495203804</v>
      </c>
      <c r="G11" s="14">
        <v>0.50250334972984656</v>
      </c>
      <c r="H11" s="16">
        <f t="shared" si="2"/>
        <v>2</v>
      </c>
      <c r="I11" s="16">
        <f t="shared" si="3"/>
        <v>0.5</v>
      </c>
      <c r="J11" s="16">
        <v>-200</v>
      </c>
    </row>
    <row r="12" spans="1:10" x14ac:dyDescent="0.55000000000000004">
      <c r="A12" s="5">
        <f t="shared" si="0"/>
        <v>1.5</v>
      </c>
      <c r="B12" s="4">
        <f t="shared" si="1"/>
        <v>0</v>
      </c>
      <c r="C12" s="14">
        <v>0.12079314247462751</v>
      </c>
      <c r="D12" s="14">
        <v>2.0376571570136939</v>
      </c>
      <c r="E12" s="14">
        <v>1.9271154910336268</v>
      </c>
      <c r="F12" s="14">
        <v>1.8091567871947787</v>
      </c>
      <c r="G12" s="14">
        <v>0.47772419226448648</v>
      </c>
      <c r="H12" s="16">
        <f t="shared" si="2"/>
        <v>2</v>
      </c>
      <c r="I12" s="16">
        <f t="shared" si="3"/>
        <v>0.5</v>
      </c>
      <c r="J12" s="16">
        <v>-200</v>
      </c>
    </row>
    <row r="13" spans="1:10" x14ac:dyDescent="0.55000000000000004">
      <c r="A13" s="5">
        <f t="shared" si="0"/>
        <v>1.75</v>
      </c>
      <c r="B13" s="4">
        <f t="shared" si="1"/>
        <v>0</v>
      </c>
      <c r="C13" s="14">
        <v>0.10434109574713313</v>
      </c>
      <c r="D13" s="14">
        <v>2.0279533862063412</v>
      </c>
      <c r="E13" s="14">
        <v>1.9325789896771899</v>
      </c>
      <c r="F13" s="14">
        <v>1.8288484811058192</v>
      </c>
      <c r="G13" s="14">
        <v>0.46193950463197841</v>
      </c>
      <c r="H13" s="16">
        <f t="shared" si="2"/>
        <v>2</v>
      </c>
      <c r="I13" s="16">
        <f t="shared" si="3"/>
        <v>0.5</v>
      </c>
      <c r="J13" s="16">
        <v>-200</v>
      </c>
    </row>
    <row r="14" spans="1:10" x14ac:dyDescent="0.55000000000000004">
      <c r="A14" s="5">
        <f t="shared" si="0"/>
        <v>2</v>
      </c>
      <c r="B14" s="4">
        <f t="shared" si="1"/>
        <v>0</v>
      </c>
      <c r="C14" s="14">
        <v>9.3085048777225204E-2</v>
      </c>
      <c r="D14" s="14">
        <v>2.023195555525088</v>
      </c>
      <c r="E14" s="14">
        <v>1.9389110926285533</v>
      </c>
      <c r="F14" s="14">
        <v>1.8463397178035534</v>
      </c>
      <c r="G14" s="14">
        <v>0.45675491150406788</v>
      </c>
      <c r="H14" s="16">
        <f t="shared" si="2"/>
        <v>2</v>
      </c>
      <c r="I14" s="16">
        <f t="shared" si="3"/>
        <v>0.5</v>
      </c>
      <c r="J14" s="16">
        <v>-200</v>
      </c>
    </row>
    <row r="15" spans="1:10" x14ac:dyDescent="0.55000000000000004">
      <c r="A15" s="5">
        <f t="shared" si="0"/>
        <v>2.25</v>
      </c>
      <c r="B15" s="4">
        <f t="shared" si="1"/>
        <v>0</v>
      </c>
      <c r="C15" s="14">
        <v>8.4755400293326275E-2</v>
      </c>
      <c r="D15" s="14">
        <v>2.0213980027328438</v>
      </c>
      <c r="E15" s="14">
        <v>1.9455106934577913</v>
      </c>
      <c r="F15" s="14">
        <v>1.8620949634471895</v>
      </c>
      <c r="G15" s="14">
        <v>0.45936221004051464</v>
      </c>
      <c r="H15" s="16">
        <f t="shared" si="2"/>
        <v>2</v>
      </c>
      <c r="I15" s="16">
        <f t="shared" si="3"/>
        <v>0.5</v>
      </c>
      <c r="J15" s="16">
        <v>-200</v>
      </c>
    </row>
    <row r="16" spans="1:10" x14ac:dyDescent="0.55000000000000004">
      <c r="A16" s="5">
        <f t="shared" si="0"/>
        <v>2.5</v>
      </c>
      <c r="B16" s="4">
        <f t="shared" si="1"/>
        <v>0</v>
      </c>
      <c r="C16" s="14">
        <v>7.765697948701196E-2</v>
      </c>
      <c r="D16" s="14">
        <v>2.0207517225958886</v>
      </c>
      <c r="E16" s="14">
        <v>1.9518034150084116</v>
      </c>
      <c r="F16" s="14">
        <v>1.8763740717705726</v>
      </c>
      <c r="G16" s="14">
        <v>0.46577836472872614</v>
      </c>
      <c r="H16" s="16">
        <f t="shared" si="2"/>
        <v>2</v>
      </c>
      <c r="I16" s="16">
        <f t="shared" si="3"/>
        <v>0.5</v>
      </c>
      <c r="J16" s="16">
        <v>-200</v>
      </c>
    </row>
    <row r="17" spans="1:10" x14ac:dyDescent="0.55000000000000004">
      <c r="A17" s="5">
        <f t="shared" si="0"/>
        <v>2.75</v>
      </c>
      <c r="B17" s="4">
        <f t="shared" si="1"/>
        <v>0</v>
      </c>
      <c r="C17" s="14">
        <v>7.0883866381532878E-2</v>
      </c>
      <c r="D17" s="14">
        <v>2.0201093588094317</v>
      </c>
      <c r="E17" s="14">
        <v>1.9574354104869285</v>
      </c>
      <c r="F17" s="14">
        <v>1.88931024760407</v>
      </c>
      <c r="G17" s="14">
        <v>0.47276784843905889</v>
      </c>
      <c r="H17" s="16">
        <f t="shared" si="2"/>
        <v>2</v>
      </c>
      <c r="I17" s="16">
        <f t="shared" si="3"/>
        <v>0.5</v>
      </c>
      <c r="J17" s="16">
        <v>-200</v>
      </c>
    </row>
    <row r="18" spans="1:10" x14ac:dyDescent="0.55000000000000004">
      <c r="A18" s="5">
        <f t="shared" si="0"/>
        <v>3</v>
      </c>
      <c r="B18" s="4">
        <f t="shared" si="1"/>
        <v>0</v>
      </c>
      <c r="C18" s="14">
        <v>6.4168919136775512E-2</v>
      </c>
      <c r="D18" s="14">
        <v>2.0190023817166916</v>
      </c>
      <c r="E18" s="14">
        <v>1.9622918255522432</v>
      </c>
      <c r="F18" s="14">
        <v>1.9009825396742059</v>
      </c>
      <c r="G18" s="14">
        <v>0.47851381104397489</v>
      </c>
      <c r="H18" s="16">
        <f t="shared" si="2"/>
        <v>2</v>
      </c>
      <c r="I18" s="16">
        <f t="shared" si="3"/>
        <v>0.5</v>
      </c>
      <c r="J18" s="16">
        <v>-200</v>
      </c>
    </row>
    <row r="19" spans="1:10" x14ac:dyDescent="0.55000000000000004">
      <c r="A19" s="5">
        <f t="shared" si="0"/>
        <v>3.25</v>
      </c>
      <c r="B19" s="4">
        <f t="shared" si="1"/>
        <v>0</v>
      </c>
      <c r="C19" s="14">
        <v>5.7607755483568272E-2</v>
      </c>
      <c r="D19" s="14">
        <v>2.017429602387669</v>
      </c>
      <c r="E19" s="14">
        <v>1.9664259214045989</v>
      </c>
      <c r="F19" s="14">
        <v>1.9114627753184177</v>
      </c>
      <c r="G19" s="14">
        <v>0.48247536774889072</v>
      </c>
      <c r="H19" s="16">
        <f t="shared" si="2"/>
        <v>2</v>
      </c>
      <c r="I19" s="16">
        <f t="shared" si="3"/>
        <v>0.5</v>
      </c>
      <c r="J19" s="16">
        <v>-200</v>
      </c>
    </row>
    <row r="20" spans="1:10" x14ac:dyDescent="0.55000000000000004">
      <c r="A20" s="5">
        <f t="shared" si="0"/>
        <v>3.5</v>
      </c>
      <c r="B20" s="4">
        <f t="shared" si="1"/>
        <v>0</v>
      </c>
      <c r="C20" s="14">
        <v>5.1412300290928678E-2</v>
      </c>
      <c r="D20" s="14">
        <v>2.0156053618207128</v>
      </c>
      <c r="E20" s="14">
        <v>1.9699688709923135</v>
      </c>
      <c r="F20" s="14">
        <v>1.9208356081036242</v>
      </c>
      <c r="G20" s="14">
        <v>0.48490373264472236</v>
      </c>
      <c r="H20" s="16">
        <f t="shared" si="2"/>
        <v>2</v>
      </c>
      <c r="I20" s="16">
        <f t="shared" si="3"/>
        <v>0.5</v>
      </c>
      <c r="J20" s="16">
        <v>-200</v>
      </c>
    </row>
    <row r="21" spans="1:10" x14ac:dyDescent="0.55000000000000004">
      <c r="A21" s="5">
        <f t="shared" si="0"/>
        <v>3.75</v>
      </c>
      <c r="B21" s="4">
        <f t="shared" si="1"/>
        <v>0</v>
      </c>
      <c r="C21" s="14">
        <v>4.5758230688951816E-2</v>
      </c>
      <c r="D21" s="14">
        <v>2.0137702701887856</v>
      </c>
      <c r="E21" s="14">
        <v>1.9730598506052397</v>
      </c>
      <c r="F21" s="14">
        <v>1.9291997276912887</v>
      </c>
      <c r="G21" s="14">
        <v>0.48635325968919124</v>
      </c>
      <c r="H21" s="16">
        <f t="shared" si="2"/>
        <v>2</v>
      </c>
      <c r="I21" s="16">
        <f t="shared" si="3"/>
        <v>0.5</v>
      </c>
      <c r="J21" s="16">
        <v>-200</v>
      </c>
    </row>
    <row r="22" spans="1:10" x14ac:dyDescent="0.55000000000000004">
      <c r="A22" s="5">
        <f t="shared" si="0"/>
        <v>4</v>
      </c>
      <c r="B22" s="4">
        <f t="shared" si="1"/>
        <v>0</v>
      </c>
      <c r="C22" s="14">
        <v>4.0726473588489118E-2</v>
      </c>
      <c r="D22" s="14">
        <v>2.0120931817988272</v>
      </c>
      <c r="E22" s="14">
        <v>1.9758086939689155</v>
      </c>
      <c r="F22" s="14">
        <v>1.9366601385609672</v>
      </c>
      <c r="G22" s="14">
        <v>0.48734911982212709</v>
      </c>
      <c r="H22" s="16">
        <f t="shared" si="2"/>
        <v>2</v>
      </c>
      <c r="I22" s="16">
        <f t="shared" si="3"/>
        <v>0.5</v>
      </c>
      <c r="J22" s="16">
        <v>-200</v>
      </c>
    </row>
    <row r="23" spans="1:10" x14ac:dyDescent="0.55000000000000004">
      <c r="A23" s="5">
        <f t="shared" si="0"/>
        <v>4.25</v>
      </c>
      <c r="B23" s="4">
        <f t="shared" si="1"/>
        <v>0</v>
      </c>
      <c r="C23" s="14">
        <v>3.6308281639759334E-2</v>
      </c>
      <c r="D23" s="14">
        <v>2.0106484309397934</v>
      </c>
      <c r="E23" s="14">
        <v>1.9782863374358695</v>
      </c>
      <c r="F23" s="14">
        <v>1.9433190848750617</v>
      </c>
      <c r="G23" s="14">
        <v>0.48823772933549975</v>
      </c>
      <c r="H23" s="16">
        <f t="shared" si="2"/>
        <v>2</v>
      </c>
      <c r="I23" s="16">
        <f t="shared" si="3"/>
        <v>0.5</v>
      </c>
      <c r="J23" s="16">
        <v>-200</v>
      </c>
    </row>
    <row r="24" spans="1:10" x14ac:dyDescent="0.55000000000000004">
      <c r="A24" s="5">
        <f t="shared" si="0"/>
        <v>4.5</v>
      </c>
      <c r="B24" s="4">
        <f t="shared" si="1"/>
        <v>0</v>
      </c>
      <c r="C24" s="14">
        <v>3.243872265461261E-2</v>
      </c>
      <c r="D24" s="14">
        <v>2.0094362307319713</v>
      </c>
      <c r="E24" s="14">
        <v>1.980531749078104</v>
      </c>
      <c r="F24" s="14">
        <v>1.9492696280021835</v>
      </c>
      <c r="G24" s="14">
        <v>0.48917292536110113</v>
      </c>
      <c r="H24" s="16">
        <f t="shared" si="2"/>
        <v>2</v>
      </c>
      <c r="I24" s="16">
        <f t="shared" si="3"/>
        <v>0.5</v>
      </c>
      <c r="J24" s="16">
        <v>-200</v>
      </c>
    </row>
    <row r="25" spans="1:10" x14ac:dyDescent="0.55000000000000004">
      <c r="A25" s="5">
        <f t="shared" si="0"/>
        <v>4.75</v>
      </c>
      <c r="B25" s="4">
        <f t="shared" si="1"/>
        <v>0</v>
      </c>
      <c r="C25" s="14">
        <v>2.9032618640441179E-2</v>
      </c>
      <c r="D25" s="14">
        <v>2.0084169535265208</v>
      </c>
      <c r="E25" s="14">
        <v>1.9825645397884815</v>
      </c>
      <c r="F25" s="14">
        <v>1.9545928872993739</v>
      </c>
      <c r="G25" s="14">
        <v>0.49017137192825599</v>
      </c>
      <c r="H25" s="16">
        <f t="shared" si="2"/>
        <v>2</v>
      </c>
      <c r="I25" s="16">
        <f t="shared" si="3"/>
        <v>0.5</v>
      </c>
      <c r="J25" s="16">
        <v>-200</v>
      </c>
    </row>
    <row r="26" spans="1:10" x14ac:dyDescent="0.55000000000000004">
      <c r="A26" s="5">
        <f t="shared" si="0"/>
        <v>5</v>
      </c>
      <c r="B26" s="4">
        <f t="shared" si="1"/>
        <v>0</v>
      </c>
      <c r="C26" s="14">
        <v>2.6009782320742074E-2</v>
      </c>
      <c r="D26" s="14">
        <v>2.0075407477544758</v>
      </c>
      <c r="E26" s="14">
        <v>1.9843963124071922</v>
      </c>
      <c r="F26" s="14">
        <v>1.9593581947403331</v>
      </c>
      <c r="G26" s="14">
        <v>0.49118293094921134</v>
      </c>
      <c r="H26" s="16">
        <f t="shared" si="2"/>
        <v>2</v>
      </c>
      <c r="I26" s="16">
        <f t="shared" si="3"/>
        <v>0.5</v>
      </c>
      <c r="J26" s="16">
        <v>-200</v>
      </c>
    </row>
    <row r="27" spans="1:10" x14ac:dyDescent="0.55000000000000004">
      <c r="A27" s="5">
        <f t="shared" si="0"/>
        <v>5.25</v>
      </c>
      <c r="B27" s="4">
        <f t="shared" si="1"/>
        <v>0</v>
      </c>
      <c r="C27" s="14">
        <v>2.3306797004093393E-2</v>
      </c>
      <c r="D27" s="14">
        <v>2.0067653126865199</v>
      </c>
      <c r="E27" s="14">
        <v>1.986037701538607</v>
      </c>
      <c r="F27" s="14">
        <v>1.9636248353554899</v>
      </c>
      <c r="G27" s="14">
        <v>0.49214535175199831</v>
      </c>
      <c r="H27" s="16">
        <f t="shared" si="2"/>
        <v>2</v>
      </c>
      <c r="I27" s="16">
        <f t="shared" si="3"/>
        <v>0.5</v>
      </c>
      <c r="J27" s="16">
        <v>-200</v>
      </c>
    </row>
    <row r="28" spans="1:10" x14ac:dyDescent="0.55000000000000004">
      <c r="A28" s="5">
        <f t="shared" si="0"/>
        <v>5.5</v>
      </c>
      <c r="B28" s="4">
        <f t="shared" si="1"/>
        <v>0</v>
      </c>
      <c r="C28" s="14">
        <v>2.0878395202665316E-2</v>
      </c>
      <c r="D28" s="14">
        <v>2.0060619734825962</v>
      </c>
      <c r="E28" s="14">
        <v>1.9875012674787538</v>
      </c>
      <c r="F28" s="14">
        <v>1.9674441777869294</v>
      </c>
      <c r="G28" s="14">
        <v>0.49301357682048474</v>
      </c>
      <c r="H28" s="16">
        <f t="shared" si="2"/>
        <v>2</v>
      </c>
      <c r="I28" s="16">
        <f t="shared" si="3"/>
        <v>0.5</v>
      </c>
      <c r="J28" s="16">
        <v>-200</v>
      </c>
    </row>
    <row r="29" spans="1:10" x14ac:dyDescent="0.55000000000000004">
      <c r="A29" s="5">
        <f t="shared" si="0"/>
        <v>5.75</v>
      </c>
      <c r="B29" s="4">
        <f t="shared" si="1"/>
        <v>0</v>
      </c>
      <c r="C29" s="14">
        <v>1.8693334352696257E-2</v>
      </c>
      <c r="D29" s="14">
        <v>2.0054144164445882</v>
      </c>
      <c r="E29" s="14">
        <v>1.9888011959946121</v>
      </c>
      <c r="F29" s="14">
        <v>1.9708614992661189</v>
      </c>
      <c r="G29" s="14">
        <v>0.49376758108430108</v>
      </c>
      <c r="H29" s="16">
        <f t="shared" si="2"/>
        <v>2</v>
      </c>
      <c r="I29" s="16">
        <f t="shared" si="3"/>
        <v>0.5</v>
      </c>
      <c r="J29" s="16">
        <v>-200</v>
      </c>
    </row>
    <row r="30" spans="1:10" x14ac:dyDescent="0.55000000000000004">
      <c r="A30" s="5">
        <f t="shared" si="0"/>
        <v>6</v>
      </c>
      <c r="B30" s="4">
        <f t="shared" si="1"/>
        <v>0</v>
      </c>
      <c r="C30" s="14">
        <v>1.6728821100437885E-2</v>
      </c>
      <c r="D30" s="14">
        <v>2.0048135627889287</v>
      </c>
      <c r="E30" s="14">
        <v>1.9899520832282225</v>
      </c>
      <c r="F30" s="14">
        <v>1.9739171849831716</v>
      </c>
      <c r="G30" s="14">
        <v>0.49440694041077454</v>
      </c>
      <c r="H30" s="16">
        <f t="shared" si="2"/>
        <v>2</v>
      </c>
      <c r="I30" s="16">
        <f t="shared" si="3"/>
        <v>0.5</v>
      </c>
      <c r="J30" s="16">
        <v>-200</v>
      </c>
    </row>
    <row r="31" spans="1:10" x14ac:dyDescent="0.55000000000000004">
      <c r="A31" s="5">
        <f t="shared" si="0"/>
        <v>6.25</v>
      </c>
      <c r="B31" s="4">
        <f t="shared" si="1"/>
        <v>0</v>
      </c>
      <c r="C31" s="14">
        <v>1.4966056864819664E-2</v>
      </c>
      <c r="D31" s="14">
        <v>2.0042532072741222</v>
      </c>
      <c r="E31" s="14">
        <v>1.990966599818639</v>
      </c>
      <c r="F31" s="14">
        <v>1.9766474269893572</v>
      </c>
      <c r="G31" s="14">
        <v>0.49494139575592377</v>
      </c>
      <c r="H31" s="16">
        <f t="shared" si="2"/>
        <v>2</v>
      </c>
      <c r="I31" s="16">
        <f t="shared" si="3"/>
        <v>0.5</v>
      </c>
      <c r="J31" s="16">
        <v>-200</v>
      </c>
    </row>
    <row r="32" spans="1:10" x14ac:dyDescent="0.55000000000000004">
      <c r="A32" s="5">
        <f t="shared" si="0"/>
        <v>6.5</v>
      </c>
      <c r="B32" s="4">
        <f t="shared" si="1"/>
        <v>0</v>
      </c>
      <c r="C32" s="14">
        <v>1.3387482472846978E-2</v>
      </c>
      <c r="D32" s="14">
        <v>2.0037250077073105</v>
      </c>
      <c r="E32" s="14">
        <v>1.9918550883554424</v>
      </c>
      <c r="F32" s="14">
        <v>1.979084409253973</v>
      </c>
      <c r="G32" s="14">
        <v>0.49538095114814523</v>
      </c>
      <c r="H32" s="16">
        <f t="shared" si="2"/>
        <v>2</v>
      </c>
      <c r="I32" s="16">
        <f t="shared" si="3"/>
        <v>0.5</v>
      </c>
      <c r="J32" s="16">
        <v>-200</v>
      </c>
    </row>
    <row r="33" spans="1:10" x14ac:dyDescent="0.55000000000000004">
      <c r="A33" s="5">
        <f t="shared" si="0"/>
        <v>6.75</v>
      </c>
      <c r="B33" s="4">
        <f t="shared" si="1"/>
        <v>0</v>
      </c>
      <c r="C33" s="14">
        <v>1.1976002735080865E-2</v>
      </c>
      <c r="D33" s="14">
        <v>2.0032183617393464</v>
      </c>
      <c r="E33" s="14">
        <v>1.9926224974891862</v>
      </c>
      <c r="F33" s="14">
        <v>1.9812564649776565</v>
      </c>
      <c r="G33" s="14">
        <v>0.4957310657626196</v>
      </c>
      <c r="H33" s="16">
        <f t="shared" si="2"/>
        <v>2</v>
      </c>
      <c r="I33" s="16">
        <f t="shared" si="3"/>
        <v>0.5</v>
      </c>
      <c r="J33" s="16">
        <v>-200</v>
      </c>
    </row>
    <row r="34" spans="1:10" x14ac:dyDescent="0.55000000000000004">
      <c r="A34" s="5">
        <f t="shared" si="0"/>
        <v>7</v>
      </c>
      <c r="B34" s="4">
        <f t="shared" si="1"/>
        <v>0</v>
      </c>
      <c r="C34" s="14">
        <v>1.0714670833336293E-2</v>
      </c>
      <c r="D34" s="14">
        <v>2.0027146576746513</v>
      </c>
      <c r="E34" s="14">
        <v>1.9932710837948331</v>
      </c>
      <c r="F34" s="14">
        <v>1.9831877023203861</v>
      </c>
      <c r="G34" s="14">
        <v>0.49598652823022837</v>
      </c>
      <c r="H34" s="16">
        <f t="shared" si="2"/>
        <v>2</v>
      </c>
      <c r="I34" s="16">
        <f t="shared" si="3"/>
        <v>0.5</v>
      </c>
      <c r="J34" s="16">
        <v>-200</v>
      </c>
    </row>
    <row r="35" spans="1:10" x14ac:dyDescent="0.55000000000000004">
      <c r="A35" s="5">
        <f t="shared" si="0"/>
        <v>7.25</v>
      </c>
      <c r="B35" s="4">
        <f t="shared" si="1"/>
        <v>0</v>
      </c>
      <c r="C35" s="14">
        <v>9.587864139436162E-3</v>
      </c>
      <c r="D35" s="14">
        <v>2.0021936421755511</v>
      </c>
      <c r="E35" s="14">
        <v>1.9937923911141822</v>
      </c>
      <c r="F35" s="14">
        <v>1.9848982369073511</v>
      </c>
      <c r="G35" s="14">
        <v>0.49613447047209647</v>
      </c>
      <c r="H35" s="16">
        <f t="shared" si="2"/>
        <v>2</v>
      </c>
      <c r="I35" s="16">
        <f t="shared" si="3"/>
        <v>0.5</v>
      </c>
      <c r="J35" s="16">
        <v>-200</v>
      </c>
    </row>
    <row r="36" spans="1:10" x14ac:dyDescent="0.55000000000000004">
      <c r="A36" s="5">
        <f t="shared" si="0"/>
        <v>7.5</v>
      </c>
      <c r="B36" s="4">
        <f t="shared" si="1"/>
        <v>0</v>
      </c>
      <c r="C36" s="14">
        <v>8.5804369511346366E-3</v>
      </c>
      <c r="D36" s="14">
        <v>2.0016166230662598</v>
      </c>
      <c r="E36" s="14">
        <v>1.9941781077946739</v>
      </c>
      <c r="F36" s="14">
        <v>1.986402891661653</v>
      </c>
      <c r="G36" s="14">
        <v>0.49614317803160873</v>
      </c>
      <c r="H36" s="16">
        <f t="shared" si="2"/>
        <v>2</v>
      </c>
      <c r="I36" s="16">
        <f t="shared" si="3"/>
        <v>0.5</v>
      </c>
      <c r="J36" s="16">
        <v>-200</v>
      </c>
    </row>
    <row r="37" spans="1:10" x14ac:dyDescent="0.55000000000000004">
      <c r="A37" s="5">
        <f t="shared" si="0"/>
        <v>7.75</v>
      </c>
      <c r="B37" s="4">
        <f t="shared" si="1"/>
        <v>0</v>
      </c>
      <c r="C37" s="14">
        <v>7.6804077896918625E-3</v>
      </c>
      <c r="D37" s="14">
        <v>2.0009500018463493</v>
      </c>
      <c r="E37" s="14">
        <v>1.9943935497089904</v>
      </c>
      <c r="F37" s="14">
        <v>1.9877121315782755</v>
      </c>
      <c r="G37" s="14">
        <v>0.49597589324635877</v>
      </c>
      <c r="H37" s="16">
        <f t="shared" si="2"/>
        <v>2</v>
      </c>
      <c r="I37" s="16">
        <f t="shared" si="3"/>
        <v>0.5</v>
      </c>
      <c r="J37" s="16">
        <v>-200</v>
      </c>
    </row>
    <row r="38" spans="1:10" x14ac:dyDescent="0.55000000000000004">
      <c r="A38" s="5">
        <f t="shared" si="0"/>
        <v>8</v>
      </c>
      <c r="B38" s="4">
        <f t="shared" si="1"/>
        <v>0</v>
      </c>
      <c r="C38" s="14">
        <v>6.874470260309273E-3</v>
      </c>
      <c r="D38" s="14">
        <v>2.0001090101169865</v>
      </c>
      <c r="E38" s="14">
        <v>1.9944171309182339</v>
      </c>
      <c r="F38" s="14">
        <v>1.9888278506467596</v>
      </c>
      <c r="G38" s="14">
        <v>0.4955529783278661</v>
      </c>
      <c r="H38" s="16">
        <f t="shared" si="2"/>
        <v>2</v>
      </c>
      <c r="I38" s="16">
        <f t="shared" si="3"/>
        <v>0.5</v>
      </c>
      <c r="J38" s="16">
        <v>-200</v>
      </c>
    </row>
    <row r="39" spans="1:10" x14ac:dyDescent="0.55000000000000004">
      <c r="A39" s="5">
        <f t="shared" si="0"/>
        <v>8.25</v>
      </c>
      <c r="B39" s="4">
        <f t="shared" si="1"/>
        <v>0</v>
      </c>
      <c r="C39" s="14">
        <v>6.156298317122339E-3</v>
      </c>
      <c r="D39" s="14">
        <v>1.9990430290566601</v>
      </c>
      <c r="E39" s="14">
        <v>1.9941518930418045</v>
      </c>
      <c r="F39" s="14">
        <v>1.9897472167036507</v>
      </c>
      <c r="G39" s="14">
        <v>0.49480178344934</v>
      </c>
      <c r="H39" s="16">
        <f t="shared" si="2"/>
        <v>2</v>
      </c>
      <c r="I39" s="16">
        <f t="shared" si="3"/>
        <v>0.5</v>
      </c>
      <c r="J39" s="16">
        <v>-200</v>
      </c>
    </row>
    <row r="40" spans="1:10" x14ac:dyDescent="0.55000000000000004">
      <c r="A40" s="5">
        <f t="shared" si="0"/>
        <v>8.5</v>
      </c>
      <c r="B40" s="4">
        <f t="shared" si="1"/>
        <v>0</v>
      </c>
      <c r="C40" s="14">
        <v>5.5107146399101031E-3</v>
      </c>
      <c r="D40" s="14">
        <v>1.9975478229745172</v>
      </c>
      <c r="E40" s="14">
        <v>1.9935676940040663</v>
      </c>
      <c r="F40" s="14">
        <v>1.9904492712680286</v>
      </c>
      <c r="G40" s="14">
        <v>0.49353153600036698</v>
      </c>
      <c r="H40" s="16">
        <f t="shared" si="2"/>
        <v>2</v>
      </c>
      <c r="I40" s="16">
        <f t="shared" si="3"/>
        <v>0.5</v>
      </c>
      <c r="J40" s="16">
        <v>-200</v>
      </c>
    </row>
    <row r="41" spans="1:10" x14ac:dyDescent="0.55000000000000004">
      <c r="A41" s="5">
        <f t="shared" si="0"/>
        <v>8.75</v>
      </c>
      <c r="B41" s="4">
        <f t="shared" si="1"/>
        <v>0</v>
      </c>
      <c r="C41" s="14">
        <v>4.9426817262087216E-3</v>
      </c>
      <c r="D41" s="14">
        <v>1.9955721997707918</v>
      </c>
      <c r="E41" s="14">
        <v>1.9924035996646419</v>
      </c>
      <c r="F41" s="14">
        <v>1.9909103348332773</v>
      </c>
      <c r="G41" s="14">
        <v>0.49161748716734954</v>
      </c>
      <c r="H41" s="16">
        <f t="shared" si="2"/>
        <v>2</v>
      </c>
      <c r="I41" s="16">
        <f t="shared" si="3"/>
        <v>0.5</v>
      </c>
      <c r="J41" s="16">
        <v>-200</v>
      </c>
    </row>
    <row r="42" spans="1:10" x14ac:dyDescent="0.55000000000000004">
      <c r="A42" s="5">
        <f t="shared" si="0"/>
        <v>9</v>
      </c>
      <c r="B42" s="4">
        <f t="shared" si="1"/>
        <v>0</v>
      </c>
      <c r="C42" s="14">
        <v>4.4229891754760204E-3</v>
      </c>
      <c r="D42" s="14">
        <v>1.9925850351111016</v>
      </c>
      <c r="E42" s="14">
        <v>1.990673149104369</v>
      </c>
      <c r="F42" s="14">
        <v>1.9910610578582815</v>
      </c>
      <c r="G42" s="14">
        <v>0.4885866608024535</v>
      </c>
      <c r="H42" s="16">
        <f t="shared" si="2"/>
        <v>2</v>
      </c>
      <c r="I42" s="16">
        <f t="shared" si="3"/>
        <v>0.5</v>
      </c>
      <c r="J42" s="16">
        <v>-200</v>
      </c>
    </row>
    <row r="43" spans="1:10" x14ac:dyDescent="0.55000000000000004">
      <c r="A43" s="5">
        <f t="shared" si="0"/>
        <v>9.25</v>
      </c>
      <c r="B43" s="4">
        <f t="shared" si="1"/>
        <v>0</v>
      </c>
      <c r="C43" s="14">
        <v>3.9891318981817546E-3</v>
      </c>
      <c r="D43" s="14">
        <v>1.9886619183397949</v>
      </c>
      <c r="E43" s="14">
        <v>1.9876533032520141</v>
      </c>
      <c r="F43" s="14">
        <v>1.9908451353016177</v>
      </c>
      <c r="G43" s="14">
        <v>0.48428390890429407</v>
      </c>
      <c r="H43" s="16">
        <f t="shared" si="2"/>
        <v>2</v>
      </c>
      <c r="I43" s="16">
        <f t="shared" si="3"/>
        <v>0.5</v>
      </c>
      <c r="J43" s="16">
        <v>-200</v>
      </c>
    </row>
    <row r="44" spans="1:10" x14ac:dyDescent="0.55000000000000004">
      <c r="A44" s="5">
        <f t="shared" si="0"/>
        <v>9.5</v>
      </c>
      <c r="B44" s="4">
        <f t="shared" si="1"/>
        <v>0</v>
      </c>
      <c r="C44" s="14">
        <v>3.5576797523223132E-3</v>
      </c>
      <c r="D44" s="14">
        <v>1.9823303226981601</v>
      </c>
      <c r="E44" s="14">
        <v>1.9836618023077848</v>
      </c>
      <c r="F44" s="14">
        <v>1.9900788021673066</v>
      </c>
      <c r="G44" s="14">
        <v>0.47747977505070704</v>
      </c>
      <c r="H44" s="16">
        <f t="shared" si="2"/>
        <v>2</v>
      </c>
      <c r="I44" s="16">
        <f t="shared" si="3"/>
        <v>0.5</v>
      </c>
      <c r="J44" s="16">
        <v>-200</v>
      </c>
    </row>
    <row r="45" spans="1:10" x14ac:dyDescent="0.55000000000000004">
      <c r="A45" s="5">
        <f t="shared" si="0"/>
        <v>9.75</v>
      </c>
      <c r="B45" s="4">
        <f t="shared" si="1"/>
        <v>0</v>
      </c>
      <c r="C45" s="14">
        <v>3.2737186644082117E-3</v>
      </c>
      <c r="D45" s="14">
        <v>1.974384509972543</v>
      </c>
      <c r="E45" s="14">
        <v>1.9765983005094541</v>
      </c>
      <c r="F45" s="14">
        <v>1.9886663158697779</v>
      </c>
      <c r="G45" s="14">
        <v>0.46823739427087629</v>
      </c>
      <c r="H45" s="16">
        <f t="shared" si="2"/>
        <v>2</v>
      </c>
      <c r="I45" s="16">
        <f t="shared" si="3"/>
        <v>0.5</v>
      </c>
      <c r="J45" s="16">
        <v>-200</v>
      </c>
    </row>
    <row r="46" spans="1:10" x14ac:dyDescent="0.55000000000000004">
      <c r="A46" s="5">
        <f t="shared" si="0"/>
        <v>10</v>
      </c>
      <c r="B46" s="4">
        <f t="shared" si="1"/>
        <v>0</v>
      </c>
      <c r="C46" s="14">
        <v>2.8613260560769026E-3</v>
      </c>
      <c r="D46" s="14">
        <v>1.9605032205647124</v>
      </c>
      <c r="E46" s="14">
        <v>1.9681577209913692</v>
      </c>
      <c r="F46" s="14">
        <v>1.9861316372923219</v>
      </c>
      <c r="G46" s="14">
        <v>0.45318211860679208</v>
      </c>
      <c r="H46" s="16">
        <f t="shared" si="2"/>
        <v>2</v>
      </c>
      <c r="I46" s="16">
        <f t="shared" si="3"/>
        <v>0.5</v>
      </c>
      <c r="J46" s="16">
        <v>-200</v>
      </c>
    </row>
    <row r="47" spans="1:10" x14ac:dyDescent="0.55000000000000004">
      <c r="A47" s="5">
        <f t="shared" si="0"/>
        <v>10.25</v>
      </c>
      <c r="B47" s="4">
        <f t="shared" si="1"/>
        <v>0</v>
      </c>
      <c r="C47" s="14">
        <v>2.8331367179195003E-3</v>
      </c>
      <c r="D47" s="14">
        <v>1.9445694995580771</v>
      </c>
      <c r="E47" s="14">
        <v>1.9519444635968419</v>
      </c>
      <c r="F47" s="14">
        <v>1.9823910448962399</v>
      </c>
      <c r="G47" s="14">
        <v>0.43382535613530637</v>
      </c>
      <c r="H47" s="16">
        <f t="shared" si="2"/>
        <v>2</v>
      </c>
      <c r="I47" s="16">
        <f t="shared" si="3"/>
        <v>0.5</v>
      </c>
      <c r="J47" s="16">
        <v>-200</v>
      </c>
    </row>
    <row r="48" spans="1:10" x14ac:dyDescent="0.55000000000000004">
      <c r="A48" s="5">
        <f t="shared" si="0"/>
        <v>10.5</v>
      </c>
      <c r="B48" s="4">
        <f t="shared" si="1"/>
        <v>0</v>
      </c>
      <c r="C48" s="14">
        <v>2.241428689335496E-3</v>
      </c>
      <c r="D48" s="14">
        <v>1.9132795095940298</v>
      </c>
      <c r="E48" s="14">
        <v>1.9351115139434512</v>
      </c>
      <c r="F48" s="14">
        <v>1.976171006719041</v>
      </c>
      <c r="G48" s="14">
        <v>0.40037856935678418</v>
      </c>
      <c r="H48" s="16">
        <f t="shared" si="2"/>
        <v>2</v>
      </c>
      <c r="I48" s="16">
        <f t="shared" si="3"/>
        <v>0.5</v>
      </c>
      <c r="J48" s="16">
        <v>-200</v>
      </c>
    </row>
    <row r="49" spans="1:10" x14ac:dyDescent="0.55000000000000004">
      <c r="A49" s="5">
        <f t="shared" si="0"/>
        <v>10.75</v>
      </c>
      <c r="B49" s="4">
        <f t="shared" si="1"/>
        <v>0</v>
      </c>
      <c r="C49" s="14">
        <v>2.8649030629038594E-3</v>
      </c>
      <c r="D49" s="14">
        <v>1.8824959689008873</v>
      </c>
      <c r="E49" s="14">
        <v>1.8974025574855045</v>
      </c>
      <c r="F49" s="14">
        <v>1.9677402533154071</v>
      </c>
      <c r="G49" s="14">
        <v>0.36084714607413787</v>
      </c>
      <c r="H49" s="16">
        <f t="shared" si="2"/>
        <v>2</v>
      </c>
      <c r="I49" s="16">
        <f t="shared" si="3"/>
        <v>0.5</v>
      </c>
      <c r="J49" s="16">
        <v>-200</v>
      </c>
    </row>
    <row r="50" spans="1:10" x14ac:dyDescent="0.55000000000000004">
      <c r="A50" s="5">
        <f t="shared" si="0"/>
        <v>11</v>
      </c>
      <c r="B50" s="4">
        <f t="shared" si="1"/>
        <v>0</v>
      </c>
      <c r="C50" s="14">
        <v>1.4223327513893924E-3</v>
      </c>
      <c r="D50" s="14">
        <v>1.8097010795526909</v>
      </c>
      <c r="E50" s="14">
        <v>1.8663405437848</v>
      </c>
      <c r="F50" s="14">
        <v>1.9535167276767629</v>
      </c>
      <c r="G50" s="14">
        <v>0.28540303313969961</v>
      </c>
      <c r="H50" s="16">
        <f t="shared" si="2"/>
        <v>2</v>
      </c>
      <c r="I50" s="16">
        <f t="shared" si="3"/>
        <v>0.5</v>
      </c>
      <c r="J50" s="16">
        <v>-200</v>
      </c>
    </row>
    <row r="51" spans="1:10" x14ac:dyDescent="0.55000000000000004">
      <c r="A51" s="5">
        <f t="shared" si="0"/>
        <v>11.25</v>
      </c>
      <c r="B51" s="4">
        <f t="shared" si="1"/>
        <v>0</v>
      </c>
      <c r="C51" s="14">
        <v>4.0652740308750419E-3</v>
      </c>
      <c r="D51" s="14">
        <v>1.7549837902459493</v>
      </c>
      <c r="E51" s="14">
        <v>1.7758417722501996</v>
      </c>
      <c r="F51" s="14">
        <v>1.9356487633079895</v>
      </c>
      <c r="G51" s="14">
        <v>0.20769857954848889</v>
      </c>
      <c r="H51" s="16">
        <f t="shared" si="2"/>
        <v>2</v>
      </c>
      <c r="I51" s="16">
        <f t="shared" si="3"/>
        <v>0.5</v>
      </c>
      <c r="J51" s="16">
        <v>-200</v>
      </c>
    </row>
    <row r="52" spans="1:10" x14ac:dyDescent="0.55000000000000004">
      <c r="A52" s="5">
        <f t="shared" si="0"/>
        <v>11.5</v>
      </c>
      <c r="B52" s="4">
        <f t="shared" si="1"/>
        <v>0</v>
      </c>
      <c r="C52" s="14">
        <v>-5.7933119613447649E-4</v>
      </c>
      <c r="D52" s="14">
        <v>1.5787205495064089</v>
      </c>
      <c r="E52" s="14">
        <v>1.7271013074309058</v>
      </c>
      <c r="F52" s="14">
        <v>1.9035252240658473</v>
      </c>
      <c r="G52" s="14">
        <v>3.3161788153726883E-2</v>
      </c>
      <c r="H52" s="16">
        <f t="shared" si="2"/>
        <v>2</v>
      </c>
      <c r="I52" s="16">
        <f t="shared" si="3"/>
        <v>0.5</v>
      </c>
      <c r="J52" s="16">
        <v>-200</v>
      </c>
    </row>
    <row r="53" spans="1:10" x14ac:dyDescent="0.55000000000000004">
      <c r="A53" s="5">
        <f t="shared" si="0"/>
        <v>11.75</v>
      </c>
      <c r="B53" s="4">
        <f t="shared" si="1"/>
        <v>0</v>
      </c>
      <c r="C53" s="14">
        <v>0</v>
      </c>
      <c r="D53" s="14">
        <v>1.5</v>
      </c>
      <c r="E53" s="14">
        <v>1.5</v>
      </c>
      <c r="F53" s="14">
        <v>1.5</v>
      </c>
      <c r="G53" s="14">
        <v>0</v>
      </c>
      <c r="H53" s="16">
        <f t="shared" si="2"/>
        <v>2</v>
      </c>
      <c r="I53" s="16">
        <f t="shared" si="3"/>
        <v>0.5</v>
      </c>
      <c r="J53" s="16">
        <v>-200</v>
      </c>
    </row>
    <row r="54" spans="1:10" hidden="1" x14ac:dyDescent="0.55000000000000004">
      <c r="A54" s="5">
        <f t="shared" si="0"/>
        <v>12</v>
      </c>
      <c r="B54" s="4">
        <f t="shared" si="1"/>
        <v>0</v>
      </c>
      <c r="C54" s="14" t="e">
        <f>#REF!</f>
        <v>#REF!</v>
      </c>
      <c r="D54" s="14" t="e">
        <f>#REF!+1.5</f>
        <v>#REF!</v>
      </c>
      <c r="E54" s="14" t="e">
        <f>#REF!+1.5</f>
        <v>#REF!</v>
      </c>
      <c r="F54" s="14" t="e">
        <f>#REF!+1.5</f>
        <v>#REF!</v>
      </c>
      <c r="G54" s="14" t="e">
        <f>#REF!</f>
        <v>#REF!</v>
      </c>
    </row>
    <row r="55" spans="1:10" hidden="1" x14ac:dyDescent="0.55000000000000004">
      <c r="A55" s="5">
        <f t="shared" si="0"/>
        <v>12.25</v>
      </c>
      <c r="B55" s="4">
        <f t="shared" si="1"/>
        <v>0</v>
      </c>
      <c r="C55" s="14" t="e">
        <f>#REF!</f>
        <v>#REF!</v>
      </c>
      <c r="D55" s="14" t="e">
        <f>#REF!+1.5</f>
        <v>#REF!</v>
      </c>
      <c r="E55" s="14" t="e">
        <f>#REF!+1.5</f>
        <v>#REF!</v>
      </c>
      <c r="F55" s="14" t="e">
        <f>#REF!+1.5</f>
        <v>#REF!</v>
      </c>
      <c r="G55" s="14" t="e">
        <f>#REF!</f>
        <v>#REF!</v>
      </c>
    </row>
    <row r="56" spans="1:10" hidden="1" x14ac:dyDescent="0.55000000000000004">
      <c r="A56" s="5">
        <f t="shared" si="0"/>
        <v>12.5</v>
      </c>
      <c r="B56" s="4">
        <f t="shared" si="1"/>
        <v>0</v>
      </c>
      <c r="C56" s="14" t="e">
        <f>#REF!</f>
        <v>#REF!</v>
      </c>
      <c r="D56" s="14" t="e">
        <f>#REF!+1.5</f>
        <v>#REF!</v>
      </c>
      <c r="E56" s="14" t="e">
        <f>#REF!+1.5</f>
        <v>#REF!</v>
      </c>
      <c r="F56" s="14" t="e">
        <f>#REF!+1.5</f>
        <v>#REF!</v>
      </c>
      <c r="G56" s="14" t="e">
        <f>#REF!</f>
        <v>#REF!</v>
      </c>
    </row>
    <row r="57" spans="1:10" hidden="1" x14ac:dyDescent="0.55000000000000004">
      <c r="A57" s="5">
        <f t="shared" si="0"/>
        <v>12.75</v>
      </c>
      <c r="B57" s="4">
        <f t="shared" si="1"/>
        <v>0</v>
      </c>
      <c r="C57" s="14" t="e">
        <f>#REF!</f>
        <v>#REF!</v>
      </c>
      <c r="D57" s="14" t="e">
        <f>#REF!+1.5</f>
        <v>#REF!</v>
      </c>
      <c r="E57" s="14" t="e">
        <f>#REF!+1.5</f>
        <v>#REF!</v>
      </c>
      <c r="F57" s="14" t="e">
        <f>#REF!+1.5</f>
        <v>#REF!</v>
      </c>
      <c r="G57" s="14" t="e">
        <f>#REF!</f>
        <v>#REF!</v>
      </c>
    </row>
    <row r="58" spans="1:10" hidden="1" x14ac:dyDescent="0.55000000000000004">
      <c r="A58" s="5">
        <f t="shared" si="0"/>
        <v>13</v>
      </c>
      <c r="B58" s="4">
        <f t="shared" si="1"/>
        <v>0</v>
      </c>
      <c r="C58" s="14" t="e">
        <f>#REF!</f>
        <v>#REF!</v>
      </c>
      <c r="D58" s="14" t="e">
        <f>#REF!+1.5</f>
        <v>#REF!</v>
      </c>
      <c r="E58" s="14" t="e">
        <f>#REF!+1.5</f>
        <v>#REF!</v>
      </c>
      <c r="F58" s="14" t="e">
        <f>#REF!+1.5</f>
        <v>#REF!</v>
      </c>
      <c r="G58" s="14" t="e">
        <f>#REF!</f>
        <v>#REF!</v>
      </c>
    </row>
    <row r="59" spans="1:10" hidden="1" x14ac:dyDescent="0.55000000000000004">
      <c r="A59" s="5">
        <f t="shared" si="0"/>
        <v>13.25</v>
      </c>
      <c r="B59" s="4">
        <f t="shared" si="1"/>
        <v>0</v>
      </c>
      <c r="C59" s="14" t="e">
        <f>#REF!</f>
        <v>#REF!</v>
      </c>
      <c r="D59" s="14" t="e">
        <f>#REF!+1.5</f>
        <v>#REF!</v>
      </c>
      <c r="E59" s="14" t="e">
        <f>#REF!+1.5</f>
        <v>#REF!</v>
      </c>
      <c r="F59" s="14" t="e">
        <f>#REF!+1.5</f>
        <v>#REF!</v>
      </c>
      <c r="G59" s="14" t="e">
        <f>#REF!</f>
        <v>#REF!</v>
      </c>
    </row>
    <row r="60" spans="1:10" hidden="1" x14ac:dyDescent="0.55000000000000004">
      <c r="A60" s="5">
        <f t="shared" si="0"/>
        <v>13.5</v>
      </c>
      <c r="B60" s="4">
        <f t="shared" si="1"/>
        <v>0</v>
      </c>
      <c r="C60" s="14" t="e">
        <f>#REF!</f>
        <v>#REF!</v>
      </c>
      <c r="D60" s="14" t="e">
        <f>#REF!+1.5</f>
        <v>#REF!</v>
      </c>
      <c r="E60" s="14" t="e">
        <f>#REF!+1.5</f>
        <v>#REF!</v>
      </c>
      <c r="F60" s="14" t="e">
        <f>#REF!+1.5</f>
        <v>#REF!</v>
      </c>
      <c r="G60" s="14" t="e">
        <f>#REF!</f>
        <v>#REF!</v>
      </c>
    </row>
    <row r="61" spans="1:10" hidden="1" x14ac:dyDescent="0.55000000000000004">
      <c r="A61" s="5">
        <f t="shared" si="0"/>
        <v>13.75</v>
      </c>
      <c r="B61" s="4">
        <f t="shared" si="1"/>
        <v>0</v>
      </c>
      <c r="C61" s="14" t="e">
        <f>#REF!</f>
        <v>#REF!</v>
      </c>
      <c r="D61" s="14" t="e">
        <f>#REF!+1.5</f>
        <v>#REF!</v>
      </c>
      <c r="E61" s="14" t="e">
        <f>#REF!+1.5</f>
        <v>#REF!</v>
      </c>
      <c r="F61" s="14" t="e">
        <f>#REF!+1.5</f>
        <v>#REF!</v>
      </c>
      <c r="G61" s="14" t="e">
        <f>#REF!</f>
        <v>#REF!</v>
      </c>
    </row>
    <row r="62" spans="1:10" hidden="1" x14ac:dyDescent="0.55000000000000004">
      <c r="A62" s="5">
        <f t="shared" si="0"/>
        <v>14</v>
      </c>
      <c r="B62" s="4">
        <f t="shared" si="1"/>
        <v>0</v>
      </c>
      <c r="C62" s="14" t="e">
        <f>#REF!</f>
        <v>#REF!</v>
      </c>
      <c r="D62" s="14" t="e">
        <f>#REF!+1.5</f>
        <v>#REF!</v>
      </c>
      <c r="E62" s="14" t="e">
        <f>#REF!+1.5</f>
        <v>#REF!</v>
      </c>
      <c r="F62" s="14" t="e">
        <f>#REF!+1.5</f>
        <v>#REF!</v>
      </c>
      <c r="G62" s="14" t="e">
        <f>#REF!</f>
        <v>#REF!</v>
      </c>
    </row>
    <row r="63" spans="1:10" hidden="1" x14ac:dyDescent="0.55000000000000004">
      <c r="A63" s="5">
        <f t="shared" si="0"/>
        <v>14.25</v>
      </c>
      <c r="B63" s="4">
        <f t="shared" si="1"/>
        <v>0</v>
      </c>
      <c r="C63" s="14" t="e">
        <f>#REF!</f>
        <v>#REF!</v>
      </c>
      <c r="D63" s="14" t="e">
        <f>#REF!+1.5</f>
        <v>#REF!</v>
      </c>
      <c r="E63" s="14" t="e">
        <f>#REF!+1.5</f>
        <v>#REF!</v>
      </c>
      <c r="F63" s="14" t="e">
        <f>#REF!+1.5</f>
        <v>#REF!</v>
      </c>
      <c r="G63" s="14" t="e">
        <f>#REF!</f>
        <v>#REF!</v>
      </c>
    </row>
    <row r="64" spans="1:10" hidden="1" x14ac:dyDescent="0.55000000000000004">
      <c r="A64" s="5">
        <f t="shared" si="0"/>
        <v>14.5</v>
      </c>
      <c r="B64" s="4">
        <f t="shared" si="1"/>
        <v>0</v>
      </c>
      <c r="C64" s="14" t="e">
        <f>#REF!</f>
        <v>#REF!</v>
      </c>
      <c r="D64" s="14" t="e">
        <f>#REF!+1.5</f>
        <v>#REF!</v>
      </c>
      <c r="E64" s="14" t="e">
        <f>#REF!+1.5</f>
        <v>#REF!</v>
      </c>
      <c r="F64" s="14" t="e">
        <f>#REF!+1.5</f>
        <v>#REF!</v>
      </c>
      <c r="G64" s="14" t="e">
        <f>#REF!</f>
        <v>#REF!</v>
      </c>
    </row>
    <row r="65" spans="1:7" hidden="1" x14ac:dyDescent="0.55000000000000004">
      <c r="A65" s="5">
        <f t="shared" si="0"/>
        <v>14.75</v>
      </c>
      <c r="B65" s="4">
        <f t="shared" si="1"/>
        <v>0</v>
      </c>
      <c r="C65" s="14" t="e">
        <f>#REF!</f>
        <v>#REF!</v>
      </c>
      <c r="D65" s="14" t="e">
        <f>#REF!+1.5</f>
        <v>#REF!</v>
      </c>
      <c r="E65" s="14" t="e">
        <f>#REF!+1.5</f>
        <v>#REF!</v>
      </c>
      <c r="F65" s="14" t="e">
        <f>#REF!+1.5</f>
        <v>#REF!</v>
      </c>
      <c r="G65" s="14" t="e">
        <f>#REF!</f>
        <v>#REF!</v>
      </c>
    </row>
    <row r="66" spans="1:7" hidden="1" x14ac:dyDescent="0.55000000000000004">
      <c r="A66" s="5">
        <f t="shared" si="0"/>
        <v>15</v>
      </c>
      <c r="B66" s="4">
        <f t="shared" si="1"/>
        <v>0</v>
      </c>
      <c r="C66" s="14" t="e">
        <f>#REF!</f>
        <v>#REF!</v>
      </c>
      <c r="D66" s="14" t="e">
        <f>#REF!+1.5</f>
        <v>#REF!</v>
      </c>
      <c r="E66" s="14" t="e">
        <f>#REF!+1.5</f>
        <v>#REF!</v>
      </c>
      <c r="F66" s="14" t="e">
        <f>#REF!+1.5</f>
        <v>#REF!</v>
      </c>
      <c r="G66" s="14" t="e">
        <f>#REF!</f>
        <v>#REF!</v>
      </c>
    </row>
    <row r="67" spans="1:7" hidden="1" x14ac:dyDescent="0.55000000000000004">
      <c r="A67" s="5">
        <f t="shared" si="0"/>
        <v>15.25</v>
      </c>
      <c r="B67" s="4">
        <f t="shared" si="1"/>
        <v>0</v>
      </c>
      <c r="C67" s="14" t="e">
        <f>#REF!</f>
        <v>#REF!</v>
      </c>
      <c r="D67" s="14" t="e">
        <f>#REF!+1.5</f>
        <v>#REF!</v>
      </c>
      <c r="E67" s="14" t="e">
        <f>#REF!+1.5</f>
        <v>#REF!</v>
      </c>
      <c r="F67" s="14" t="e">
        <f>#REF!+1.5</f>
        <v>#REF!</v>
      </c>
      <c r="G67" s="14" t="e">
        <f>#REF!</f>
        <v>#REF!</v>
      </c>
    </row>
    <row r="68" spans="1:7" hidden="1" x14ac:dyDescent="0.55000000000000004">
      <c r="A68" s="5">
        <f t="shared" ref="A68:A131" si="4">A67+0.25</f>
        <v>15.5</v>
      </c>
      <c r="B68" s="4">
        <f t="shared" ref="B68:B131" si="5">B67</f>
        <v>0</v>
      </c>
      <c r="C68" s="14" t="e">
        <f>#REF!</f>
        <v>#REF!</v>
      </c>
      <c r="D68" s="14" t="e">
        <f>#REF!+1.5</f>
        <v>#REF!</v>
      </c>
      <c r="E68" s="14" t="e">
        <f>#REF!+1.5</f>
        <v>#REF!</v>
      </c>
      <c r="F68" s="14" t="e">
        <f>#REF!+1.5</f>
        <v>#REF!</v>
      </c>
      <c r="G68" s="14" t="e">
        <f>#REF!</f>
        <v>#REF!</v>
      </c>
    </row>
    <row r="69" spans="1:7" hidden="1" x14ac:dyDescent="0.55000000000000004">
      <c r="A69" s="5">
        <f t="shared" si="4"/>
        <v>15.75</v>
      </c>
      <c r="B69" s="4">
        <f t="shared" si="5"/>
        <v>0</v>
      </c>
      <c r="C69" s="14" t="e">
        <f>#REF!</f>
        <v>#REF!</v>
      </c>
      <c r="D69" s="14" t="e">
        <f>#REF!+1.5</f>
        <v>#REF!</v>
      </c>
      <c r="E69" s="14" t="e">
        <f>#REF!+1.5</f>
        <v>#REF!</v>
      </c>
      <c r="F69" s="14" t="e">
        <f>#REF!+1.5</f>
        <v>#REF!</v>
      </c>
      <c r="G69" s="14" t="e">
        <f>#REF!</f>
        <v>#REF!</v>
      </c>
    </row>
    <row r="70" spans="1:7" hidden="1" x14ac:dyDescent="0.55000000000000004">
      <c r="A70" s="5">
        <f t="shared" si="4"/>
        <v>16</v>
      </c>
      <c r="B70" s="4">
        <f t="shared" si="5"/>
        <v>0</v>
      </c>
      <c r="C70" s="14" t="e">
        <f>#REF!</f>
        <v>#REF!</v>
      </c>
      <c r="D70" s="14" t="e">
        <f>#REF!+1.5</f>
        <v>#REF!</v>
      </c>
      <c r="E70" s="14" t="e">
        <f>#REF!+1.5</f>
        <v>#REF!</v>
      </c>
      <c r="F70" s="14" t="e">
        <f>#REF!+1.5</f>
        <v>#REF!</v>
      </c>
      <c r="G70" s="14" t="e">
        <f>#REF!</f>
        <v>#REF!</v>
      </c>
    </row>
    <row r="71" spans="1:7" hidden="1" x14ac:dyDescent="0.55000000000000004">
      <c r="A71" s="5">
        <f t="shared" si="4"/>
        <v>16.25</v>
      </c>
      <c r="B71" s="4">
        <f t="shared" si="5"/>
        <v>0</v>
      </c>
      <c r="C71" s="14" t="e">
        <f>#REF!</f>
        <v>#REF!</v>
      </c>
      <c r="D71" s="14" t="e">
        <f>#REF!+1.5</f>
        <v>#REF!</v>
      </c>
      <c r="E71" s="14" t="e">
        <f>#REF!+1.5</f>
        <v>#REF!</v>
      </c>
      <c r="F71" s="14" t="e">
        <f>#REF!+1.5</f>
        <v>#REF!</v>
      </c>
      <c r="G71" s="14" t="e">
        <f>#REF!</f>
        <v>#REF!</v>
      </c>
    </row>
    <row r="72" spans="1:7" hidden="1" x14ac:dyDescent="0.55000000000000004">
      <c r="A72" s="5">
        <f t="shared" si="4"/>
        <v>16.5</v>
      </c>
      <c r="B72" s="4">
        <f t="shared" si="5"/>
        <v>0</v>
      </c>
      <c r="C72" s="14" t="e">
        <f>#REF!</f>
        <v>#REF!</v>
      </c>
      <c r="D72" s="14" t="e">
        <f>#REF!+1.5</f>
        <v>#REF!</v>
      </c>
      <c r="E72" s="14" t="e">
        <f>#REF!+1.5</f>
        <v>#REF!</v>
      </c>
      <c r="F72" s="14" t="e">
        <f>#REF!+1.5</f>
        <v>#REF!</v>
      </c>
      <c r="G72" s="14" t="e">
        <f>#REF!</f>
        <v>#REF!</v>
      </c>
    </row>
    <row r="73" spans="1:7" hidden="1" x14ac:dyDescent="0.55000000000000004">
      <c r="A73" s="5">
        <f t="shared" si="4"/>
        <v>16.75</v>
      </c>
      <c r="B73" s="4">
        <f t="shared" si="5"/>
        <v>0</v>
      </c>
      <c r="C73" s="14" t="e">
        <f>#REF!</f>
        <v>#REF!</v>
      </c>
      <c r="D73" s="14" t="e">
        <f>#REF!+1.5</f>
        <v>#REF!</v>
      </c>
      <c r="E73" s="14" t="e">
        <f>#REF!+1.5</f>
        <v>#REF!</v>
      </c>
      <c r="F73" s="14" t="e">
        <f>#REF!+1.5</f>
        <v>#REF!</v>
      </c>
      <c r="G73" s="14" t="e">
        <f>#REF!</f>
        <v>#REF!</v>
      </c>
    </row>
    <row r="74" spans="1:7" hidden="1" x14ac:dyDescent="0.55000000000000004">
      <c r="A74" s="5">
        <f t="shared" si="4"/>
        <v>17</v>
      </c>
      <c r="B74" s="4">
        <f t="shared" si="5"/>
        <v>0</v>
      </c>
      <c r="C74" s="14" t="e">
        <f>#REF!</f>
        <v>#REF!</v>
      </c>
      <c r="D74" s="14" t="e">
        <f>#REF!+1.5</f>
        <v>#REF!</v>
      </c>
      <c r="E74" s="14" t="e">
        <f>#REF!+1.5</f>
        <v>#REF!</v>
      </c>
      <c r="F74" s="14" t="e">
        <f>#REF!+1.5</f>
        <v>#REF!</v>
      </c>
      <c r="G74" s="14" t="e">
        <f>#REF!</f>
        <v>#REF!</v>
      </c>
    </row>
    <row r="75" spans="1:7" hidden="1" x14ac:dyDescent="0.55000000000000004">
      <c r="A75" s="5">
        <f t="shared" si="4"/>
        <v>17.25</v>
      </c>
      <c r="B75" s="4">
        <f t="shared" si="5"/>
        <v>0</v>
      </c>
      <c r="C75" s="14" t="e">
        <f>#REF!</f>
        <v>#REF!</v>
      </c>
      <c r="D75" s="14" t="e">
        <f>#REF!+1.5</f>
        <v>#REF!</v>
      </c>
      <c r="E75" s="14" t="e">
        <f>#REF!+1.5</f>
        <v>#REF!</v>
      </c>
      <c r="F75" s="14" t="e">
        <f>#REF!+1.5</f>
        <v>#REF!</v>
      </c>
      <c r="G75" s="14" t="e">
        <f>#REF!</f>
        <v>#REF!</v>
      </c>
    </row>
    <row r="76" spans="1:7" hidden="1" x14ac:dyDescent="0.55000000000000004">
      <c r="A76" s="5">
        <f t="shared" si="4"/>
        <v>17.5</v>
      </c>
      <c r="B76" s="4">
        <f t="shared" si="5"/>
        <v>0</v>
      </c>
      <c r="C76" s="14" t="e">
        <f>#REF!</f>
        <v>#REF!</v>
      </c>
      <c r="D76" s="14" t="e">
        <f>#REF!+1.5</f>
        <v>#REF!</v>
      </c>
      <c r="E76" s="14" t="e">
        <f>#REF!+1.5</f>
        <v>#REF!</v>
      </c>
      <c r="F76" s="14" t="e">
        <f>#REF!+1.5</f>
        <v>#REF!</v>
      </c>
      <c r="G76" s="14" t="e">
        <f>#REF!</f>
        <v>#REF!</v>
      </c>
    </row>
    <row r="77" spans="1:7" hidden="1" x14ac:dyDescent="0.55000000000000004">
      <c r="A77" s="5">
        <f t="shared" si="4"/>
        <v>17.75</v>
      </c>
      <c r="B77" s="4">
        <f t="shared" si="5"/>
        <v>0</v>
      </c>
      <c r="C77" s="14" t="e">
        <f>#REF!</f>
        <v>#REF!</v>
      </c>
      <c r="D77" s="14" t="e">
        <f>#REF!+1.5</f>
        <v>#REF!</v>
      </c>
      <c r="E77" s="14" t="e">
        <f>#REF!+1.5</f>
        <v>#REF!</v>
      </c>
      <c r="F77" s="14" t="e">
        <f>#REF!+1.5</f>
        <v>#REF!</v>
      </c>
      <c r="G77" s="14" t="e">
        <f>#REF!</f>
        <v>#REF!</v>
      </c>
    </row>
    <row r="78" spans="1:7" hidden="1" x14ac:dyDescent="0.55000000000000004">
      <c r="A78" s="5">
        <f t="shared" si="4"/>
        <v>18</v>
      </c>
      <c r="B78" s="4">
        <f t="shared" si="5"/>
        <v>0</v>
      </c>
      <c r="C78" s="14" t="e">
        <f>#REF!</f>
        <v>#REF!</v>
      </c>
      <c r="D78" s="14" t="e">
        <f>#REF!+1.5</f>
        <v>#REF!</v>
      </c>
      <c r="E78" s="14" t="e">
        <f>#REF!+1.5</f>
        <v>#REF!</v>
      </c>
      <c r="F78" s="14" t="e">
        <f>#REF!+1.5</f>
        <v>#REF!</v>
      </c>
      <c r="G78" s="14" t="e">
        <f>#REF!</f>
        <v>#REF!</v>
      </c>
    </row>
    <row r="79" spans="1:7" hidden="1" x14ac:dyDescent="0.55000000000000004">
      <c r="A79" s="5">
        <f t="shared" si="4"/>
        <v>18.25</v>
      </c>
      <c r="B79" s="4">
        <f t="shared" si="5"/>
        <v>0</v>
      </c>
      <c r="C79" s="14" t="e">
        <f>#REF!</f>
        <v>#REF!</v>
      </c>
      <c r="D79" s="14" t="e">
        <f>#REF!+1.5</f>
        <v>#REF!</v>
      </c>
      <c r="E79" s="14" t="e">
        <f>#REF!+1.5</f>
        <v>#REF!</v>
      </c>
      <c r="F79" s="14" t="e">
        <f>#REF!+1.5</f>
        <v>#REF!</v>
      </c>
      <c r="G79" s="14" t="e">
        <f>#REF!</f>
        <v>#REF!</v>
      </c>
    </row>
    <row r="80" spans="1:7" hidden="1" x14ac:dyDescent="0.55000000000000004">
      <c r="A80" s="5">
        <f t="shared" si="4"/>
        <v>18.5</v>
      </c>
      <c r="B80" s="4">
        <f t="shared" si="5"/>
        <v>0</v>
      </c>
      <c r="C80" s="14" t="e">
        <f>#REF!</f>
        <v>#REF!</v>
      </c>
      <c r="D80" s="14" t="e">
        <f>#REF!+1.5</f>
        <v>#REF!</v>
      </c>
      <c r="E80" s="14" t="e">
        <f>#REF!+1.5</f>
        <v>#REF!</v>
      </c>
      <c r="F80" s="14" t="e">
        <f>#REF!+1.5</f>
        <v>#REF!</v>
      </c>
      <c r="G80" s="14" t="e">
        <f>#REF!</f>
        <v>#REF!</v>
      </c>
    </row>
    <row r="81" spans="1:7" hidden="1" x14ac:dyDescent="0.55000000000000004">
      <c r="A81" s="5">
        <f t="shared" si="4"/>
        <v>18.75</v>
      </c>
      <c r="B81" s="4">
        <f t="shared" si="5"/>
        <v>0</v>
      </c>
      <c r="C81" s="14" t="e">
        <f>#REF!</f>
        <v>#REF!</v>
      </c>
      <c r="D81" s="14" t="e">
        <f>#REF!+1.5</f>
        <v>#REF!</v>
      </c>
      <c r="E81" s="14" t="e">
        <f>#REF!+1.5</f>
        <v>#REF!</v>
      </c>
      <c r="F81" s="14" t="e">
        <f>#REF!+1.5</f>
        <v>#REF!</v>
      </c>
      <c r="G81" s="14" t="e">
        <f>#REF!</f>
        <v>#REF!</v>
      </c>
    </row>
    <row r="82" spans="1:7" hidden="1" x14ac:dyDescent="0.55000000000000004">
      <c r="A82" s="5">
        <f t="shared" si="4"/>
        <v>19</v>
      </c>
      <c r="B82" s="4">
        <f t="shared" si="5"/>
        <v>0</v>
      </c>
      <c r="C82" s="14" t="e">
        <f>#REF!</f>
        <v>#REF!</v>
      </c>
      <c r="D82" s="14" t="e">
        <f>#REF!+1.5</f>
        <v>#REF!</v>
      </c>
      <c r="E82" s="14" t="e">
        <f>#REF!+1.5</f>
        <v>#REF!</v>
      </c>
      <c r="F82" s="14" t="e">
        <f>#REF!+1.5</f>
        <v>#REF!</v>
      </c>
      <c r="G82" s="14" t="e">
        <f>#REF!</f>
        <v>#REF!</v>
      </c>
    </row>
    <row r="83" spans="1:7" hidden="1" x14ac:dyDescent="0.55000000000000004">
      <c r="A83" s="5">
        <f t="shared" si="4"/>
        <v>19.25</v>
      </c>
      <c r="B83" s="4">
        <f t="shared" si="5"/>
        <v>0</v>
      </c>
      <c r="C83" s="14" t="e">
        <f>#REF!</f>
        <v>#REF!</v>
      </c>
      <c r="D83" s="14" t="e">
        <f>#REF!+1.5</f>
        <v>#REF!</v>
      </c>
      <c r="E83" s="14" t="e">
        <f>#REF!+1.5</f>
        <v>#REF!</v>
      </c>
      <c r="F83" s="14" t="e">
        <f>#REF!+1.5</f>
        <v>#REF!</v>
      </c>
      <c r="G83" s="14" t="e">
        <f>#REF!</f>
        <v>#REF!</v>
      </c>
    </row>
    <row r="84" spans="1:7" hidden="1" x14ac:dyDescent="0.55000000000000004">
      <c r="A84" s="5">
        <f t="shared" si="4"/>
        <v>19.5</v>
      </c>
      <c r="B84" s="4">
        <f t="shared" si="5"/>
        <v>0</v>
      </c>
      <c r="C84" s="14" t="e">
        <f>#REF!</f>
        <v>#REF!</v>
      </c>
      <c r="D84" s="14" t="e">
        <f>#REF!+1.5</f>
        <v>#REF!</v>
      </c>
      <c r="E84" s="14" t="e">
        <f>#REF!+1.5</f>
        <v>#REF!</v>
      </c>
      <c r="F84" s="14" t="e">
        <f>#REF!+1.5</f>
        <v>#REF!</v>
      </c>
      <c r="G84" s="14" t="e">
        <f>#REF!</f>
        <v>#REF!</v>
      </c>
    </row>
    <row r="85" spans="1:7" hidden="1" x14ac:dyDescent="0.55000000000000004">
      <c r="A85" s="5">
        <f t="shared" si="4"/>
        <v>19.75</v>
      </c>
      <c r="B85" s="4">
        <f t="shared" si="5"/>
        <v>0</v>
      </c>
      <c r="C85" s="14" t="e">
        <f>#REF!</f>
        <v>#REF!</v>
      </c>
      <c r="D85" s="14" t="e">
        <f>#REF!+1.5</f>
        <v>#REF!</v>
      </c>
      <c r="E85" s="14" t="e">
        <f>#REF!+1.5</f>
        <v>#REF!</v>
      </c>
      <c r="F85" s="14" t="e">
        <f>#REF!+1.5</f>
        <v>#REF!</v>
      </c>
      <c r="G85" s="14" t="e">
        <f>#REF!</f>
        <v>#REF!</v>
      </c>
    </row>
    <row r="86" spans="1:7" hidden="1" x14ac:dyDescent="0.55000000000000004">
      <c r="A86" s="5">
        <f t="shared" si="4"/>
        <v>20</v>
      </c>
      <c r="B86" s="4">
        <f t="shared" si="5"/>
        <v>0</v>
      </c>
      <c r="C86" s="14" t="e">
        <f>#REF!</f>
        <v>#REF!</v>
      </c>
      <c r="D86" s="14" t="e">
        <f>#REF!+1.5</f>
        <v>#REF!</v>
      </c>
      <c r="E86" s="14" t="e">
        <f>#REF!+1.5</f>
        <v>#REF!</v>
      </c>
      <c r="F86" s="14" t="e">
        <f>#REF!+1.5</f>
        <v>#REF!</v>
      </c>
      <c r="G86" s="14" t="e">
        <f>#REF!</f>
        <v>#REF!</v>
      </c>
    </row>
    <row r="87" spans="1:7" hidden="1" x14ac:dyDescent="0.55000000000000004">
      <c r="A87" s="5">
        <f t="shared" si="4"/>
        <v>20.25</v>
      </c>
      <c r="B87" s="4">
        <f t="shared" si="5"/>
        <v>0</v>
      </c>
      <c r="C87" s="14" t="e">
        <f>#REF!</f>
        <v>#REF!</v>
      </c>
      <c r="D87" s="14" t="e">
        <f>#REF!+1.5</f>
        <v>#REF!</v>
      </c>
      <c r="E87" s="14" t="e">
        <f>#REF!+1.5</f>
        <v>#REF!</v>
      </c>
      <c r="F87" s="14" t="e">
        <f>#REF!+1.5</f>
        <v>#REF!</v>
      </c>
      <c r="G87" s="14" t="e">
        <f>#REF!</f>
        <v>#REF!</v>
      </c>
    </row>
    <row r="88" spans="1:7" hidden="1" x14ac:dyDescent="0.55000000000000004">
      <c r="A88" s="5">
        <f t="shared" si="4"/>
        <v>20.5</v>
      </c>
      <c r="B88" s="4">
        <f t="shared" si="5"/>
        <v>0</v>
      </c>
      <c r="C88" s="14" t="e">
        <f>#REF!</f>
        <v>#REF!</v>
      </c>
      <c r="D88" s="14" t="e">
        <f>#REF!+1.5</f>
        <v>#REF!</v>
      </c>
      <c r="E88" s="14" t="e">
        <f>#REF!+1.5</f>
        <v>#REF!</v>
      </c>
      <c r="F88" s="14" t="e">
        <f>#REF!+1.5</f>
        <v>#REF!</v>
      </c>
      <c r="G88" s="14" t="e">
        <f>#REF!</f>
        <v>#REF!</v>
      </c>
    </row>
    <row r="89" spans="1:7" hidden="1" x14ac:dyDescent="0.55000000000000004">
      <c r="A89" s="5">
        <f t="shared" si="4"/>
        <v>20.75</v>
      </c>
      <c r="B89" s="4">
        <f t="shared" si="5"/>
        <v>0</v>
      </c>
      <c r="C89" s="14" t="e">
        <f>#REF!</f>
        <v>#REF!</v>
      </c>
      <c r="D89" s="14" t="e">
        <f>#REF!+1.5</f>
        <v>#REF!</v>
      </c>
      <c r="E89" s="14" t="e">
        <f>#REF!+1.5</f>
        <v>#REF!</v>
      </c>
      <c r="F89" s="14" t="e">
        <f>#REF!+1.5</f>
        <v>#REF!</v>
      </c>
      <c r="G89" s="14" t="e">
        <f>#REF!</f>
        <v>#REF!</v>
      </c>
    </row>
    <row r="90" spans="1:7" hidden="1" x14ac:dyDescent="0.55000000000000004">
      <c r="A90" s="5">
        <f t="shared" si="4"/>
        <v>21</v>
      </c>
      <c r="B90" s="4">
        <f t="shared" si="5"/>
        <v>0</v>
      </c>
      <c r="C90" s="14" t="e">
        <f>#REF!</f>
        <v>#REF!</v>
      </c>
      <c r="D90" s="14" t="e">
        <f>#REF!+1.5</f>
        <v>#REF!</v>
      </c>
      <c r="E90" s="14" t="e">
        <f>#REF!+1.5</f>
        <v>#REF!</v>
      </c>
      <c r="F90" s="14" t="e">
        <f>#REF!+1.5</f>
        <v>#REF!</v>
      </c>
      <c r="G90" s="14" t="e">
        <f>#REF!</f>
        <v>#REF!</v>
      </c>
    </row>
    <row r="91" spans="1:7" hidden="1" x14ac:dyDescent="0.55000000000000004">
      <c r="A91" s="5">
        <f t="shared" si="4"/>
        <v>21.25</v>
      </c>
      <c r="B91" s="4">
        <f t="shared" si="5"/>
        <v>0</v>
      </c>
      <c r="C91" s="14" t="e">
        <f>#REF!</f>
        <v>#REF!</v>
      </c>
      <c r="D91" s="14" t="e">
        <f>#REF!+1.5</f>
        <v>#REF!</v>
      </c>
      <c r="E91" s="14" t="e">
        <f>#REF!+1.5</f>
        <v>#REF!</v>
      </c>
      <c r="F91" s="14" t="e">
        <f>#REF!+1.5</f>
        <v>#REF!</v>
      </c>
      <c r="G91" s="14" t="e">
        <f>#REF!</f>
        <v>#REF!</v>
      </c>
    </row>
    <row r="92" spans="1:7" hidden="1" x14ac:dyDescent="0.55000000000000004">
      <c r="A92" s="5">
        <f t="shared" si="4"/>
        <v>21.5</v>
      </c>
      <c r="B92" s="4">
        <f t="shared" si="5"/>
        <v>0</v>
      </c>
      <c r="C92" s="14" t="e">
        <f>#REF!</f>
        <v>#REF!</v>
      </c>
      <c r="D92" s="14" t="e">
        <f>#REF!+1.5</f>
        <v>#REF!</v>
      </c>
      <c r="E92" s="14" t="e">
        <f>#REF!+1.5</f>
        <v>#REF!</v>
      </c>
      <c r="F92" s="14" t="e">
        <f>#REF!+1.5</f>
        <v>#REF!</v>
      </c>
      <c r="G92" s="14" t="e">
        <f>#REF!</f>
        <v>#REF!</v>
      </c>
    </row>
    <row r="93" spans="1:7" hidden="1" x14ac:dyDescent="0.55000000000000004">
      <c r="A93" s="5">
        <f t="shared" si="4"/>
        <v>21.75</v>
      </c>
      <c r="B93" s="4">
        <f t="shared" si="5"/>
        <v>0</v>
      </c>
      <c r="C93" s="14" t="e">
        <f>#REF!</f>
        <v>#REF!</v>
      </c>
      <c r="D93" s="14" t="e">
        <f>#REF!+1.5</f>
        <v>#REF!</v>
      </c>
      <c r="E93" s="14" t="e">
        <f>#REF!+1.5</f>
        <v>#REF!</v>
      </c>
      <c r="F93" s="14" t="e">
        <f>#REF!+1.5</f>
        <v>#REF!</v>
      </c>
      <c r="G93" s="14" t="e">
        <f>#REF!</f>
        <v>#REF!</v>
      </c>
    </row>
    <row r="94" spans="1:7" hidden="1" x14ac:dyDescent="0.55000000000000004">
      <c r="A94" s="5">
        <f t="shared" si="4"/>
        <v>22</v>
      </c>
      <c r="B94" s="4">
        <f t="shared" si="5"/>
        <v>0</v>
      </c>
      <c r="C94" s="14" t="e">
        <f>#REF!</f>
        <v>#REF!</v>
      </c>
      <c r="D94" s="14" t="e">
        <f>#REF!+1.5</f>
        <v>#REF!</v>
      </c>
      <c r="E94" s="14" t="e">
        <f>#REF!+1.5</f>
        <v>#REF!</v>
      </c>
      <c r="F94" s="14" t="e">
        <f>#REF!+1.5</f>
        <v>#REF!</v>
      </c>
      <c r="G94" s="14" t="e">
        <f>#REF!</f>
        <v>#REF!</v>
      </c>
    </row>
    <row r="95" spans="1:7" hidden="1" x14ac:dyDescent="0.55000000000000004">
      <c r="A95" s="5">
        <f t="shared" si="4"/>
        <v>22.25</v>
      </c>
      <c r="B95" s="4">
        <f t="shared" si="5"/>
        <v>0</v>
      </c>
      <c r="C95" s="14" t="e">
        <f>#REF!</f>
        <v>#REF!</v>
      </c>
      <c r="D95" s="14" t="e">
        <f>#REF!+1.5</f>
        <v>#REF!</v>
      </c>
      <c r="E95" s="14" t="e">
        <f>#REF!+1.5</f>
        <v>#REF!</v>
      </c>
      <c r="F95" s="14" t="e">
        <f>#REF!+1.5</f>
        <v>#REF!</v>
      </c>
      <c r="G95" s="14" t="e">
        <f>#REF!</f>
        <v>#REF!</v>
      </c>
    </row>
    <row r="96" spans="1:7" hidden="1" x14ac:dyDescent="0.55000000000000004">
      <c r="A96" s="5">
        <f t="shared" si="4"/>
        <v>22.5</v>
      </c>
      <c r="B96" s="4">
        <f t="shared" si="5"/>
        <v>0</v>
      </c>
      <c r="C96" s="14" t="e">
        <f>#REF!</f>
        <v>#REF!</v>
      </c>
      <c r="D96" s="14" t="e">
        <f>#REF!+1.5</f>
        <v>#REF!</v>
      </c>
      <c r="E96" s="14" t="e">
        <f>#REF!+1.5</f>
        <v>#REF!</v>
      </c>
      <c r="F96" s="14" t="e">
        <f>#REF!+1.5</f>
        <v>#REF!</v>
      </c>
      <c r="G96" s="14" t="e">
        <f>#REF!</f>
        <v>#REF!</v>
      </c>
    </row>
    <row r="97" spans="1:7" hidden="1" x14ac:dyDescent="0.55000000000000004">
      <c r="A97" s="5">
        <f t="shared" si="4"/>
        <v>22.75</v>
      </c>
      <c r="B97" s="4">
        <f t="shared" si="5"/>
        <v>0</v>
      </c>
      <c r="C97" s="14" t="e">
        <f>#REF!</f>
        <v>#REF!</v>
      </c>
      <c r="D97" s="14" t="e">
        <f>#REF!+1.5</f>
        <v>#REF!</v>
      </c>
      <c r="E97" s="14" t="e">
        <f>#REF!+1.5</f>
        <v>#REF!</v>
      </c>
      <c r="F97" s="14" t="e">
        <f>#REF!+1.5</f>
        <v>#REF!</v>
      </c>
      <c r="G97" s="14" t="e">
        <f>#REF!</f>
        <v>#REF!</v>
      </c>
    </row>
    <row r="98" spans="1:7" hidden="1" x14ac:dyDescent="0.55000000000000004">
      <c r="A98" s="5">
        <f t="shared" si="4"/>
        <v>23</v>
      </c>
      <c r="B98" s="4">
        <f t="shared" si="5"/>
        <v>0</v>
      </c>
      <c r="C98" s="14" t="e">
        <f>#REF!</f>
        <v>#REF!</v>
      </c>
      <c r="D98" s="14" t="e">
        <f>#REF!+1.5</f>
        <v>#REF!</v>
      </c>
      <c r="E98" s="14" t="e">
        <f>#REF!+1.5</f>
        <v>#REF!</v>
      </c>
      <c r="F98" s="14" t="e">
        <f>#REF!+1.5</f>
        <v>#REF!</v>
      </c>
      <c r="G98" s="14" t="e">
        <f>#REF!</f>
        <v>#REF!</v>
      </c>
    </row>
    <row r="99" spans="1:7" hidden="1" x14ac:dyDescent="0.55000000000000004">
      <c r="A99" s="5">
        <f t="shared" si="4"/>
        <v>23.25</v>
      </c>
      <c r="B99" s="4">
        <f t="shared" si="5"/>
        <v>0</v>
      </c>
      <c r="C99" s="14" t="e">
        <f>#REF!</f>
        <v>#REF!</v>
      </c>
      <c r="D99" s="14" t="e">
        <f>#REF!+1.5</f>
        <v>#REF!</v>
      </c>
      <c r="E99" s="14" t="e">
        <f>#REF!+1.5</f>
        <v>#REF!</v>
      </c>
      <c r="F99" s="14" t="e">
        <f>#REF!+1.5</f>
        <v>#REF!</v>
      </c>
      <c r="G99" s="14" t="e">
        <f>#REF!</f>
        <v>#REF!</v>
      </c>
    </row>
    <row r="100" spans="1:7" hidden="1" x14ac:dyDescent="0.55000000000000004">
      <c r="A100" s="5">
        <f t="shared" si="4"/>
        <v>23.5</v>
      </c>
      <c r="B100" s="4">
        <f t="shared" si="5"/>
        <v>0</v>
      </c>
      <c r="C100" s="14" t="e">
        <f>#REF!</f>
        <v>#REF!</v>
      </c>
      <c r="D100" s="14" t="e">
        <f>#REF!+1.5</f>
        <v>#REF!</v>
      </c>
      <c r="E100" s="14" t="e">
        <f>#REF!+1.5</f>
        <v>#REF!</v>
      </c>
      <c r="F100" s="14" t="e">
        <f>#REF!+1.5</f>
        <v>#REF!</v>
      </c>
      <c r="G100" s="14" t="e">
        <f>#REF!</f>
        <v>#REF!</v>
      </c>
    </row>
    <row r="101" spans="1:7" hidden="1" x14ac:dyDescent="0.55000000000000004">
      <c r="A101" s="5">
        <f t="shared" si="4"/>
        <v>23.75</v>
      </c>
      <c r="B101" s="4">
        <f t="shared" si="5"/>
        <v>0</v>
      </c>
      <c r="C101" s="14" t="e">
        <f>#REF!</f>
        <v>#REF!</v>
      </c>
      <c r="D101" s="14" t="e">
        <f>#REF!+1.5</f>
        <v>#REF!</v>
      </c>
      <c r="E101" s="14" t="e">
        <f>#REF!+1.5</f>
        <v>#REF!</v>
      </c>
      <c r="F101" s="14" t="e">
        <f>#REF!+1.5</f>
        <v>#REF!</v>
      </c>
      <c r="G101" s="14" t="e">
        <f>#REF!</f>
        <v>#REF!</v>
      </c>
    </row>
    <row r="102" spans="1:7" hidden="1" x14ac:dyDescent="0.55000000000000004">
      <c r="A102" s="5">
        <f t="shared" si="4"/>
        <v>24</v>
      </c>
      <c r="B102" s="4">
        <f t="shared" si="5"/>
        <v>0</v>
      </c>
      <c r="C102" s="14" t="e">
        <f>#REF!</f>
        <v>#REF!</v>
      </c>
      <c r="D102" s="14" t="e">
        <f>#REF!+1.5</f>
        <v>#REF!</v>
      </c>
      <c r="E102" s="14" t="e">
        <f>#REF!+1.5</f>
        <v>#REF!</v>
      </c>
      <c r="F102" s="14" t="e">
        <f>#REF!+1.5</f>
        <v>#REF!</v>
      </c>
      <c r="G102" s="14" t="e">
        <f>#REF!</f>
        <v>#REF!</v>
      </c>
    </row>
    <row r="103" spans="1:7" hidden="1" x14ac:dyDescent="0.55000000000000004">
      <c r="A103" s="5">
        <f t="shared" si="4"/>
        <v>24.25</v>
      </c>
      <c r="B103" s="4">
        <f t="shared" si="5"/>
        <v>0</v>
      </c>
      <c r="C103" s="14" t="e">
        <f>#REF!</f>
        <v>#REF!</v>
      </c>
      <c r="D103" s="14" t="e">
        <f>#REF!+1.5</f>
        <v>#REF!</v>
      </c>
      <c r="E103" s="14" t="e">
        <f>#REF!+1.5</f>
        <v>#REF!</v>
      </c>
      <c r="F103" s="14" t="e">
        <f>#REF!+1.5</f>
        <v>#REF!</v>
      </c>
      <c r="G103" s="14" t="e">
        <f>#REF!</f>
        <v>#REF!</v>
      </c>
    </row>
    <row r="104" spans="1:7" hidden="1" x14ac:dyDescent="0.55000000000000004">
      <c r="A104" s="5">
        <f t="shared" si="4"/>
        <v>24.5</v>
      </c>
      <c r="B104" s="4">
        <f t="shared" si="5"/>
        <v>0</v>
      </c>
      <c r="C104" s="14" t="e">
        <f>#REF!</f>
        <v>#REF!</v>
      </c>
      <c r="D104" s="14" t="e">
        <f>#REF!+1.5</f>
        <v>#REF!</v>
      </c>
      <c r="E104" s="14" t="e">
        <f>#REF!+1.5</f>
        <v>#REF!</v>
      </c>
      <c r="F104" s="14" t="e">
        <f>#REF!+1.5</f>
        <v>#REF!</v>
      </c>
      <c r="G104" s="14" t="e">
        <f>#REF!</f>
        <v>#REF!</v>
      </c>
    </row>
    <row r="105" spans="1:7" hidden="1" x14ac:dyDescent="0.55000000000000004">
      <c r="A105" s="5">
        <f t="shared" si="4"/>
        <v>24.75</v>
      </c>
      <c r="B105" s="4">
        <f t="shared" si="5"/>
        <v>0</v>
      </c>
      <c r="C105" s="14" t="e">
        <f>#REF!</f>
        <v>#REF!</v>
      </c>
      <c r="D105" s="14" t="e">
        <f>#REF!+1.5</f>
        <v>#REF!</v>
      </c>
      <c r="E105" s="14" t="e">
        <f>#REF!+1.5</f>
        <v>#REF!</v>
      </c>
      <c r="F105" s="14" t="e">
        <f>#REF!+1.5</f>
        <v>#REF!</v>
      </c>
      <c r="G105" s="14" t="e">
        <f>#REF!</f>
        <v>#REF!</v>
      </c>
    </row>
    <row r="106" spans="1:7" hidden="1" x14ac:dyDescent="0.55000000000000004">
      <c r="A106" s="5">
        <f t="shared" si="4"/>
        <v>25</v>
      </c>
      <c r="B106" s="4">
        <f t="shared" si="5"/>
        <v>0</v>
      </c>
      <c r="C106" s="14" t="e">
        <f>#REF!</f>
        <v>#REF!</v>
      </c>
      <c r="D106" s="14" t="e">
        <f>#REF!+1.5</f>
        <v>#REF!</v>
      </c>
      <c r="E106" s="14" t="e">
        <f>#REF!+1.5</f>
        <v>#REF!</v>
      </c>
      <c r="F106" s="14" t="e">
        <f>#REF!+1.5</f>
        <v>#REF!</v>
      </c>
      <c r="G106" s="14" t="e">
        <f>#REF!</f>
        <v>#REF!</v>
      </c>
    </row>
    <row r="107" spans="1:7" hidden="1" x14ac:dyDescent="0.55000000000000004">
      <c r="A107" s="5">
        <f t="shared" si="4"/>
        <v>25.25</v>
      </c>
      <c r="B107" s="4">
        <f t="shared" si="5"/>
        <v>0</v>
      </c>
      <c r="C107" s="14" t="e">
        <f>#REF!</f>
        <v>#REF!</v>
      </c>
      <c r="D107" s="14" t="e">
        <f>#REF!+1.5</f>
        <v>#REF!</v>
      </c>
      <c r="E107" s="14" t="e">
        <f>#REF!+1.5</f>
        <v>#REF!</v>
      </c>
      <c r="F107" s="14" t="e">
        <f>#REF!+1.5</f>
        <v>#REF!</v>
      </c>
      <c r="G107" s="14" t="e">
        <f>#REF!</f>
        <v>#REF!</v>
      </c>
    </row>
    <row r="108" spans="1:7" hidden="1" x14ac:dyDescent="0.55000000000000004">
      <c r="A108" s="5">
        <f t="shared" si="4"/>
        <v>25.5</v>
      </c>
      <c r="B108" s="4">
        <f t="shared" si="5"/>
        <v>0</v>
      </c>
      <c r="C108" s="14" t="e">
        <f>#REF!</f>
        <v>#REF!</v>
      </c>
      <c r="D108" s="14" t="e">
        <f>#REF!+1.5</f>
        <v>#REF!</v>
      </c>
      <c r="E108" s="14" t="e">
        <f>#REF!+1.5</f>
        <v>#REF!</v>
      </c>
      <c r="F108" s="14" t="e">
        <f>#REF!+1.5</f>
        <v>#REF!</v>
      </c>
      <c r="G108" s="14" t="e">
        <f>#REF!</f>
        <v>#REF!</v>
      </c>
    </row>
    <row r="109" spans="1:7" hidden="1" x14ac:dyDescent="0.55000000000000004">
      <c r="A109" s="5">
        <f t="shared" si="4"/>
        <v>25.75</v>
      </c>
      <c r="B109" s="4">
        <f t="shared" si="5"/>
        <v>0</v>
      </c>
      <c r="C109" s="14" t="e">
        <f>#REF!</f>
        <v>#REF!</v>
      </c>
      <c r="D109" s="14" t="e">
        <f>#REF!+1.5</f>
        <v>#REF!</v>
      </c>
      <c r="E109" s="14" t="e">
        <f>#REF!+1.5</f>
        <v>#REF!</v>
      </c>
      <c r="F109" s="14" t="e">
        <f>#REF!+1.5</f>
        <v>#REF!</v>
      </c>
      <c r="G109" s="14" t="e">
        <f>#REF!</f>
        <v>#REF!</v>
      </c>
    </row>
    <row r="110" spans="1:7" hidden="1" x14ac:dyDescent="0.55000000000000004">
      <c r="A110" s="5">
        <f t="shared" si="4"/>
        <v>26</v>
      </c>
      <c r="B110" s="4">
        <f t="shared" si="5"/>
        <v>0</v>
      </c>
      <c r="C110" s="14" t="e">
        <f>#REF!</f>
        <v>#REF!</v>
      </c>
      <c r="D110" s="14" t="e">
        <f>#REF!+1.5</f>
        <v>#REF!</v>
      </c>
      <c r="E110" s="14" t="e">
        <f>#REF!+1.5</f>
        <v>#REF!</v>
      </c>
      <c r="F110" s="14" t="e">
        <f>#REF!+1.5</f>
        <v>#REF!</v>
      </c>
      <c r="G110" s="14" t="e">
        <f>#REF!</f>
        <v>#REF!</v>
      </c>
    </row>
    <row r="111" spans="1:7" hidden="1" x14ac:dyDescent="0.55000000000000004">
      <c r="A111" s="5">
        <f t="shared" si="4"/>
        <v>26.25</v>
      </c>
      <c r="B111" s="4">
        <f t="shared" si="5"/>
        <v>0</v>
      </c>
      <c r="C111" s="14" t="e">
        <f>#REF!</f>
        <v>#REF!</v>
      </c>
      <c r="D111" s="14" t="e">
        <f>#REF!+1.5</f>
        <v>#REF!</v>
      </c>
      <c r="E111" s="14" t="e">
        <f>#REF!+1.5</f>
        <v>#REF!</v>
      </c>
      <c r="F111" s="14" t="e">
        <f>#REF!+1.5</f>
        <v>#REF!</v>
      </c>
      <c r="G111" s="14" t="e">
        <f>#REF!</f>
        <v>#REF!</v>
      </c>
    </row>
    <row r="112" spans="1:7" hidden="1" x14ac:dyDescent="0.55000000000000004">
      <c r="A112" s="5">
        <f t="shared" si="4"/>
        <v>26.5</v>
      </c>
      <c r="B112" s="4">
        <f t="shared" si="5"/>
        <v>0</v>
      </c>
      <c r="C112" s="14" t="e">
        <f>#REF!</f>
        <v>#REF!</v>
      </c>
      <c r="D112" s="14" t="e">
        <f>#REF!+1.5</f>
        <v>#REF!</v>
      </c>
      <c r="E112" s="14" t="e">
        <f>#REF!+1.5</f>
        <v>#REF!</v>
      </c>
      <c r="F112" s="14" t="e">
        <f>#REF!+1.5</f>
        <v>#REF!</v>
      </c>
      <c r="G112" s="14" t="e">
        <f>#REF!</f>
        <v>#REF!</v>
      </c>
    </row>
    <row r="113" spans="1:7" hidden="1" x14ac:dyDescent="0.55000000000000004">
      <c r="A113" s="5">
        <f t="shared" si="4"/>
        <v>26.75</v>
      </c>
      <c r="B113" s="4">
        <f t="shared" si="5"/>
        <v>0</v>
      </c>
      <c r="C113" s="14" t="e">
        <f>#REF!</f>
        <v>#REF!</v>
      </c>
      <c r="D113" s="14" t="e">
        <f>#REF!+1.5</f>
        <v>#REF!</v>
      </c>
      <c r="E113" s="14" t="e">
        <f>#REF!+1.5</f>
        <v>#REF!</v>
      </c>
      <c r="F113" s="14" t="e">
        <f>#REF!+1.5</f>
        <v>#REF!</v>
      </c>
      <c r="G113" s="14" t="e">
        <f>#REF!</f>
        <v>#REF!</v>
      </c>
    </row>
    <row r="114" spans="1:7" hidden="1" x14ac:dyDescent="0.55000000000000004">
      <c r="A114" s="5">
        <f t="shared" si="4"/>
        <v>27</v>
      </c>
      <c r="B114" s="4">
        <f t="shared" si="5"/>
        <v>0</v>
      </c>
      <c r="C114" s="14" t="e">
        <f>#REF!</f>
        <v>#REF!</v>
      </c>
      <c r="D114" s="14" t="e">
        <f>#REF!+1.5</f>
        <v>#REF!</v>
      </c>
      <c r="E114" s="14" t="e">
        <f>#REF!+1.5</f>
        <v>#REF!</v>
      </c>
      <c r="F114" s="14" t="e">
        <f>#REF!+1.5</f>
        <v>#REF!</v>
      </c>
      <c r="G114" s="14" t="e">
        <f>#REF!</f>
        <v>#REF!</v>
      </c>
    </row>
    <row r="115" spans="1:7" hidden="1" x14ac:dyDescent="0.55000000000000004">
      <c r="A115" s="5">
        <f t="shared" si="4"/>
        <v>27.25</v>
      </c>
      <c r="B115" s="4">
        <f t="shared" si="5"/>
        <v>0</v>
      </c>
      <c r="C115" s="14" t="e">
        <f>#REF!</f>
        <v>#REF!</v>
      </c>
      <c r="D115" s="14" t="e">
        <f>#REF!+1.5</f>
        <v>#REF!</v>
      </c>
      <c r="E115" s="14" t="e">
        <f>#REF!+1.5</f>
        <v>#REF!</v>
      </c>
      <c r="F115" s="14" t="e">
        <f>#REF!+1.5</f>
        <v>#REF!</v>
      </c>
      <c r="G115" s="14" t="e">
        <f>#REF!</f>
        <v>#REF!</v>
      </c>
    </row>
    <row r="116" spans="1:7" hidden="1" x14ac:dyDescent="0.55000000000000004">
      <c r="A116" s="5">
        <f t="shared" si="4"/>
        <v>27.5</v>
      </c>
      <c r="B116" s="4">
        <f t="shared" si="5"/>
        <v>0</v>
      </c>
      <c r="C116" s="14" t="e">
        <f>#REF!</f>
        <v>#REF!</v>
      </c>
      <c r="D116" s="14" t="e">
        <f>#REF!+1.5</f>
        <v>#REF!</v>
      </c>
      <c r="E116" s="14" t="e">
        <f>#REF!+1.5</f>
        <v>#REF!</v>
      </c>
      <c r="F116" s="14" t="e">
        <f>#REF!+1.5</f>
        <v>#REF!</v>
      </c>
      <c r="G116" s="14" t="e">
        <f>#REF!</f>
        <v>#REF!</v>
      </c>
    </row>
    <row r="117" spans="1:7" hidden="1" x14ac:dyDescent="0.55000000000000004">
      <c r="A117" s="5">
        <f t="shared" si="4"/>
        <v>27.75</v>
      </c>
      <c r="B117" s="4">
        <f t="shared" si="5"/>
        <v>0</v>
      </c>
      <c r="C117" s="14" t="e">
        <f>#REF!</f>
        <v>#REF!</v>
      </c>
      <c r="D117" s="14" t="e">
        <f>#REF!+1.5</f>
        <v>#REF!</v>
      </c>
      <c r="E117" s="14" t="e">
        <f>#REF!+1.5</f>
        <v>#REF!</v>
      </c>
      <c r="F117" s="14" t="e">
        <f>#REF!+1.5</f>
        <v>#REF!</v>
      </c>
      <c r="G117" s="14" t="e">
        <f>#REF!</f>
        <v>#REF!</v>
      </c>
    </row>
    <row r="118" spans="1:7" hidden="1" x14ac:dyDescent="0.55000000000000004">
      <c r="A118" s="5">
        <f t="shared" si="4"/>
        <v>28</v>
      </c>
      <c r="B118" s="4">
        <f t="shared" si="5"/>
        <v>0</v>
      </c>
      <c r="C118" s="14" t="e">
        <f>#REF!</f>
        <v>#REF!</v>
      </c>
      <c r="D118" s="14" t="e">
        <f>#REF!+1.5</f>
        <v>#REF!</v>
      </c>
      <c r="E118" s="14" t="e">
        <f>#REF!+1.5</f>
        <v>#REF!</v>
      </c>
      <c r="F118" s="14" t="e">
        <f>#REF!+1.5</f>
        <v>#REF!</v>
      </c>
      <c r="G118" s="14" t="e">
        <f>#REF!</f>
        <v>#REF!</v>
      </c>
    </row>
    <row r="119" spans="1:7" hidden="1" x14ac:dyDescent="0.55000000000000004">
      <c r="A119" s="5">
        <f t="shared" si="4"/>
        <v>28.25</v>
      </c>
      <c r="B119" s="4">
        <f t="shared" si="5"/>
        <v>0</v>
      </c>
      <c r="C119" s="14" t="e">
        <f>#REF!</f>
        <v>#REF!</v>
      </c>
      <c r="D119" s="14" t="e">
        <f>#REF!+1.5</f>
        <v>#REF!</v>
      </c>
      <c r="E119" s="14" t="e">
        <f>#REF!+1.5</f>
        <v>#REF!</v>
      </c>
      <c r="F119" s="14" t="e">
        <f>#REF!+1.5</f>
        <v>#REF!</v>
      </c>
      <c r="G119" s="14" t="e">
        <f>#REF!</f>
        <v>#REF!</v>
      </c>
    </row>
    <row r="120" spans="1:7" hidden="1" x14ac:dyDescent="0.55000000000000004">
      <c r="A120" s="5">
        <f t="shared" si="4"/>
        <v>28.5</v>
      </c>
      <c r="B120" s="4">
        <f t="shared" si="5"/>
        <v>0</v>
      </c>
      <c r="C120" s="14" t="e">
        <f>#REF!</f>
        <v>#REF!</v>
      </c>
      <c r="D120" s="14" t="e">
        <f>#REF!+1.5</f>
        <v>#REF!</v>
      </c>
      <c r="E120" s="14" t="e">
        <f>#REF!+1.5</f>
        <v>#REF!</v>
      </c>
      <c r="F120" s="14" t="e">
        <f>#REF!+1.5</f>
        <v>#REF!</v>
      </c>
      <c r="G120" s="14" t="e">
        <f>#REF!</f>
        <v>#REF!</v>
      </c>
    </row>
    <row r="121" spans="1:7" hidden="1" x14ac:dyDescent="0.55000000000000004">
      <c r="A121" s="5">
        <f t="shared" si="4"/>
        <v>28.75</v>
      </c>
      <c r="B121" s="4">
        <f t="shared" si="5"/>
        <v>0</v>
      </c>
      <c r="C121" s="14" t="e">
        <f>#REF!</f>
        <v>#REF!</v>
      </c>
      <c r="D121" s="14" t="e">
        <f>#REF!+1.5</f>
        <v>#REF!</v>
      </c>
      <c r="E121" s="14" t="e">
        <f>#REF!+1.5</f>
        <v>#REF!</v>
      </c>
      <c r="F121" s="14" t="e">
        <f>#REF!+1.5</f>
        <v>#REF!</v>
      </c>
      <c r="G121" s="14" t="e">
        <f>#REF!</f>
        <v>#REF!</v>
      </c>
    </row>
    <row r="122" spans="1:7" hidden="1" x14ac:dyDescent="0.55000000000000004">
      <c r="A122" s="5">
        <f t="shared" si="4"/>
        <v>29</v>
      </c>
      <c r="B122" s="4">
        <f t="shared" si="5"/>
        <v>0</v>
      </c>
      <c r="C122" s="14" t="e">
        <f>#REF!</f>
        <v>#REF!</v>
      </c>
      <c r="D122" s="14" t="e">
        <f>#REF!+1.5</f>
        <v>#REF!</v>
      </c>
      <c r="E122" s="14" t="e">
        <f>#REF!+1.5</f>
        <v>#REF!</v>
      </c>
      <c r="F122" s="14" t="e">
        <f>#REF!+1.5</f>
        <v>#REF!</v>
      </c>
      <c r="G122" s="14" t="e">
        <f>#REF!</f>
        <v>#REF!</v>
      </c>
    </row>
    <row r="123" spans="1:7" hidden="1" x14ac:dyDescent="0.55000000000000004">
      <c r="A123" s="5">
        <f t="shared" si="4"/>
        <v>29.25</v>
      </c>
      <c r="B123" s="4">
        <f t="shared" si="5"/>
        <v>0</v>
      </c>
      <c r="C123" s="14" t="e">
        <f>#REF!</f>
        <v>#REF!</v>
      </c>
      <c r="D123" s="14" t="e">
        <f>#REF!+1.5</f>
        <v>#REF!</v>
      </c>
      <c r="E123" s="14" t="e">
        <f>#REF!+1.5</f>
        <v>#REF!</v>
      </c>
      <c r="F123" s="14" t="e">
        <f>#REF!+1.5</f>
        <v>#REF!</v>
      </c>
      <c r="G123" s="14" t="e">
        <f>#REF!</f>
        <v>#REF!</v>
      </c>
    </row>
    <row r="124" spans="1:7" hidden="1" x14ac:dyDescent="0.55000000000000004">
      <c r="A124" s="5">
        <f t="shared" si="4"/>
        <v>29.5</v>
      </c>
      <c r="B124" s="4">
        <f t="shared" si="5"/>
        <v>0</v>
      </c>
      <c r="C124" s="14" t="e">
        <f>#REF!</f>
        <v>#REF!</v>
      </c>
      <c r="D124" s="14" t="e">
        <f>#REF!+1.5</f>
        <v>#REF!</v>
      </c>
      <c r="E124" s="14" t="e">
        <f>#REF!+1.5</f>
        <v>#REF!</v>
      </c>
      <c r="F124" s="14" t="e">
        <f>#REF!+1.5</f>
        <v>#REF!</v>
      </c>
      <c r="G124" s="14" t="e">
        <f>#REF!</f>
        <v>#REF!</v>
      </c>
    </row>
    <row r="125" spans="1:7" hidden="1" x14ac:dyDescent="0.55000000000000004">
      <c r="A125" s="5">
        <f t="shared" si="4"/>
        <v>29.75</v>
      </c>
      <c r="B125" s="4">
        <f t="shared" si="5"/>
        <v>0</v>
      </c>
      <c r="C125" s="14" t="e">
        <f>#REF!</f>
        <v>#REF!</v>
      </c>
      <c r="D125" s="14" t="e">
        <f>#REF!+1.5</f>
        <v>#REF!</v>
      </c>
      <c r="E125" s="14" t="e">
        <f>#REF!+1.5</f>
        <v>#REF!</v>
      </c>
      <c r="F125" s="14" t="e">
        <f>#REF!+1.5</f>
        <v>#REF!</v>
      </c>
      <c r="G125" s="14" t="e">
        <f>#REF!</f>
        <v>#REF!</v>
      </c>
    </row>
    <row r="126" spans="1:7" hidden="1" x14ac:dyDescent="0.55000000000000004">
      <c r="A126" s="5">
        <f t="shared" si="4"/>
        <v>30</v>
      </c>
      <c r="B126" s="4">
        <f t="shared" si="5"/>
        <v>0</v>
      </c>
      <c r="C126" s="14" t="e">
        <f>#REF!</f>
        <v>#REF!</v>
      </c>
      <c r="D126" s="14" t="e">
        <f>#REF!+1.5</f>
        <v>#REF!</v>
      </c>
      <c r="E126" s="14" t="e">
        <f>#REF!+1.5</f>
        <v>#REF!</v>
      </c>
      <c r="F126" s="14" t="e">
        <f>#REF!+1.5</f>
        <v>#REF!</v>
      </c>
      <c r="G126" s="14" t="e">
        <f>#REF!</f>
        <v>#REF!</v>
      </c>
    </row>
    <row r="127" spans="1:7" hidden="1" x14ac:dyDescent="0.55000000000000004">
      <c r="A127" s="5">
        <f t="shared" si="4"/>
        <v>30.25</v>
      </c>
      <c r="B127" s="4">
        <f t="shared" si="5"/>
        <v>0</v>
      </c>
      <c r="C127" s="14" t="e">
        <f>#REF!</f>
        <v>#REF!</v>
      </c>
      <c r="D127" s="14" t="e">
        <f>#REF!+1.5</f>
        <v>#REF!</v>
      </c>
      <c r="E127" s="14" t="e">
        <f>#REF!+1.5</f>
        <v>#REF!</v>
      </c>
      <c r="F127" s="14" t="e">
        <f>#REF!+1.5</f>
        <v>#REF!</v>
      </c>
      <c r="G127" s="14" t="e">
        <f>#REF!</f>
        <v>#REF!</v>
      </c>
    </row>
    <row r="128" spans="1:7" hidden="1" x14ac:dyDescent="0.55000000000000004">
      <c r="A128" s="5">
        <f t="shared" si="4"/>
        <v>30.5</v>
      </c>
      <c r="B128" s="4">
        <f t="shared" si="5"/>
        <v>0</v>
      </c>
      <c r="C128" s="14" t="e">
        <f>#REF!</f>
        <v>#REF!</v>
      </c>
      <c r="D128" s="14" t="e">
        <f>#REF!+1.5</f>
        <v>#REF!</v>
      </c>
      <c r="E128" s="14" t="e">
        <f>#REF!+1.5</f>
        <v>#REF!</v>
      </c>
      <c r="F128" s="14" t="e">
        <f>#REF!+1.5</f>
        <v>#REF!</v>
      </c>
      <c r="G128" s="14" t="e">
        <f>#REF!</f>
        <v>#REF!</v>
      </c>
    </row>
    <row r="129" spans="1:7" hidden="1" x14ac:dyDescent="0.55000000000000004">
      <c r="A129" s="5">
        <f t="shared" si="4"/>
        <v>30.75</v>
      </c>
      <c r="B129" s="4">
        <f t="shared" si="5"/>
        <v>0</v>
      </c>
      <c r="C129" s="14" t="e">
        <f>#REF!</f>
        <v>#REF!</v>
      </c>
      <c r="D129" s="14" t="e">
        <f>#REF!+1.5</f>
        <v>#REF!</v>
      </c>
      <c r="E129" s="14" t="e">
        <f>#REF!+1.5</f>
        <v>#REF!</v>
      </c>
      <c r="F129" s="14" t="e">
        <f>#REF!+1.5</f>
        <v>#REF!</v>
      </c>
      <c r="G129" s="14" t="e">
        <f>#REF!</f>
        <v>#REF!</v>
      </c>
    </row>
    <row r="130" spans="1:7" hidden="1" x14ac:dyDescent="0.55000000000000004">
      <c r="A130" s="5">
        <f t="shared" si="4"/>
        <v>31</v>
      </c>
      <c r="B130" s="4">
        <f t="shared" si="5"/>
        <v>0</v>
      </c>
      <c r="C130" s="14" t="e">
        <f>#REF!</f>
        <v>#REF!</v>
      </c>
      <c r="D130" s="14" t="e">
        <f>#REF!+1.5</f>
        <v>#REF!</v>
      </c>
      <c r="E130" s="14" t="e">
        <f>#REF!+1.5</f>
        <v>#REF!</v>
      </c>
      <c r="F130" s="14" t="e">
        <f>#REF!+1.5</f>
        <v>#REF!</v>
      </c>
      <c r="G130" s="14" t="e">
        <f>#REF!</f>
        <v>#REF!</v>
      </c>
    </row>
    <row r="131" spans="1:7" hidden="1" x14ac:dyDescent="0.55000000000000004">
      <c r="A131" s="5">
        <f t="shared" si="4"/>
        <v>31.25</v>
      </c>
      <c r="B131" s="4">
        <f t="shared" si="5"/>
        <v>0</v>
      </c>
      <c r="C131" s="14" t="e">
        <f>#REF!</f>
        <v>#REF!</v>
      </c>
      <c r="D131" s="14" t="e">
        <f>#REF!+1.5</f>
        <v>#REF!</v>
      </c>
      <c r="E131" s="14" t="e">
        <f>#REF!+1.5</f>
        <v>#REF!</v>
      </c>
      <c r="F131" s="14" t="e">
        <f>#REF!+1.5</f>
        <v>#REF!</v>
      </c>
      <c r="G131" s="14" t="e">
        <f>#REF!</f>
        <v>#REF!</v>
      </c>
    </row>
    <row r="132" spans="1:7" hidden="1" x14ac:dyDescent="0.55000000000000004">
      <c r="A132" s="5">
        <f t="shared" ref="A132:A195" si="6">A131+0.25</f>
        <v>31.5</v>
      </c>
      <c r="B132" s="4">
        <f t="shared" ref="B132:B195" si="7">B131</f>
        <v>0</v>
      </c>
      <c r="C132" s="14" t="e">
        <f>#REF!</f>
        <v>#REF!</v>
      </c>
      <c r="D132" s="14" t="e">
        <f>#REF!+1.5</f>
        <v>#REF!</v>
      </c>
      <c r="E132" s="14" t="e">
        <f>#REF!+1.5</f>
        <v>#REF!</v>
      </c>
      <c r="F132" s="14" t="e">
        <f>#REF!+1.5</f>
        <v>#REF!</v>
      </c>
      <c r="G132" s="14" t="e">
        <f>#REF!</f>
        <v>#REF!</v>
      </c>
    </row>
    <row r="133" spans="1:7" hidden="1" x14ac:dyDescent="0.55000000000000004">
      <c r="A133" s="5">
        <f t="shared" si="6"/>
        <v>31.75</v>
      </c>
      <c r="B133" s="4">
        <f t="shared" si="7"/>
        <v>0</v>
      </c>
      <c r="C133" s="14" t="e">
        <f>#REF!</f>
        <v>#REF!</v>
      </c>
      <c r="D133" s="14" t="e">
        <f>#REF!+1.5</f>
        <v>#REF!</v>
      </c>
      <c r="E133" s="14" t="e">
        <f>#REF!+1.5</f>
        <v>#REF!</v>
      </c>
      <c r="F133" s="14" t="e">
        <f>#REF!+1.5</f>
        <v>#REF!</v>
      </c>
      <c r="G133" s="14" t="e">
        <f>#REF!</f>
        <v>#REF!</v>
      </c>
    </row>
    <row r="134" spans="1:7" hidden="1" x14ac:dyDescent="0.55000000000000004">
      <c r="A134" s="5">
        <f t="shared" si="6"/>
        <v>32</v>
      </c>
      <c r="B134" s="4">
        <f t="shared" si="7"/>
        <v>0</v>
      </c>
      <c r="C134" s="14" t="e">
        <f>#REF!</f>
        <v>#REF!</v>
      </c>
      <c r="D134" s="14" t="e">
        <f>#REF!+1.5</f>
        <v>#REF!</v>
      </c>
      <c r="E134" s="14" t="e">
        <f>#REF!+1.5</f>
        <v>#REF!</v>
      </c>
      <c r="F134" s="14" t="e">
        <f>#REF!+1.5</f>
        <v>#REF!</v>
      </c>
      <c r="G134" s="14" t="e">
        <f>#REF!</f>
        <v>#REF!</v>
      </c>
    </row>
    <row r="135" spans="1:7" hidden="1" x14ac:dyDescent="0.55000000000000004">
      <c r="A135" s="5">
        <f t="shared" si="6"/>
        <v>32.25</v>
      </c>
      <c r="B135" s="4">
        <f t="shared" si="7"/>
        <v>0</v>
      </c>
      <c r="C135" s="14" t="e">
        <f>#REF!</f>
        <v>#REF!</v>
      </c>
      <c r="D135" s="14" t="e">
        <f>#REF!+1.5</f>
        <v>#REF!</v>
      </c>
      <c r="E135" s="14" t="e">
        <f>#REF!+1.5</f>
        <v>#REF!</v>
      </c>
      <c r="F135" s="14" t="e">
        <f>#REF!+1.5</f>
        <v>#REF!</v>
      </c>
      <c r="G135" s="14" t="e">
        <f>#REF!</f>
        <v>#REF!</v>
      </c>
    </row>
    <row r="136" spans="1:7" hidden="1" x14ac:dyDescent="0.55000000000000004">
      <c r="A136" s="5">
        <f t="shared" si="6"/>
        <v>32.5</v>
      </c>
      <c r="B136" s="4">
        <f t="shared" si="7"/>
        <v>0</v>
      </c>
      <c r="C136" s="14" t="e">
        <f>#REF!</f>
        <v>#REF!</v>
      </c>
      <c r="D136" s="14" t="e">
        <f>#REF!+1.5</f>
        <v>#REF!</v>
      </c>
      <c r="E136" s="14" t="e">
        <f>#REF!+1.5</f>
        <v>#REF!</v>
      </c>
      <c r="F136" s="14" t="e">
        <f>#REF!+1.5</f>
        <v>#REF!</v>
      </c>
      <c r="G136" s="14" t="e">
        <f>#REF!</f>
        <v>#REF!</v>
      </c>
    </row>
    <row r="137" spans="1:7" hidden="1" x14ac:dyDescent="0.55000000000000004">
      <c r="A137" s="5">
        <f t="shared" si="6"/>
        <v>32.75</v>
      </c>
      <c r="B137" s="4">
        <f t="shared" si="7"/>
        <v>0</v>
      </c>
      <c r="C137" s="14" t="e">
        <f>#REF!</f>
        <v>#REF!</v>
      </c>
      <c r="D137" s="14" t="e">
        <f>#REF!+1.5</f>
        <v>#REF!</v>
      </c>
      <c r="E137" s="14" t="e">
        <f>#REF!+1.5</f>
        <v>#REF!</v>
      </c>
      <c r="F137" s="14" t="e">
        <f>#REF!+1.5</f>
        <v>#REF!</v>
      </c>
      <c r="G137" s="14" t="e">
        <f>#REF!</f>
        <v>#REF!</v>
      </c>
    </row>
    <row r="138" spans="1:7" hidden="1" x14ac:dyDescent="0.55000000000000004">
      <c r="A138" s="5">
        <f t="shared" si="6"/>
        <v>33</v>
      </c>
      <c r="B138" s="4">
        <f t="shared" si="7"/>
        <v>0</v>
      </c>
      <c r="C138" s="14" t="e">
        <f>#REF!</f>
        <v>#REF!</v>
      </c>
      <c r="D138" s="14" t="e">
        <f>#REF!+1.5</f>
        <v>#REF!</v>
      </c>
      <c r="E138" s="14" t="e">
        <f>#REF!+1.5</f>
        <v>#REF!</v>
      </c>
      <c r="F138" s="14" t="e">
        <f>#REF!+1.5</f>
        <v>#REF!</v>
      </c>
      <c r="G138" s="14" t="e">
        <f>#REF!</f>
        <v>#REF!</v>
      </c>
    </row>
    <row r="139" spans="1:7" hidden="1" x14ac:dyDescent="0.55000000000000004">
      <c r="A139" s="5">
        <f t="shared" si="6"/>
        <v>33.25</v>
      </c>
      <c r="B139" s="4">
        <f t="shared" si="7"/>
        <v>0</v>
      </c>
      <c r="C139" s="14" t="e">
        <f>#REF!</f>
        <v>#REF!</v>
      </c>
      <c r="D139" s="14" t="e">
        <f>#REF!+1.5</f>
        <v>#REF!</v>
      </c>
      <c r="E139" s="14" t="e">
        <f>#REF!+1.5</f>
        <v>#REF!</v>
      </c>
      <c r="F139" s="14" t="e">
        <f>#REF!+1.5</f>
        <v>#REF!</v>
      </c>
      <c r="G139" s="14" t="e">
        <f>#REF!</f>
        <v>#REF!</v>
      </c>
    </row>
    <row r="140" spans="1:7" hidden="1" x14ac:dyDescent="0.55000000000000004">
      <c r="A140" s="5">
        <f t="shared" si="6"/>
        <v>33.5</v>
      </c>
      <c r="B140" s="4">
        <f t="shared" si="7"/>
        <v>0</v>
      </c>
      <c r="C140" s="14" t="e">
        <f>#REF!</f>
        <v>#REF!</v>
      </c>
      <c r="D140" s="14" t="e">
        <f>#REF!+1.5</f>
        <v>#REF!</v>
      </c>
      <c r="E140" s="14" t="e">
        <f>#REF!+1.5</f>
        <v>#REF!</v>
      </c>
      <c r="F140" s="14" t="e">
        <f>#REF!+1.5</f>
        <v>#REF!</v>
      </c>
      <c r="G140" s="14" t="e">
        <f>#REF!</f>
        <v>#REF!</v>
      </c>
    </row>
    <row r="141" spans="1:7" hidden="1" x14ac:dyDescent="0.55000000000000004">
      <c r="A141" s="5">
        <f t="shared" si="6"/>
        <v>33.75</v>
      </c>
      <c r="B141" s="4">
        <f t="shared" si="7"/>
        <v>0</v>
      </c>
      <c r="C141" s="14" t="e">
        <f>#REF!</f>
        <v>#REF!</v>
      </c>
      <c r="D141" s="14" t="e">
        <f>#REF!+1.5</f>
        <v>#REF!</v>
      </c>
      <c r="E141" s="14" t="e">
        <f>#REF!+1.5</f>
        <v>#REF!</v>
      </c>
      <c r="F141" s="14" t="e">
        <f>#REF!+1.5</f>
        <v>#REF!</v>
      </c>
      <c r="G141" s="14" t="e">
        <f>#REF!</f>
        <v>#REF!</v>
      </c>
    </row>
    <row r="142" spans="1:7" hidden="1" x14ac:dyDescent="0.55000000000000004">
      <c r="A142" s="5">
        <f t="shared" si="6"/>
        <v>34</v>
      </c>
      <c r="B142" s="4">
        <f t="shared" si="7"/>
        <v>0</v>
      </c>
      <c r="C142" s="14" t="e">
        <f>#REF!</f>
        <v>#REF!</v>
      </c>
      <c r="D142" s="14" t="e">
        <f>#REF!+1.5</f>
        <v>#REF!</v>
      </c>
      <c r="E142" s="14" t="e">
        <f>#REF!+1.5</f>
        <v>#REF!</v>
      </c>
      <c r="F142" s="14" t="e">
        <f>#REF!+1.5</f>
        <v>#REF!</v>
      </c>
      <c r="G142" s="14" t="e">
        <f>#REF!</f>
        <v>#REF!</v>
      </c>
    </row>
    <row r="143" spans="1:7" hidden="1" x14ac:dyDescent="0.55000000000000004">
      <c r="A143" s="5">
        <f t="shared" si="6"/>
        <v>34.25</v>
      </c>
      <c r="B143" s="4">
        <f t="shared" si="7"/>
        <v>0</v>
      </c>
      <c r="C143" s="14" t="e">
        <f>#REF!</f>
        <v>#REF!</v>
      </c>
      <c r="D143" s="14" t="e">
        <f>#REF!+1.5</f>
        <v>#REF!</v>
      </c>
      <c r="E143" s="14" t="e">
        <f>#REF!+1.5</f>
        <v>#REF!</v>
      </c>
      <c r="F143" s="14" t="e">
        <f>#REF!+1.5</f>
        <v>#REF!</v>
      </c>
      <c r="G143" s="14" t="e">
        <f>#REF!</f>
        <v>#REF!</v>
      </c>
    </row>
    <row r="144" spans="1:7" hidden="1" x14ac:dyDescent="0.55000000000000004">
      <c r="A144" s="5">
        <f t="shared" si="6"/>
        <v>34.5</v>
      </c>
      <c r="B144" s="4">
        <f t="shared" si="7"/>
        <v>0</v>
      </c>
      <c r="C144" s="14" t="e">
        <f>#REF!</f>
        <v>#REF!</v>
      </c>
      <c r="D144" s="14" t="e">
        <f>#REF!+1.5</f>
        <v>#REF!</v>
      </c>
      <c r="E144" s="14" t="e">
        <f>#REF!+1.5</f>
        <v>#REF!</v>
      </c>
      <c r="F144" s="14" t="e">
        <f>#REF!+1.5</f>
        <v>#REF!</v>
      </c>
      <c r="G144" s="14" t="e">
        <f>#REF!</f>
        <v>#REF!</v>
      </c>
    </row>
    <row r="145" spans="1:7" hidden="1" x14ac:dyDescent="0.55000000000000004">
      <c r="A145" s="5">
        <f t="shared" si="6"/>
        <v>34.75</v>
      </c>
      <c r="B145" s="4">
        <f t="shared" si="7"/>
        <v>0</v>
      </c>
      <c r="C145" s="14" t="e">
        <f>#REF!</f>
        <v>#REF!</v>
      </c>
      <c r="D145" s="14" t="e">
        <f>#REF!+1.5</f>
        <v>#REF!</v>
      </c>
      <c r="E145" s="14" t="e">
        <f>#REF!+1.5</f>
        <v>#REF!</v>
      </c>
      <c r="F145" s="14" t="e">
        <f>#REF!+1.5</f>
        <v>#REF!</v>
      </c>
      <c r="G145" s="14" t="e">
        <f>#REF!</f>
        <v>#REF!</v>
      </c>
    </row>
    <row r="146" spans="1:7" hidden="1" x14ac:dyDescent="0.55000000000000004">
      <c r="A146" s="5">
        <f t="shared" si="6"/>
        <v>35</v>
      </c>
      <c r="B146" s="4">
        <f t="shared" si="7"/>
        <v>0</v>
      </c>
      <c r="C146" s="14" t="e">
        <f>#REF!</f>
        <v>#REF!</v>
      </c>
      <c r="D146" s="14" t="e">
        <f>#REF!+1.5</f>
        <v>#REF!</v>
      </c>
      <c r="E146" s="14" t="e">
        <f>#REF!+1.5</f>
        <v>#REF!</v>
      </c>
      <c r="F146" s="14" t="e">
        <f>#REF!+1.5</f>
        <v>#REF!</v>
      </c>
      <c r="G146" s="14" t="e">
        <f>#REF!</f>
        <v>#REF!</v>
      </c>
    </row>
    <row r="147" spans="1:7" hidden="1" x14ac:dyDescent="0.55000000000000004">
      <c r="A147" s="5">
        <f t="shared" si="6"/>
        <v>35.25</v>
      </c>
      <c r="B147" s="4">
        <f t="shared" si="7"/>
        <v>0</v>
      </c>
      <c r="C147" s="14" t="e">
        <f>#REF!</f>
        <v>#REF!</v>
      </c>
      <c r="D147" s="14" t="e">
        <f>#REF!+1.5</f>
        <v>#REF!</v>
      </c>
      <c r="E147" s="14" t="e">
        <f>#REF!+1.5</f>
        <v>#REF!</v>
      </c>
      <c r="F147" s="14" t="e">
        <f>#REF!+1.5</f>
        <v>#REF!</v>
      </c>
      <c r="G147" s="14" t="e">
        <f>#REF!</f>
        <v>#REF!</v>
      </c>
    </row>
    <row r="148" spans="1:7" hidden="1" x14ac:dyDescent="0.55000000000000004">
      <c r="A148" s="5">
        <f t="shared" si="6"/>
        <v>35.5</v>
      </c>
      <c r="B148" s="4">
        <f t="shared" si="7"/>
        <v>0</v>
      </c>
      <c r="C148" s="14" t="e">
        <f>#REF!</f>
        <v>#REF!</v>
      </c>
      <c r="D148" s="14" t="e">
        <f>#REF!+1.5</f>
        <v>#REF!</v>
      </c>
      <c r="E148" s="14" t="e">
        <f>#REF!+1.5</f>
        <v>#REF!</v>
      </c>
      <c r="F148" s="14" t="e">
        <f>#REF!+1.5</f>
        <v>#REF!</v>
      </c>
      <c r="G148" s="14" t="e">
        <f>#REF!</f>
        <v>#REF!</v>
      </c>
    </row>
    <row r="149" spans="1:7" hidden="1" x14ac:dyDescent="0.55000000000000004">
      <c r="A149" s="5">
        <f t="shared" si="6"/>
        <v>35.75</v>
      </c>
      <c r="B149" s="4">
        <f t="shared" si="7"/>
        <v>0</v>
      </c>
      <c r="C149" s="14" t="e">
        <f>#REF!</f>
        <v>#REF!</v>
      </c>
      <c r="D149" s="14" t="e">
        <f>#REF!+1.5</f>
        <v>#REF!</v>
      </c>
      <c r="E149" s="14" t="e">
        <f>#REF!+1.5</f>
        <v>#REF!</v>
      </c>
      <c r="F149" s="14" t="e">
        <f>#REF!+1.5</f>
        <v>#REF!</v>
      </c>
      <c r="G149" s="14" t="e">
        <f>#REF!</f>
        <v>#REF!</v>
      </c>
    </row>
    <row r="150" spans="1:7" hidden="1" x14ac:dyDescent="0.55000000000000004">
      <c r="A150" s="5">
        <f t="shared" si="6"/>
        <v>36</v>
      </c>
      <c r="B150" s="4">
        <f t="shared" si="7"/>
        <v>0</v>
      </c>
      <c r="C150" s="14" t="e">
        <f>#REF!</f>
        <v>#REF!</v>
      </c>
      <c r="D150" s="14" t="e">
        <f>#REF!+1.5</f>
        <v>#REF!</v>
      </c>
      <c r="E150" s="14" t="e">
        <f>#REF!+1.5</f>
        <v>#REF!</v>
      </c>
      <c r="F150" s="14" t="e">
        <f>#REF!+1.5</f>
        <v>#REF!</v>
      </c>
      <c r="G150" s="14" t="e">
        <f>#REF!</f>
        <v>#REF!</v>
      </c>
    </row>
    <row r="151" spans="1:7" hidden="1" x14ac:dyDescent="0.55000000000000004">
      <c r="A151" s="5">
        <f t="shared" si="6"/>
        <v>36.25</v>
      </c>
      <c r="B151" s="4">
        <f t="shared" si="7"/>
        <v>0</v>
      </c>
      <c r="C151" s="14" t="e">
        <f>#REF!</f>
        <v>#REF!</v>
      </c>
      <c r="D151" s="14" t="e">
        <f>#REF!+1.5</f>
        <v>#REF!</v>
      </c>
      <c r="E151" s="14" t="e">
        <f>#REF!+1.5</f>
        <v>#REF!</v>
      </c>
      <c r="F151" s="14" t="e">
        <f>#REF!+1.5</f>
        <v>#REF!</v>
      </c>
      <c r="G151" s="14" t="e">
        <f>#REF!</f>
        <v>#REF!</v>
      </c>
    </row>
    <row r="152" spans="1:7" hidden="1" x14ac:dyDescent="0.55000000000000004">
      <c r="A152" s="5">
        <f t="shared" si="6"/>
        <v>36.5</v>
      </c>
      <c r="B152" s="4">
        <f t="shared" si="7"/>
        <v>0</v>
      </c>
      <c r="C152" s="14" t="e">
        <f>#REF!</f>
        <v>#REF!</v>
      </c>
      <c r="D152" s="14" t="e">
        <f>#REF!+1.5</f>
        <v>#REF!</v>
      </c>
      <c r="E152" s="14" t="e">
        <f>#REF!+1.5</f>
        <v>#REF!</v>
      </c>
      <c r="F152" s="14" t="e">
        <f>#REF!+1.5</f>
        <v>#REF!</v>
      </c>
      <c r="G152" s="14" t="e">
        <f>#REF!</f>
        <v>#REF!</v>
      </c>
    </row>
    <row r="153" spans="1:7" hidden="1" x14ac:dyDescent="0.55000000000000004">
      <c r="A153" s="5">
        <f t="shared" si="6"/>
        <v>36.75</v>
      </c>
      <c r="B153" s="4">
        <f t="shared" si="7"/>
        <v>0</v>
      </c>
      <c r="C153" s="14" t="e">
        <f>#REF!</f>
        <v>#REF!</v>
      </c>
      <c r="D153" s="14" t="e">
        <f>#REF!+1.5</f>
        <v>#REF!</v>
      </c>
      <c r="E153" s="14" t="e">
        <f>#REF!+1.5</f>
        <v>#REF!</v>
      </c>
      <c r="F153" s="14" t="e">
        <f>#REF!+1.5</f>
        <v>#REF!</v>
      </c>
      <c r="G153" s="14" t="e">
        <f>#REF!</f>
        <v>#REF!</v>
      </c>
    </row>
    <row r="154" spans="1:7" hidden="1" x14ac:dyDescent="0.55000000000000004">
      <c r="A154" s="5">
        <f t="shared" si="6"/>
        <v>37</v>
      </c>
      <c r="B154" s="4">
        <f t="shared" si="7"/>
        <v>0</v>
      </c>
      <c r="C154" s="14" t="e">
        <f>#REF!</f>
        <v>#REF!</v>
      </c>
      <c r="D154" s="14" t="e">
        <f>#REF!+1.5</f>
        <v>#REF!</v>
      </c>
      <c r="E154" s="14" t="e">
        <f>#REF!+1.5</f>
        <v>#REF!</v>
      </c>
      <c r="F154" s="14" t="e">
        <f>#REF!+1.5</f>
        <v>#REF!</v>
      </c>
      <c r="G154" s="14" t="e">
        <f>#REF!</f>
        <v>#REF!</v>
      </c>
    </row>
    <row r="155" spans="1:7" hidden="1" x14ac:dyDescent="0.55000000000000004">
      <c r="A155" s="5">
        <f t="shared" si="6"/>
        <v>37.25</v>
      </c>
      <c r="B155" s="4">
        <f t="shared" si="7"/>
        <v>0</v>
      </c>
      <c r="C155" s="14" t="e">
        <f>#REF!</f>
        <v>#REF!</v>
      </c>
      <c r="D155" s="14" t="e">
        <f>#REF!+1.5</f>
        <v>#REF!</v>
      </c>
      <c r="E155" s="14" t="e">
        <f>#REF!+1.5</f>
        <v>#REF!</v>
      </c>
      <c r="F155" s="14" t="e">
        <f>#REF!+1.5</f>
        <v>#REF!</v>
      </c>
      <c r="G155" s="14" t="e">
        <f>#REF!</f>
        <v>#REF!</v>
      </c>
    </row>
    <row r="156" spans="1:7" hidden="1" x14ac:dyDescent="0.55000000000000004">
      <c r="A156" s="5">
        <f t="shared" si="6"/>
        <v>37.5</v>
      </c>
      <c r="B156" s="4">
        <f t="shared" si="7"/>
        <v>0</v>
      </c>
      <c r="C156" s="14" t="e">
        <f>#REF!</f>
        <v>#REF!</v>
      </c>
      <c r="D156" s="14" t="e">
        <f>#REF!+1.5</f>
        <v>#REF!</v>
      </c>
      <c r="E156" s="14" t="e">
        <f>#REF!+1.5</f>
        <v>#REF!</v>
      </c>
      <c r="F156" s="14" t="e">
        <f>#REF!+1.5</f>
        <v>#REF!</v>
      </c>
      <c r="G156" s="14" t="e">
        <f>#REF!</f>
        <v>#REF!</v>
      </c>
    </row>
    <row r="157" spans="1:7" hidden="1" x14ac:dyDescent="0.55000000000000004">
      <c r="A157" s="5">
        <f t="shared" si="6"/>
        <v>37.75</v>
      </c>
      <c r="B157" s="4">
        <f t="shared" si="7"/>
        <v>0</v>
      </c>
      <c r="C157" s="14" t="e">
        <f>#REF!</f>
        <v>#REF!</v>
      </c>
      <c r="D157" s="14" t="e">
        <f>#REF!+1.5</f>
        <v>#REF!</v>
      </c>
      <c r="E157" s="14" t="e">
        <f>#REF!+1.5</f>
        <v>#REF!</v>
      </c>
      <c r="F157" s="14" t="e">
        <f>#REF!+1.5</f>
        <v>#REF!</v>
      </c>
      <c r="G157" s="14" t="e">
        <f>#REF!</f>
        <v>#REF!</v>
      </c>
    </row>
    <row r="158" spans="1:7" hidden="1" x14ac:dyDescent="0.55000000000000004">
      <c r="A158" s="5">
        <f t="shared" si="6"/>
        <v>38</v>
      </c>
      <c r="B158" s="4">
        <f t="shared" si="7"/>
        <v>0</v>
      </c>
      <c r="C158" s="14" t="e">
        <f>#REF!</f>
        <v>#REF!</v>
      </c>
      <c r="D158" s="14" t="e">
        <f>#REF!+1.5</f>
        <v>#REF!</v>
      </c>
      <c r="E158" s="14" t="e">
        <f>#REF!+1.5</f>
        <v>#REF!</v>
      </c>
      <c r="F158" s="14" t="e">
        <f>#REF!+1.5</f>
        <v>#REF!</v>
      </c>
      <c r="G158" s="14" t="e">
        <f>#REF!</f>
        <v>#REF!</v>
      </c>
    </row>
    <row r="159" spans="1:7" hidden="1" x14ac:dyDescent="0.55000000000000004">
      <c r="A159" s="5">
        <f t="shared" si="6"/>
        <v>38.25</v>
      </c>
      <c r="B159" s="4">
        <f t="shared" si="7"/>
        <v>0</v>
      </c>
      <c r="C159" s="14" t="e">
        <f>#REF!</f>
        <v>#REF!</v>
      </c>
      <c r="D159" s="14" t="e">
        <f>#REF!+1.5</f>
        <v>#REF!</v>
      </c>
      <c r="E159" s="14" t="e">
        <f>#REF!+1.5</f>
        <v>#REF!</v>
      </c>
      <c r="F159" s="14" t="e">
        <f>#REF!+1.5</f>
        <v>#REF!</v>
      </c>
      <c r="G159" s="14" t="e">
        <f>#REF!</f>
        <v>#REF!</v>
      </c>
    </row>
    <row r="160" spans="1:7" hidden="1" x14ac:dyDescent="0.55000000000000004">
      <c r="A160" s="5">
        <f t="shared" si="6"/>
        <v>38.5</v>
      </c>
      <c r="B160" s="4">
        <f t="shared" si="7"/>
        <v>0</v>
      </c>
      <c r="C160" s="14" t="e">
        <f>#REF!</f>
        <v>#REF!</v>
      </c>
      <c r="D160" s="14" t="e">
        <f>#REF!+1.5</f>
        <v>#REF!</v>
      </c>
      <c r="E160" s="14" t="e">
        <f>#REF!+1.5</f>
        <v>#REF!</v>
      </c>
      <c r="F160" s="14" t="e">
        <f>#REF!+1.5</f>
        <v>#REF!</v>
      </c>
      <c r="G160" s="14" t="e">
        <f>#REF!</f>
        <v>#REF!</v>
      </c>
    </row>
    <row r="161" spans="1:7" hidden="1" x14ac:dyDescent="0.55000000000000004">
      <c r="A161" s="5">
        <f t="shared" si="6"/>
        <v>38.75</v>
      </c>
      <c r="B161" s="4">
        <f t="shared" si="7"/>
        <v>0</v>
      </c>
      <c r="C161" s="14" t="e">
        <f>#REF!</f>
        <v>#REF!</v>
      </c>
      <c r="D161" s="14" t="e">
        <f>#REF!+1.5</f>
        <v>#REF!</v>
      </c>
      <c r="E161" s="14" t="e">
        <f>#REF!+1.5</f>
        <v>#REF!</v>
      </c>
      <c r="F161" s="14" t="e">
        <f>#REF!+1.5</f>
        <v>#REF!</v>
      </c>
      <c r="G161" s="14" t="e">
        <f>#REF!</f>
        <v>#REF!</v>
      </c>
    </row>
    <row r="162" spans="1:7" hidden="1" x14ac:dyDescent="0.55000000000000004">
      <c r="A162" s="5">
        <f t="shared" si="6"/>
        <v>39</v>
      </c>
      <c r="B162" s="4">
        <f t="shared" si="7"/>
        <v>0</v>
      </c>
      <c r="C162" s="14" t="e">
        <f>#REF!</f>
        <v>#REF!</v>
      </c>
      <c r="D162" s="14" t="e">
        <f>#REF!+1.5</f>
        <v>#REF!</v>
      </c>
      <c r="E162" s="14" t="e">
        <f>#REF!+1.5</f>
        <v>#REF!</v>
      </c>
      <c r="F162" s="14" t="e">
        <f>#REF!+1.5</f>
        <v>#REF!</v>
      </c>
      <c r="G162" s="14" t="e">
        <f>#REF!</f>
        <v>#REF!</v>
      </c>
    </row>
    <row r="163" spans="1:7" hidden="1" x14ac:dyDescent="0.55000000000000004">
      <c r="A163" s="5">
        <f t="shared" si="6"/>
        <v>39.25</v>
      </c>
      <c r="B163" s="4">
        <f t="shared" si="7"/>
        <v>0</v>
      </c>
      <c r="C163" s="14" t="e">
        <f>#REF!</f>
        <v>#REF!</v>
      </c>
      <c r="D163" s="14" t="e">
        <f>#REF!+1.5</f>
        <v>#REF!</v>
      </c>
      <c r="E163" s="14" t="e">
        <f>#REF!+1.5</f>
        <v>#REF!</v>
      </c>
      <c r="F163" s="14" t="e">
        <f>#REF!+1.5</f>
        <v>#REF!</v>
      </c>
      <c r="G163" s="14" t="e">
        <f>#REF!</f>
        <v>#REF!</v>
      </c>
    </row>
    <row r="164" spans="1:7" hidden="1" x14ac:dyDescent="0.55000000000000004">
      <c r="A164" s="5">
        <f t="shared" si="6"/>
        <v>39.5</v>
      </c>
      <c r="B164" s="4">
        <f t="shared" si="7"/>
        <v>0</v>
      </c>
      <c r="C164" s="14" t="e">
        <f>#REF!</f>
        <v>#REF!</v>
      </c>
      <c r="D164" s="14" t="e">
        <f>#REF!+1.5</f>
        <v>#REF!</v>
      </c>
      <c r="E164" s="14" t="e">
        <f>#REF!+1.5</f>
        <v>#REF!</v>
      </c>
      <c r="F164" s="14" t="e">
        <f>#REF!+1.5</f>
        <v>#REF!</v>
      </c>
      <c r="G164" s="14" t="e">
        <f>#REF!</f>
        <v>#REF!</v>
      </c>
    </row>
    <row r="165" spans="1:7" hidden="1" x14ac:dyDescent="0.55000000000000004">
      <c r="A165" s="5">
        <f t="shared" si="6"/>
        <v>39.75</v>
      </c>
      <c r="B165" s="4">
        <f t="shared" si="7"/>
        <v>0</v>
      </c>
      <c r="C165" s="14" t="e">
        <f>#REF!</f>
        <v>#REF!</v>
      </c>
      <c r="D165" s="14" t="e">
        <f>#REF!+1.5</f>
        <v>#REF!</v>
      </c>
      <c r="E165" s="14" t="e">
        <f>#REF!+1.5</f>
        <v>#REF!</v>
      </c>
      <c r="F165" s="14" t="e">
        <f>#REF!+1.5</f>
        <v>#REF!</v>
      </c>
      <c r="G165" s="14" t="e">
        <f>#REF!</f>
        <v>#REF!</v>
      </c>
    </row>
    <row r="166" spans="1:7" hidden="1" x14ac:dyDescent="0.55000000000000004">
      <c r="A166" s="5">
        <f t="shared" si="6"/>
        <v>40</v>
      </c>
      <c r="B166" s="4">
        <f t="shared" si="7"/>
        <v>0</v>
      </c>
      <c r="C166" s="14" t="e">
        <f>#REF!</f>
        <v>#REF!</v>
      </c>
      <c r="D166" s="14" t="e">
        <f>#REF!+1.5</f>
        <v>#REF!</v>
      </c>
      <c r="E166" s="14" t="e">
        <f>#REF!+1.5</f>
        <v>#REF!</v>
      </c>
      <c r="F166" s="14" t="e">
        <f>#REF!+1.5</f>
        <v>#REF!</v>
      </c>
      <c r="G166" s="14" t="e">
        <f>#REF!</f>
        <v>#REF!</v>
      </c>
    </row>
    <row r="167" spans="1:7" hidden="1" x14ac:dyDescent="0.55000000000000004">
      <c r="A167" s="5">
        <f t="shared" si="6"/>
        <v>40.25</v>
      </c>
      <c r="B167" s="4">
        <f t="shared" si="7"/>
        <v>0</v>
      </c>
      <c r="C167" s="14" t="e">
        <f>#REF!</f>
        <v>#REF!</v>
      </c>
      <c r="D167" s="14" t="e">
        <f>#REF!+1.5</f>
        <v>#REF!</v>
      </c>
      <c r="E167" s="14" t="e">
        <f>#REF!+1.5</f>
        <v>#REF!</v>
      </c>
      <c r="F167" s="14" t="e">
        <f>#REF!+1.5</f>
        <v>#REF!</v>
      </c>
      <c r="G167" s="14" t="e">
        <f>#REF!</f>
        <v>#REF!</v>
      </c>
    </row>
    <row r="168" spans="1:7" hidden="1" x14ac:dyDescent="0.55000000000000004">
      <c r="A168" s="5">
        <f t="shared" si="6"/>
        <v>40.5</v>
      </c>
      <c r="B168" s="4">
        <f t="shared" si="7"/>
        <v>0</v>
      </c>
      <c r="C168" s="14" t="e">
        <f>#REF!</f>
        <v>#REF!</v>
      </c>
      <c r="D168" s="14" t="e">
        <f>#REF!+1.5</f>
        <v>#REF!</v>
      </c>
      <c r="E168" s="14" t="e">
        <f>#REF!+1.5</f>
        <v>#REF!</v>
      </c>
      <c r="F168" s="14" t="e">
        <f>#REF!+1.5</f>
        <v>#REF!</v>
      </c>
      <c r="G168" s="14" t="e">
        <f>#REF!</f>
        <v>#REF!</v>
      </c>
    </row>
    <row r="169" spans="1:7" hidden="1" x14ac:dyDescent="0.55000000000000004">
      <c r="A169" s="5">
        <f t="shared" si="6"/>
        <v>40.75</v>
      </c>
      <c r="B169" s="4">
        <f t="shared" si="7"/>
        <v>0</v>
      </c>
      <c r="C169" s="14" t="e">
        <f>#REF!</f>
        <v>#REF!</v>
      </c>
      <c r="D169" s="14" t="e">
        <f>#REF!+1.5</f>
        <v>#REF!</v>
      </c>
      <c r="E169" s="14" t="e">
        <f>#REF!+1.5</f>
        <v>#REF!</v>
      </c>
      <c r="F169" s="14" t="e">
        <f>#REF!+1.5</f>
        <v>#REF!</v>
      </c>
      <c r="G169" s="14" t="e">
        <f>#REF!</f>
        <v>#REF!</v>
      </c>
    </row>
    <row r="170" spans="1:7" hidden="1" x14ac:dyDescent="0.55000000000000004">
      <c r="A170" s="5">
        <f t="shared" si="6"/>
        <v>41</v>
      </c>
      <c r="B170" s="4">
        <f t="shared" si="7"/>
        <v>0</v>
      </c>
      <c r="C170" s="14" t="e">
        <f>#REF!</f>
        <v>#REF!</v>
      </c>
      <c r="D170" s="14" t="e">
        <f>#REF!+1.5</f>
        <v>#REF!</v>
      </c>
      <c r="E170" s="14" t="e">
        <f>#REF!+1.5</f>
        <v>#REF!</v>
      </c>
      <c r="F170" s="14" t="e">
        <f>#REF!+1.5</f>
        <v>#REF!</v>
      </c>
      <c r="G170" s="14" t="e">
        <f>#REF!</f>
        <v>#REF!</v>
      </c>
    </row>
    <row r="171" spans="1:7" hidden="1" x14ac:dyDescent="0.55000000000000004">
      <c r="A171" s="5">
        <f t="shared" si="6"/>
        <v>41.25</v>
      </c>
      <c r="B171" s="4">
        <f t="shared" si="7"/>
        <v>0</v>
      </c>
      <c r="C171" s="14" t="e">
        <f>#REF!</f>
        <v>#REF!</v>
      </c>
      <c r="D171" s="14" t="e">
        <f>#REF!+1.5</f>
        <v>#REF!</v>
      </c>
      <c r="E171" s="14" t="e">
        <f>#REF!+1.5</f>
        <v>#REF!</v>
      </c>
      <c r="F171" s="14" t="e">
        <f>#REF!+1.5</f>
        <v>#REF!</v>
      </c>
      <c r="G171" s="14" t="e">
        <f>#REF!</f>
        <v>#REF!</v>
      </c>
    </row>
    <row r="172" spans="1:7" hidden="1" x14ac:dyDescent="0.55000000000000004">
      <c r="A172" s="5">
        <f t="shared" si="6"/>
        <v>41.5</v>
      </c>
      <c r="B172" s="4">
        <f t="shared" si="7"/>
        <v>0</v>
      </c>
      <c r="C172" s="14" t="e">
        <f>#REF!</f>
        <v>#REF!</v>
      </c>
      <c r="D172" s="14" t="e">
        <f>#REF!+1.5</f>
        <v>#REF!</v>
      </c>
      <c r="E172" s="14" t="e">
        <f>#REF!+1.5</f>
        <v>#REF!</v>
      </c>
      <c r="F172" s="14" t="e">
        <f>#REF!+1.5</f>
        <v>#REF!</v>
      </c>
      <c r="G172" s="14" t="e">
        <f>#REF!</f>
        <v>#REF!</v>
      </c>
    </row>
    <row r="173" spans="1:7" hidden="1" x14ac:dyDescent="0.55000000000000004">
      <c r="A173" s="5">
        <f t="shared" si="6"/>
        <v>41.75</v>
      </c>
      <c r="B173" s="4">
        <f t="shared" si="7"/>
        <v>0</v>
      </c>
      <c r="C173" s="14" t="e">
        <f>#REF!</f>
        <v>#REF!</v>
      </c>
      <c r="D173" s="14" t="e">
        <f>#REF!+1.5</f>
        <v>#REF!</v>
      </c>
      <c r="E173" s="14" t="e">
        <f>#REF!+1.5</f>
        <v>#REF!</v>
      </c>
      <c r="F173" s="14" t="e">
        <f>#REF!+1.5</f>
        <v>#REF!</v>
      </c>
      <c r="G173" s="14" t="e">
        <f>#REF!</f>
        <v>#REF!</v>
      </c>
    </row>
    <row r="174" spans="1:7" hidden="1" x14ac:dyDescent="0.55000000000000004">
      <c r="A174" s="5">
        <f t="shared" si="6"/>
        <v>42</v>
      </c>
      <c r="B174" s="4">
        <f t="shared" si="7"/>
        <v>0</v>
      </c>
      <c r="C174" s="14" t="e">
        <f>#REF!</f>
        <v>#REF!</v>
      </c>
      <c r="D174" s="14" t="e">
        <f>#REF!+1.5</f>
        <v>#REF!</v>
      </c>
      <c r="E174" s="14" t="e">
        <f>#REF!+1.5</f>
        <v>#REF!</v>
      </c>
      <c r="F174" s="14" t="e">
        <f>#REF!+1.5</f>
        <v>#REF!</v>
      </c>
      <c r="G174" s="14" t="e">
        <f>#REF!</f>
        <v>#REF!</v>
      </c>
    </row>
    <row r="175" spans="1:7" hidden="1" x14ac:dyDescent="0.55000000000000004">
      <c r="A175" s="5">
        <f t="shared" si="6"/>
        <v>42.25</v>
      </c>
      <c r="B175" s="4">
        <f t="shared" si="7"/>
        <v>0</v>
      </c>
      <c r="C175" s="14" t="e">
        <f>#REF!</f>
        <v>#REF!</v>
      </c>
      <c r="D175" s="14" t="e">
        <f>#REF!+1.5</f>
        <v>#REF!</v>
      </c>
      <c r="E175" s="14" t="e">
        <f>#REF!+1.5</f>
        <v>#REF!</v>
      </c>
      <c r="F175" s="14" t="e">
        <f>#REF!+1.5</f>
        <v>#REF!</v>
      </c>
      <c r="G175" s="14" t="e">
        <f>#REF!</f>
        <v>#REF!</v>
      </c>
    </row>
    <row r="176" spans="1:7" hidden="1" x14ac:dyDescent="0.55000000000000004">
      <c r="A176" s="5">
        <f t="shared" si="6"/>
        <v>42.5</v>
      </c>
      <c r="B176" s="4">
        <f t="shared" si="7"/>
        <v>0</v>
      </c>
      <c r="C176" s="14" t="e">
        <f>#REF!</f>
        <v>#REF!</v>
      </c>
      <c r="D176" s="14" t="e">
        <f>#REF!+1.5</f>
        <v>#REF!</v>
      </c>
      <c r="E176" s="14" t="e">
        <f>#REF!+1.5</f>
        <v>#REF!</v>
      </c>
      <c r="F176" s="14" t="e">
        <f>#REF!+1.5</f>
        <v>#REF!</v>
      </c>
      <c r="G176" s="14" t="e">
        <f>#REF!</f>
        <v>#REF!</v>
      </c>
    </row>
    <row r="177" spans="1:7" hidden="1" x14ac:dyDescent="0.55000000000000004">
      <c r="A177" s="5">
        <f t="shared" si="6"/>
        <v>42.75</v>
      </c>
      <c r="B177" s="4">
        <f t="shared" si="7"/>
        <v>0</v>
      </c>
      <c r="C177" s="14" t="e">
        <f>#REF!</f>
        <v>#REF!</v>
      </c>
      <c r="D177" s="14" t="e">
        <f>#REF!+1.5</f>
        <v>#REF!</v>
      </c>
      <c r="E177" s="14" t="e">
        <f>#REF!+1.5</f>
        <v>#REF!</v>
      </c>
      <c r="F177" s="14" t="e">
        <f>#REF!+1.5</f>
        <v>#REF!</v>
      </c>
      <c r="G177" s="14" t="e">
        <f>#REF!</f>
        <v>#REF!</v>
      </c>
    </row>
    <row r="178" spans="1:7" hidden="1" x14ac:dyDescent="0.55000000000000004">
      <c r="A178" s="5">
        <f t="shared" si="6"/>
        <v>43</v>
      </c>
      <c r="B178" s="4">
        <f t="shared" si="7"/>
        <v>0</v>
      </c>
      <c r="C178" s="14" t="e">
        <f>#REF!</f>
        <v>#REF!</v>
      </c>
      <c r="D178" s="14" t="e">
        <f>#REF!+1.5</f>
        <v>#REF!</v>
      </c>
      <c r="E178" s="14" t="e">
        <f>#REF!+1.5</f>
        <v>#REF!</v>
      </c>
      <c r="F178" s="14" t="e">
        <f>#REF!+1.5</f>
        <v>#REF!</v>
      </c>
      <c r="G178" s="14" t="e">
        <f>#REF!</f>
        <v>#REF!</v>
      </c>
    </row>
    <row r="179" spans="1:7" hidden="1" x14ac:dyDescent="0.55000000000000004">
      <c r="A179" s="5">
        <f t="shared" si="6"/>
        <v>43.25</v>
      </c>
      <c r="B179" s="4">
        <f t="shared" si="7"/>
        <v>0</v>
      </c>
      <c r="C179" s="14" t="e">
        <f>#REF!</f>
        <v>#REF!</v>
      </c>
      <c r="D179" s="14" t="e">
        <f>#REF!+1.5</f>
        <v>#REF!</v>
      </c>
      <c r="E179" s="14" t="e">
        <f>#REF!+1.5</f>
        <v>#REF!</v>
      </c>
      <c r="F179" s="14" t="e">
        <f>#REF!+1.5</f>
        <v>#REF!</v>
      </c>
      <c r="G179" s="14" t="e">
        <f>#REF!</f>
        <v>#REF!</v>
      </c>
    </row>
    <row r="180" spans="1:7" hidden="1" x14ac:dyDescent="0.55000000000000004">
      <c r="A180" s="5">
        <f t="shared" si="6"/>
        <v>43.5</v>
      </c>
      <c r="B180" s="4">
        <f t="shared" si="7"/>
        <v>0</v>
      </c>
      <c r="C180" s="14" t="e">
        <f>#REF!</f>
        <v>#REF!</v>
      </c>
      <c r="D180" s="14" t="e">
        <f>#REF!+1.5</f>
        <v>#REF!</v>
      </c>
      <c r="E180" s="14" t="e">
        <f>#REF!+1.5</f>
        <v>#REF!</v>
      </c>
      <c r="F180" s="14" t="e">
        <f>#REF!+1.5</f>
        <v>#REF!</v>
      </c>
      <c r="G180" s="14" t="e">
        <f>#REF!</f>
        <v>#REF!</v>
      </c>
    </row>
    <row r="181" spans="1:7" hidden="1" x14ac:dyDescent="0.55000000000000004">
      <c r="A181" s="5">
        <f t="shared" si="6"/>
        <v>43.75</v>
      </c>
      <c r="B181" s="4">
        <f t="shared" si="7"/>
        <v>0</v>
      </c>
      <c r="C181" s="14" t="e">
        <f>#REF!</f>
        <v>#REF!</v>
      </c>
      <c r="D181" s="14" t="e">
        <f>#REF!+1.5</f>
        <v>#REF!</v>
      </c>
      <c r="E181" s="14" t="e">
        <f>#REF!+1.5</f>
        <v>#REF!</v>
      </c>
      <c r="F181" s="14" t="e">
        <f>#REF!+1.5</f>
        <v>#REF!</v>
      </c>
      <c r="G181" s="14" t="e">
        <f>#REF!</f>
        <v>#REF!</v>
      </c>
    </row>
    <row r="182" spans="1:7" hidden="1" x14ac:dyDescent="0.55000000000000004">
      <c r="A182" s="5">
        <f t="shared" si="6"/>
        <v>44</v>
      </c>
      <c r="B182" s="4">
        <f t="shared" si="7"/>
        <v>0</v>
      </c>
      <c r="C182" s="14" t="e">
        <f>#REF!</f>
        <v>#REF!</v>
      </c>
      <c r="D182" s="14" t="e">
        <f>#REF!+1.5</f>
        <v>#REF!</v>
      </c>
      <c r="E182" s="14" t="e">
        <f>#REF!+1.5</f>
        <v>#REF!</v>
      </c>
      <c r="F182" s="14" t="e">
        <f>#REF!+1.5</f>
        <v>#REF!</v>
      </c>
      <c r="G182" s="14" t="e">
        <f>#REF!</f>
        <v>#REF!</v>
      </c>
    </row>
    <row r="183" spans="1:7" hidden="1" x14ac:dyDescent="0.55000000000000004">
      <c r="A183" s="5">
        <f t="shared" si="6"/>
        <v>44.25</v>
      </c>
      <c r="B183" s="4">
        <f t="shared" si="7"/>
        <v>0</v>
      </c>
      <c r="C183" s="14" t="e">
        <f>#REF!</f>
        <v>#REF!</v>
      </c>
      <c r="D183" s="14" t="e">
        <f>#REF!+1.5</f>
        <v>#REF!</v>
      </c>
      <c r="E183" s="14" t="e">
        <f>#REF!+1.5</f>
        <v>#REF!</v>
      </c>
      <c r="F183" s="14" t="e">
        <f>#REF!+1.5</f>
        <v>#REF!</v>
      </c>
      <c r="G183" s="14" t="e">
        <f>#REF!</f>
        <v>#REF!</v>
      </c>
    </row>
    <row r="184" spans="1:7" hidden="1" x14ac:dyDescent="0.55000000000000004">
      <c r="A184" s="5">
        <f t="shared" si="6"/>
        <v>44.5</v>
      </c>
      <c r="B184" s="4">
        <f t="shared" si="7"/>
        <v>0</v>
      </c>
      <c r="C184" s="14" t="e">
        <f>#REF!</f>
        <v>#REF!</v>
      </c>
      <c r="D184" s="14" t="e">
        <f>#REF!+1.5</f>
        <v>#REF!</v>
      </c>
      <c r="E184" s="14" t="e">
        <f>#REF!+1.5</f>
        <v>#REF!</v>
      </c>
      <c r="F184" s="14" t="e">
        <f>#REF!+1.5</f>
        <v>#REF!</v>
      </c>
      <c r="G184" s="14" t="e">
        <f>#REF!</f>
        <v>#REF!</v>
      </c>
    </row>
    <row r="185" spans="1:7" hidden="1" x14ac:dyDescent="0.55000000000000004">
      <c r="A185" s="5">
        <f t="shared" si="6"/>
        <v>44.75</v>
      </c>
      <c r="B185" s="4">
        <f t="shared" si="7"/>
        <v>0</v>
      </c>
      <c r="C185" s="14" t="e">
        <f>#REF!</f>
        <v>#REF!</v>
      </c>
      <c r="D185" s="14" t="e">
        <f>#REF!+1.5</f>
        <v>#REF!</v>
      </c>
      <c r="E185" s="14" t="e">
        <f>#REF!+1.5</f>
        <v>#REF!</v>
      </c>
      <c r="F185" s="14" t="e">
        <f>#REF!+1.5</f>
        <v>#REF!</v>
      </c>
      <c r="G185" s="14" t="e">
        <f>#REF!</f>
        <v>#REF!</v>
      </c>
    </row>
    <row r="186" spans="1:7" hidden="1" x14ac:dyDescent="0.55000000000000004">
      <c r="A186" s="5">
        <f t="shared" si="6"/>
        <v>45</v>
      </c>
      <c r="B186" s="4">
        <f t="shared" si="7"/>
        <v>0</v>
      </c>
      <c r="C186" s="14" t="e">
        <f>#REF!</f>
        <v>#REF!</v>
      </c>
      <c r="D186" s="14" t="e">
        <f>#REF!+1.5</f>
        <v>#REF!</v>
      </c>
      <c r="E186" s="14" t="e">
        <f>#REF!+1.5</f>
        <v>#REF!</v>
      </c>
      <c r="F186" s="14" t="e">
        <f>#REF!+1.5</f>
        <v>#REF!</v>
      </c>
      <c r="G186" s="14" t="e">
        <f>#REF!</f>
        <v>#REF!</v>
      </c>
    </row>
    <row r="187" spans="1:7" hidden="1" x14ac:dyDescent="0.55000000000000004">
      <c r="A187" s="5">
        <f t="shared" si="6"/>
        <v>45.25</v>
      </c>
      <c r="B187" s="4">
        <f t="shared" si="7"/>
        <v>0</v>
      </c>
      <c r="C187" s="14" t="e">
        <f>#REF!</f>
        <v>#REF!</v>
      </c>
      <c r="D187" s="14" t="e">
        <f>#REF!+1.5</f>
        <v>#REF!</v>
      </c>
      <c r="E187" s="14" t="e">
        <f>#REF!+1.5</f>
        <v>#REF!</v>
      </c>
      <c r="F187" s="14" t="e">
        <f>#REF!+1.5</f>
        <v>#REF!</v>
      </c>
      <c r="G187" s="14" t="e">
        <f>#REF!</f>
        <v>#REF!</v>
      </c>
    </row>
    <row r="188" spans="1:7" hidden="1" x14ac:dyDescent="0.55000000000000004">
      <c r="A188" s="5">
        <f t="shared" si="6"/>
        <v>45.5</v>
      </c>
      <c r="B188" s="4">
        <f t="shared" si="7"/>
        <v>0</v>
      </c>
      <c r="C188" s="14" t="e">
        <f>#REF!</f>
        <v>#REF!</v>
      </c>
      <c r="D188" s="14" t="e">
        <f>#REF!+1.5</f>
        <v>#REF!</v>
      </c>
      <c r="E188" s="14" t="e">
        <f>#REF!+1.5</f>
        <v>#REF!</v>
      </c>
      <c r="F188" s="14" t="e">
        <f>#REF!+1.5</f>
        <v>#REF!</v>
      </c>
      <c r="G188" s="14" t="e">
        <f>#REF!</f>
        <v>#REF!</v>
      </c>
    </row>
    <row r="189" spans="1:7" hidden="1" x14ac:dyDescent="0.55000000000000004">
      <c r="A189" s="5">
        <f t="shared" si="6"/>
        <v>45.75</v>
      </c>
      <c r="B189" s="4">
        <f t="shared" si="7"/>
        <v>0</v>
      </c>
      <c r="C189" s="14" t="e">
        <f>#REF!</f>
        <v>#REF!</v>
      </c>
      <c r="D189" s="14" t="e">
        <f>#REF!+1.5</f>
        <v>#REF!</v>
      </c>
      <c r="E189" s="14" t="e">
        <f>#REF!+1.5</f>
        <v>#REF!</v>
      </c>
      <c r="F189" s="14" t="e">
        <f>#REF!+1.5</f>
        <v>#REF!</v>
      </c>
      <c r="G189" s="14" t="e">
        <f>#REF!</f>
        <v>#REF!</v>
      </c>
    </row>
    <row r="190" spans="1:7" hidden="1" x14ac:dyDescent="0.55000000000000004">
      <c r="A190" s="5">
        <f t="shared" si="6"/>
        <v>46</v>
      </c>
      <c r="B190" s="4">
        <f t="shared" si="7"/>
        <v>0</v>
      </c>
      <c r="C190" s="14" t="e">
        <f>#REF!</f>
        <v>#REF!</v>
      </c>
      <c r="D190" s="14" t="e">
        <f>#REF!+1.5</f>
        <v>#REF!</v>
      </c>
      <c r="E190" s="14" t="e">
        <f>#REF!+1.5</f>
        <v>#REF!</v>
      </c>
      <c r="F190" s="14" t="e">
        <f>#REF!+1.5</f>
        <v>#REF!</v>
      </c>
      <c r="G190" s="14" t="e">
        <f>#REF!</f>
        <v>#REF!</v>
      </c>
    </row>
    <row r="191" spans="1:7" hidden="1" x14ac:dyDescent="0.55000000000000004">
      <c r="A191" s="5">
        <f t="shared" si="6"/>
        <v>46.25</v>
      </c>
      <c r="B191" s="4">
        <f t="shared" si="7"/>
        <v>0</v>
      </c>
      <c r="C191" s="14" t="e">
        <f>#REF!</f>
        <v>#REF!</v>
      </c>
      <c r="D191" s="14" t="e">
        <f>#REF!+1.5</f>
        <v>#REF!</v>
      </c>
      <c r="E191" s="14" t="e">
        <f>#REF!+1.5</f>
        <v>#REF!</v>
      </c>
      <c r="F191" s="14" t="e">
        <f>#REF!+1.5</f>
        <v>#REF!</v>
      </c>
      <c r="G191" s="14" t="e">
        <f>#REF!</f>
        <v>#REF!</v>
      </c>
    </row>
    <row r="192" spans="1:7" hidden="1" x14ac:dyDescent="0.55000000000000004">
      <c r="A192" s="5">
        <f t="shared" si="6"/>
        <v>46.5</v>
      </c>
      <c r="B192" s="4">
        <f t="shared" si="7"/>
        <v>0</v>
      </c>
      <c r="C192" s="14" t="e">
        <f>#REF!</f>
        <v>#REF!</v>
      </c>
      <c r="D192" s="14" t="e">
        <f>#REF!+1.5</f>
        <v>#REF!</v>
      </c>
      <c r="E192" s="14" t="e">
        <f>#REF!+1.5</f>
        <v>#REF!</v>
      </c>
      <c r="F192" s="14" t="e">
        <f>#REF!+1.5</f>
        <v>#REF!</v>
      </c>
      <c r="G192" s="14" t="e">
        <f>#REF!</f>
        <v>#REF!</v>
      </c>
    </row>
    <row r="193" spans="1:7" hidden="1" x14ac:dyDescent="0.55000000000000004">
      <c r="A193" s="5">
        <f t="shared" si="6"/>
        <v>46.75</v>
      </c>
      <c r="B193" s="4">
        <f t="shared" si="7"/>
        <v>0</v>
      </c>
      <c r="C193" s="14" t="e">
        <f>#REF!</f>
        <v>#REF!</v>
      </c>
      <c r="D193" s="14" t="e">
        <f>#REF!+1.5</f>
        <v>#REF!</v>
      </c>
      <c r="E193" s="14" t="e">
        <f>#REF!+1.5</f>
        <v>#REF!</v>
      </c>
      <c r="F193" s="14" t="e">
        <f>#REF!+1.5</f>
        <v>#REF!</v>
      </c>
      <c r="G193" s="14" t="e">
        <f>#REF!</f>
        <v>#REF!</v>
      </c>
    </row>
    <row r="194" spans="1:7" hidden="1" x14ac:dyDescent="0.55000000000000004">
      <c r="A194" s="5">
        <f t="shared" si="6"/>
        <v>47</v>
      </c>
      <c r="B194" s="4">
        <f t="shared" si="7"/>
        <v>0</v>
      </c>
      <c r="C194" s="14" t="e">
        <f>#REF!</f>
        <v>#REF!</v>
      </c>
      <c r="D194" s="14" t="e">
        <f>#REF!+1.5</f>
        <v>#REF!</v>
      </c>
      <c r="E194" s="14" t="e">
        <f>#REF!+1.5</f>
        <v>#REF!</v>
      </c>
      <c r="F194" s="14" t="e">
        <f>#REF!+1.5</f>
        <v>#REF!</v>
      </c>
      <c r="G194" s="14" t="e">
        <f>#REF!</f>
        <v>#REF!</v>
      </c>
    </row>
    <row r="195" spans="1:7" hidden="1" x14ac:dyDescent="0.55000000000000004">
      <c r="A195" s="5">
        <f t="shared" si="6"/>
        <v>47.25</v>
      </c>
      <c r="B195" s="4">
        <f t="shared" si="7"/>
        <v>0</v>
      </c>
      <c r="C195" s="14" t="e">
        <f>#REF!</f>
        <v>#REF!</v>
      </c>
      <c r="D195" s="14" t="e">
        <f>#REF!+1.5</f>
        <v>#REF!</v>
      </c>
      <c r="E195" s="14" t="e">
        <f>#REF!+1.5</f>
        <v>#REF!</v>
      </c>
      <c r="F195" s="14" t="e">
        <f>#REF!+1.5</f>
        <v>#REF!</v>
      </c>
      <c r="G195" s="14" t="e">
        <f>#REF!</f>
        <v>#REF!</v>
      </c>
    </row>
    <row r="196" spans="1:7" hidden="1" x14ac:dyDescent="0.55000000000000004">
      <c r="A196" s="5">
        <f t="shared" ref="A196:A200" si="8">A195+0.25</f>
        <v>47.5</v>
      </c>
      <c r="B196" s="4">
        <f t="shared" ref="B196:B200" si="9">B195</f>
        <v>0</v>
      </c>
      <c r="C196" s="14" t="e">
        <f>#REF!</f>
        <v>#REF!</v>
      </c>
      <c r="D196" s="14" t="e">
        <f>#REF!+1.5</f>
        <v>#REF!</v>
      </c>
      <c r="E196" s="14" t="e">
        <f>#REF!+1.5</f>
        <v>#REF!</v>
      </c>
      <c r="F196" s="14" t="e">
        <f>#REF!+1.5</f>
        <v>#REF!</v>
      </c>
      <c r="G196" s="14" t="e">
        <f>#REF!</f>
        <v>#REF!</v>
      </c>
    </row>
    <row r="197" spans="1:7" hidden="1" x14ac:dyDescent="0.55000000000000004">
      <c r="A197" s="5">
        <f t="shared" si="8"/>
        <v>47.75</v>
      </c>
      <c r="B197" s="4">
        <f t="shared" si="9"/>
        <v>0</v>
      </c>
      <c r="C197" s="14" t="e">
        <f>#REF!</f>
        <v>#REF!</v>
      </c>
      <c r="D197" s="14" t="e">
        <f>#REF!+1.5</f>
        <v>#REF!</v>
      </c>
      <c r="E197" s="14" t="e">
        <f>#REF!+1.5</f>
        <v>#REF!</v>
      </c>
      <c r="F197" s="14" t="e">
        <f>#REF!+1.5</f>
        <v>#REF!</v>
      </c>
      <c r="G197" s="14" t="e">
        <f>#REF!</f>
        <v>#REF!</v>
      </c>
    </row>
    <row r="198" spans="1:7" hidden="1" x14ac:dyDescent="0.55000000000000004">
      <c r="A198" s="5">
        <f t="shared" si="8"/>
        <v>48</v>
      </c>
      <c r="B198" s="4">
        <f t="shared" si="9"/>
        <v>0</v>
      </c>
      <c r="C198" s="14" t="e">
        <f>#REF!</f>
        <v>#REF!</v>
      </c>
      <c r="D198" s="14" t="e">
        <f>#REF!+1.5</f>
        <v>#REF!</v>
      </c>
      <c r="E198" s="14" t="e">
        <f>#REF!+1.5</f>
        <v>#REF!</v>
      </c>
      <c r="F198" s="14" t="e">
        <f>#REF!+1.5</f>
        <v>#REF!</v>
      </c>
      <c r="G198" s="14" t="e">
        <f>#REF!</f>
        <v>#REF!</v>
      </c>
    </row>
    <row r="199" spans="1:7" hidden="1" x14ac:dyDescent="0.55000000000000004">
      <c r="A199" s="5">
        <f t="shared" si="8"/>
        <v>48.25</v>
      </c>
      <c r="B199" s="4">
        <f t="shared" si="9"/>
        <v>0</v>
      </c>
      <c r="C199" s="14" t="e">
        <f>#REF!</f>
        <v>#REF!</v>
      </c>
      <c r="D199" s="14" t="e">
        <f>#REF!+1.5</f>
        <v>#REF!</v>
      </c>
      <c r="E199" s="14" t="e">
        <f>#REF!+1.5</f>
        <v>#REF!</v>
      </c>
      <c r="F199" s="14" t="e">
        <f>#REF!+1.5</f>
        <v>#REF!</v>
      </c>
      <c r="G199" s="14" t="e">
        <f>#REF!</f>
        <v>#REF!</v>
      </c>
    </row>
    <row r="200" spans="1:7" hidden="1" x14ac:dyDescent="0.55000000000000004">
      <c r="A200" s="5">
        <f t="shared" si="8"/>
        <v>48.5</v>
      </c>
      <c r="B200" s="4">
        <f t="shared" si="9"/>
        <v>0</v>
      </c>
      <c r="C200" s="14" t="e">
        <f>#REF!</f>
        <v>#REF!</v>
      </c>
      <c r="D200" s="14" t="e">
        <f>#REF!+1.5</f>
        <v>#REF!</v>
      </c>
      <c r="E200" s="14" t="e">
        <f>#REF!+1.5</f>
        <v>#REF!</v>
      </c>
      <c r="F200" s="14" t="e">
        <f>#REF!+1.5</f>
        <v>#REF!</v>
      </c>
      <c r="G200" s="14" t="e">
        <f>#REF!</f>
        <v>#REF!</v>
      </c>
    </row>
  </sheetData>
  <phoneticPr fontId="1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90AD5A-C5CA-4294-8E64-86A2E84ADD60}">
  <sheetPr codeName="Sheet3">
    <tabColor theme="8" tint="0.79998168889431442"/>
  </sheetPr>
  <dimension ref="A1:J200"/>
  <sheetViews>
    <sheetView zoomScaleNormal="100"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G1" sqref="G1"/>
    </sheetView>
  </sheetViews>
  <sheetFormatPr defaultRowHeight="18" x14ac:dyDescent="0.55000000000000004"/>
  <cols>
    <col min="1" max="1" width="8.6640625" style="5"/>
    <col min="2" max="2" width="4.75" style="4" bestFit="1" customWidth="1"/>
    <col min="3" max="7" width="8.6640625" style="14"/>
    <col min="8" max="10" width="8.6640625" style="17"/>
  </cols>
  <sheetData>
    <row r="1" spans="1:10" s="1" customFormat="1" ht="33" x14ac:dyDescent="0.55000000000000004">
      <c r="A1" s="3" t="s">
        <v>15</v>
      </c>
      <c r="B1" s="3" t="s">
        <v>0</v>
      </c>
      <c r="C1" s="13" t="s">
        <v>10</v>
      </c>
      <c r="D1" s="13" t="s">
        <v>11</v>
      </c>
      <c r="E1" s="13" t="s">
        <v>12</v>
      </c>
      <c r="F1" s="13" t="s">
        <v>13</v>
      </c>
      <c r="G1" s="13" t="s">
        <v>14</v>
      </c>
      <c r="H1" s="15" t="s">
        <v>16</v>
      </c>
      <c r="I1" s="15" t="s">
        <v>17</v>
      </c>
      <c r="J1" s="15" t="s">
        <v>18</v>
      </c>
    </row>
    <row r="2" spans="1:10" x14ac:dyDescent="0.55000000000000004">
      <c r="A2" s="5">
        <v>-1</v>
      </c>
      <c r="B2" s="4">
        <v>0</v>
      </c>
      <c r="C2" s="14">
        <v>0</v>
      </c>
      <c r="D2" s="14">
        <v>1.5</v>
      </c>
      <c r="E2" s="14">
        <v>1.5</v>
      </c>
      <c r="F2" s="14">
        <v>1.5</v>
      </c>
      <c r="G2" s="14">
        <v>0</v>
      </c>
      <c r="H2" s="16">
        <v>2</v>
      </c>
      <c r="I2" s="16">
        <v>0.5</v>
      </c>
      <c r="J2" s="16">
        <v>-200</v>
      </c>
    </row>
    <row r="3" spans="1:10" ht="18" customHeight="1" x14ac:dyDescent="0.55000000000000004">
      <c r="A3" s="5">
        <f>A2+0.25</f>
        <v>-0.75</v>
      </c>
      <c r="B3" s="4">
        <f>B2</f>
        <v>0</v>
      </c>
      <c r="C3" s="14">
        <v>3.1117072709414391E-2</v>
      </c>
      <c r="D3" s="14">
        <v>1.6462433417342477</v>
      </c>
      <c r="E3" s="14">
        <v>1.610677470400173</v>
      </c>
      <c r="F3" s="14">
        <v>1.5131619007560824</v>
      </c>
      <c r="G3" s="14">
        <v>-9.9999999999997789E-6</v>
      </c>
      <c r="H3" s="16">
        <f>H2</f>
        <v>2</v>
      </c>
      <c r="I3" s="16">
        <f>I2</f>
        <v>0.5</v>
      </c>
      <c r="J3" s="16">
        <v>-200</v>
      </c>
    </row>
    <row r="4" spans="1:10" x14ac:dyDescent="0.55000000000000004">
      <c r="A4" s="5">
        <f t="shared" ref="A4:A67" si="0">A3+0.25</f>
        <v>-0.5</v>
      </c>
      <c r="B4" s="4">
        <f t="shared" ref="B4:B67" si="1">B3</f>
        <v>0</v>
      </c>
      <c r="C4" s="14">
        <v>8.3897235166905282E-2</v>
      </c>
      <c r="D4" s="14">
        <v>1.7657322218491545</v>
      </c>
      <c r="E4" s="14">
        <v>1.6866924362564863</v>
      </c>
      <c r="F4" s="14">
        <v>1.5358932296544587</v>
      </c>
      <c r="G4" s="14">
        <v>-9.9999999999977494E-6</v>
      </c>
      <c r="H4" s="16">
        <f t="shared" ref="H4:I19" si="2">H3</f>
        <v>2</v>
      </c>
      <c r="I4" s="16">
        <f t="shared" si="2"/>
        <v>0.5</v>
      </c>
      <c r="J4" s="16">
        <v>-200</v>
      </c>
    </row>
    <row r="5" spans="1:10" x14ac:dyDescent="0.55000000000000004">
      <c r="A5" s="5">
        <f t="shared" si="0"/>
        <v>-0.25</v>
      </c>
      <c r="B5" s="4">
        <f t="shared" si="1"/>
        <v>0</v>
      </c>
      <c r="C5" s="14">
        <v>0.15307479395180196</v>
      </c>
      <c r="D5" s="14">
        <v>1.8818733517853243</v>
      </c>
      <c r="E5" s="14">
        <v>1.7513251220551751</v>
      </c>
      <c r="F5" s="14">
        <v>1.5670314406462367</v>
      </c>
      <c r="G5" s="14">
        <v>-9.9999999999683675E-6</v>
      </c>
      <c r="H5" s="16">
        <f t="shared" si="2"/>
        <v>2</v>
      </c>
      <c r="I5" s="16">
        <f t="shared" si="2"/>
        <v>0.5</v>
      </c>
      <c r="J5" s="16">
        <v>-200</v>
      </c>
    </row>
    <row r="6" spans="1:10" x14ac:dyDescent="0.55000000000000004">
      <c r="A6" s="5">
        <f t="shared" si="0"/>
        <v>0</v>
      </c>
      <c r="B6" s="4">
        <f t="shared" si="1"/>
        <v>0</v>
      </c>
      <c r="C6" s="14">
        <v>0.19213376074924216</v>
      </c>
      <c r="D6" s="14">
        <v>1.9703615215428429</v>
      </c>
      <c r="E6" s="14">
        <v>1.8098180846363439</v>
      </c>
      <c r="F6" s="14">
        <v>1.6033311479269312</v>
      </c>
      <c r="G6" s="14">
        <v>0.24999999999999997</v>
      </c>
      <c r="H6" s="16">
        <f t="shared" si="2"/>
        <v>2</v>
      </c>
      <c r="I6" s="16">
        <f t="shared" si="2"/>
        <v>0.5</v>
      </c>
      <c r="J6" s="16">
        <v>100</v>
      </c>
    </row>
    <row r="7" spans="1:10" x14ac:dyDescent="0.55000000000000004">
      <c r="A7" s="5">
        <f t="shared" si="0"/>
        <v>0.25</v>
      </c>
      <c r="B7" s="4">
        <f t="shared" si="1"/>
        <v>0</v>
      </c>
      <c r="C7" s="14">
        <v>0.22322451739157906</v>
      </c>
      <c r="D7" s="14">
        <v>2.036564111280676</v>
      </c>
      <c r="E7" s="14">
        <v>1.8541824296664009</v>
      </c>
      <c r="F7" s="14">
        <v>1.6423221146287683</v>
      </c>
      <c r="G7" s="14">
        <v>0.25306540702103297</v>
      </c>
      <c r="H7" s="16">
        <f t="shared" si="2"/>
        <v>2</v>
      </c>
      <c r="I7" s="16">
        <f t="shared" si="2"/>
        <v>0.5</v>
      </c>
      <c r="J7" s="16">
        <v>-200</v>
      </c>
    </row>
    <row r="8" spans="1:10" x14ac:dyDescent="0.55000000000000004">
      <c r="A8" s="5">
        <f t="shared" si="0"/>
        <v>0.5</v>
      </c>
      <c r="B8" s="4">
        <f t="shared" si="1"/>
        <v>0</v>
      </c>
      <c r="C8" s="14">
        <v>0.22887099969176919</v>
      </c>
      <c r="D8" s="14">
        <v>2.073431329672629</v>
      </c>
      <c r="E8" s="14">
        <v>1.8851395795117543</v>
      </c>
      <c r="F8" s="14">
        <v>1.6811219439827156</v>
      </c>
      <c r="G8" s="14">
        <v>0.40107210422482914</v>
      </c>
      <c r="H8" s="16">
        <f t="shared" si="2"/>
        <v>2</v>
      </c>
      <c r="I8" s="16">
        <f t="shared" si="2"/>
        <v>0.5</v>
      </c>
      <c r="J8" s="16">
        <v>-200</v>
      </c>
    </row>
    <row r="9" spans="1:10" x14ac:dyDescent="0.55000000000000004">
      <c r="A9" s="5">
        <f t="shared" si="0"/>
        <v>0.75</v>
      </c>
      <c r="B9" s="4">
        <f t="shared" si="1"/>
        <v>0</v>
      </c>
      <c r="C9" s="14">
        <v>0.21280601468807236</v>
      </c>
      <c r="D9" s="14">
        <v>2.0833333160338103</v>
      </c>
      <c r="E9" s="14">
        <v>1.9042444860119256</v>
      </c>
      <c r="F9" s="14">
        <v>1.7173209674673142</v>
      </c>
      <c r="G9" s="14">
        <v>0.48313701640321871</v>
      </c>
      <c r="H9" s="16">
        <f t="shared" si="2"/>
        <v>2</v>
      </c>
      <c r="I9" s="16">
        <f t="shared" si="2"/>
        <v>0.5</v>
      </c>
      <c r="J9" s="16">
        <v>-200</v>
      </c>
    </row>
    <row r="10" spans="1:10" x14ac:dyDescent="0.55000000000000004">
      <c r="A10" s="5">
        <f t="shared" si="0"/>
        <v>1</v>
      </c>
      <c r="B10" s="4">
        <f t="shared" si="1"/>
        <v>0</v>
      </c>
      <c r="C10" s="14">
        <v>0.18545420779372485</v>
      </c>
      <c r="D10" s="14">
        <v>2.0755424342005377</v>
      </c>
      <c r="E10" s="14">
        <v>1.9150699066811228</v>
      </c>
      <c r="F10" s="14">
        <v>1.7495608994733043</v>
      </c>
      <c r="G10" s="14">
        <v>0.5107062159073843</v>
      </c>
      <c r="H10" s="16">
        <f t="shared" si="2"/>
        <v>2</v>
      </c>
      <c r="I10" s="16">
        <f t="shared" si="2"/>
        <v>0.5</v>
      </c>
      <c r="J10" s="16">
        <v>-200</v>
      </c>
    </row>
    <row r="11" spans="1:10" x14ac:dyDescent="0.55000000000000004">
      <c r="A11" s="5">
        <f t="shared" si="0"/>
        <v>1.25</v>
      </c>
      <c r="B11" s="4">
        <f t="shared" si="1"/>
        <v>0</v>
      </c>
      <c r="C11" s="14">
        <v>0.15632552948468659</v>
      </c>
      <c r="D11" s="14">
        <v>2.0602911641751995</v>
      </c>
      <c r="E11" s="14">
        <v>1.9215286229935808</v>
      </c>
      <c r="F11" s="14">
        <v>1.7775266232964748</v>
      </c>
      <c r="G11" s="14">
        <v>0.50559444354617222</v>
      </c>
      <c r="H11" s="16">
        <f t="shared" si="2"/>
        <v>2</v>
      </c>
      <c r="I11" s="16">
        <f t="shared" si="2"/>
        <v>0.5</v>
      </c>
      <c r="J11" s="16">
        <v>-200</v>
      </c>
    </row>
    <row r="12" spans="1:10" x14ac:dyDescent="0.55000000000000004">
      <c r="A12" s="5">
        <f t="shared" si="0"/>
        <v>1.5</v>
      </c>
      <c r="B12" s="4">
        <f t="shared" si="1"/>
        <v>0</v>
      </c>
      <c r="C12" s="14">
        <v>0.13114879224798467</v>
      </c>
      <c r="D12" s="14">
        <v>2.0450482783717234</v>
      </c>
      <c r="E12" s="14">
        <v>1.9265662508139252</v>
      </c>
      <c r="F12" s="14">
        <v>1.8016035722532471</v>
      </c>
      <c r="G12" s="14">
        <v>0.48826886739233172</v>
      </c>
      <c r="H12" s="16">
        <f t="shared" si="2"/>
        <v>2</v>
      </c>
      <c r="I12" s="16">
        <f t="shared" si="2"/>
        <v>0.5</v>
      </c>
      <c r="J12" s="16">
        <v>-200</v>
      </c>
    </row>
    <row r="13" spans="1:10" x14ac:dyDescent="0.55000000000000004">
      <c r="A13" s="5">
        <f t="shared" si="0"/>
        <v>1.75</v>
      </c>
      <c r="B13" s="4">
        <f t="shared" si="1"/>
        <v>0</v>
      </c>
      <c r="C13" s="14">
        <v>0.1118772084920385</v>
      </c>
      <c r="D13" s="14">
        <v>2.0335288955309085</v>
      </c>
      <c r="E13" s="14">
        <v>1.9317604258239711</v>
      </c>
      <c r="F13" s="14">
        <v>1.8224768513482368</v>
      </c>
      <c r="G13" s="14">
        <v>0.47217438581416071</v>
      </c>
      <c r="H13" s="16">
        <f t="shared" si="2"/>
        <v>2</v>
      </c>
      <c r="I13" s="16">
        <f t="shared" si="2"/>
        <v>0.5</v>
      </c>
      <c r="J13" s="16">
        <v>-200</v>
      </c>
    </row>
    <row r="14" spans="1:10" x14ac:dyDescent="0.55000000000000004">
      <c r="A14" s="5">
        <f t="shared" si="0"/>
        <v>2</v>
      </c>
      <c r="B14" s="4">
        <f t="shared" si="1"/>
        <v>0</v>
      </c>
      <c r="C14" s="14">
        <v>9.7963809223820197E-2</v>
      </c>
      <c r="D14" s="14">
        <v>2.0264298571342856</v>
      </c>
      <c r="E14" s="14">
        <v>1.9375546267828012</v>
      </c>
      <c r="F14" s="14">
        <v>1.840832621868981</v>
      </c>
      <c r="G14" s="14">
        <v>0.4631368615438009</v>
      </c>
      <c r="H14" s="16">
        <f t="shared" si="2"/>
        <v>2</v>
      </c>
      <c r="I14" s="16">
        <f t="shared" si="2"/>
        <v>0.5</v>
      </c>
      <c r="J14" s="16">
        <v>-200</v>
      </c>
    </row>
    <row r="15" spans="1:10" x14ac:dyDescent="0.55000000000000004">
      <c r="A15" s="5">
        <f t="shared" si="0"/>
        <v>2.25</v>
      </c>
      <c r="B15" s="4">
        <f t="shared" si="1"/>
        <v>0</v>
      </c>
      <c r="C15" s="14">
        <v>8.7798371806341979E-2</v>
      </c>
      <c r="D15" s="14">
        <v>2.0227648917015708</v>
      </c>
      <c r="E15" s="14">
        <v>1.9437335744266151</v>
      </c>
      <c r="F15" s="14">
        <v>1.8572065261539141</v>
      </c>
      <c r="G15" s="14">
        <v>0.46149825195998745</v>
      </c>
      <c r="H15" s="16">
        <f t="shared" si="2"/>
        <v>2</v>
      </c>
      <c r="I15" s="16">
        <f t="shared" si="2"/>
        <v>0.5</v>
      </c>
      <c r="J15" s="16">
        <v>-200</v>
      </c>
    </row>
    <row r="16" spans="1:10" x14ac:dyDescent="0.55000000000000004">
      <c r="A16" s="5">
        <f t="shared" si="0"/>
        <v>2.5</v>
      </c>
      <c r="B16" s="4">
        <f t="shared" si="1"/>
        <v>0</v>
      </c>
      <c r="C16" s="14">
        <v>7.9745506825307746E-2</v>
      </c>
      <c r="D16" s="14">
        <v>2.0210519910594695</v>
      </c>
      <c r="E16" s="14">
        <v>1.9498616634469434</v>
      </c>
      <c r="F16" s="14">
        <v>1.8719526179954142</v>
      </c>
      <c r="G16" s="14">
        <v>0.46489772160546011</v>
      </c>
      <c r="H16" s="16">
        <f t="shared" si="2"/>
        <v>2</v>
      </c>
      <c r="I16" s="16">
        <f t="shared" si="2"/>
        <v>0.5</v>
      </c>
      <c r="J16" s="16">
        <v>-200</v>
      </c>
    </row>
    <row r="17" spans="1:10" x14ac:dyDescent="0.55000000000000004">
      <c r="A17" s="5">
        <f t="shared" si="0"/>
        <v>2.75</v>
      </c>
      <c r="B17" s="4">
        <f t="shared" si="1"/>
        <v>0</v>
      </c>
      <c r="C17" s="14">
        <v>7.2652499710578272E-2</v>
      </c>
      <c r="D17" s="14">
        <v>2.020042978641023</v>
      </c>
      <c r="E17" s="14">
        <v>1.9555614359562465</v>
      </c>
      <c r="F17" s="14">
        <v>1.8852807504535189</v>
      </c>
      <c r="G17" s="14">
        <v>0.47046862593301064</v>
      </c>
      <c r="H17" s="16">
        <f t="shared" si="2"/>
        <v>2</v>
      </c>
      <c r="I17" s="16">
        <f t="shared" si="2"/>
        <v>0.5</v>
      </c>
      <c r="J17" s="16">
        <v>-200</v>
      </c>
    </row>
    <row r="18" spans="1:10" x14ac:dyDescent="0.55000000000000004">
      <c r="A18" s="5">
        <f t="shared" si="0"/>
        <v>3</v>
      </c>
      <c r="B18" s="4">
        <f t="shared" si="1"/>
        <v>0</v>
      </c>
      <c r="C18" s="14">
        <v>6.5938382515271912E-2</v>
      </c>
      <c r="D18" s="14">
        <v>2.0189968244809462</v>
      </c>
      <c r="E18" s="14">
        <v>1.9606253066299471</v>
      </c>
      <c r="F18" s="14">
        <v>1.8973151971159874</v>
      </c>
      <c r="G18" s="14">
        <v>0.47604680119608583</v>
      </c>
      <c r="H18" s="16">
        <f t="shared" si="2"/>
        <v>2</v>
      </c>
      <c r="I18" s="16">
        <f t="shared" si="2"/>
        <v>0.5</v>
      </c>
      <c r="J18" s="16">
        <v>-200</v>
      </c>
    </row>
    <row r="19" spans="1:10" x14ac:dyDescent="0.55000000000000004">
      <c r="A19" s="5">
        <f t="shared" si="0"/>
        <v>3.25</v>
      </c>
      <c r="B19" s="4">
        <f t="shared" si="1"/>
        <v>0</v>
      </c>
      <c r="C19" s="14">
        <v>5.9453983698643111E-2</v>
      </c>
      <c r="D19" s="14">
        <v>2.017646229320992</v>
      </c>
      <c r="E19" s="14">
        <v>1.9650116041937349</v>
      </c>
      <c r="F19" s="14">
        <v>1.908144990014438</v>
      </c>
      <c r="G19" s="14">
        <v>0.48051622852383929</v>
      </c>
      <c r="H19" s="16">
        <f t="shared" si="2"/>
        <v>2</v>
      </c>
      <c r="I19" s="16">
        <f t="shared" si="2"/>
        <v>0.5</v>
      </c>
      <c r="J19" s="16">
        <v>-200</v>
      </c>
    </row>
    <row r="20" spans="1:10" x14ac:dyDescent="0.55000000000000004">
      <c r="A20" s="5">
        <f t="shared" si="0"/>
        <v>3.5</v>
      </c>
      <c r="B20" s="4">
        <f t="shared" si="1"/>
        <v>0</v>
      </c>
      <c r="C20" s="14">
        <v>5.3277971101208479E-2</v>
      </c>
      <c r="D20" s="14">
        <v>2.0160286736418067</v>
      </c>
      <c r="E20" s="14">
        <v>1.9687869316821138</v>
      </c>
      <c r="F20" s="14">
        <v>1.9178545215409011</v>
      </c>
      <c r="G20" s="14">
        <v>0.48363178245697092</v>
      </c>
      <c r="H20" s="16">
        <f t="shared" ref="H20:I35" si="3">H19</f>
        <v>2</v>
      </c>
      <c r="I20" s="16">
        <f t="shared" si="3"/>
        <v>0.5</v>
      </c>
      <c r="J20" s="16">
        <v>-200</v>
      </c>
    </row>
    <row r="21" spans="1:10" x14ac:dyDescent="0.55000000000000004">
      <c r="A21" s="5">
        <f t="shared" si="0"/>
        <v>3.75</v>
      </c>
      <c r="B21" s="4">
        <f t="shared" si="1"/>
        <v>0</v>
      </c>
      <c r="C21" s="14">
        <v>4.7548380286539099E-2</v>
      </c>
      <c r="D21" s="14">
        <v>2.0143076689380703</v>
      </c>
      <c r="E21" s="14">
        <v>1.9720618532400325</v>
      </c>
      <c r="F21" s="14">
        <v>1.9265353048066463</v>
      </c>
      <c r="G21" s="14">
        <v>0.48565067549612367</v>
      </c>
      <c r="H21" s="16">
        <f t="shared" si="3"/>
        <v>2</v>
      </c>
      <c r="I21" s="16">
        <f t="shared" si="3"/>
        <v>0.5</v>
      </c>
      <c r="J21" s="16">
        <v>-200</v>
      </c>
    </row>
    <row r="22" spans="1:10" x14ac:dyDescent="0.55000000000000004">
      <c r="A22" s="5">
        <f t="shared" si="0"/>
        <v>4</v>
      </c>
      <c r="B22" s="4">
        <f t="shared" si="1"/>
        <v>0</v>
      </c>
      <c r="C22" s="14">
        <v>4.2365530573428643E-2</v>
      </c>
      <c r="D22" s="14">
        <v>2.0126473399898699</v>
      </c>
      <c r="E22" s="14">
        <v>1.9749444741284758</v>
      </c>
      <c r="F22" s="14">
        <v>1.9342853879731363</v>
      </c>
      <c r="G22" s="14">
        <v>0.48699269885362229</v>
      </c>
      <c r="H22" s="16">
        <f t="shared" si="3"/>
        <v>2</v>
      </c>
      <c r="I22" s="16">
        <f t="shared" si="3"/>
        <v>0.5</v>
      </c>
      <c r="J22" s="16">
        <v>-200</v>
      </c>
    </row>
    <row r="23" spans="1:10" x14ac:dyDescent="0.55000000000000004">
      <c r="A23" s="5">
        <f t="shared" si="0"/>
        <v>4.25</v>
      </c>
      <c r="B23" s="4">
        <f t="shared" si="1"/>
        <v>0</v>
      </c>
      <c r="C23" s="14">
        <v>3.7760256148343767E-2</v>
      </c>
      <c r="D23" s="14">
        <v>2.0111531072126869</v>
      </c>
      <c r="E23" s="14">
        <v>1.9775177760839828</v>
      </c>
      <c r="F23" s="14">
        <v>1.941203482704696</v>
      </c>
      <c r="G23" s="14">
        <v>0.48802473395176971</v>
      </c>
      <c r="H23" s="16">
        <f t="shared" si="3"/>
        <v>2</v>
      </c>
      <c r="I23" s="16">
        <f t="shared" si="3"/>
        <v>0.5</v>
      </c>
      <c r="J23" s="16">
        <v>-200</v>
      </c>
    </row>
    <row r="24" spans="1:10" x14ac:dyDescent="0.55000000000000004">
      <c r="A24" s="5">
        <f t="shared" si="0"/>
        <v>4.5</v>
      </c>
      <c r="B24" s="4">
        <f t="shared" si="1"/>
        <v>0</v>
      </c>
      <c r="C24" s="14">
        <v>3.3703348959565817E-2</v>
      </c>
      <c r="D24" s="14">
        <v>2.0098630477770651</v>
      </c>
      <c r="E24" s="14">
        <v>1.9798357802503694</v>
      </c>
      <c r="F24" s="14">
        <v>1.9473828435612093</v>
      </c>
      <c r="G24" s="14">
        <v>0.48897458455963527</v>
      </c>
      <c r="H24" s="16">
        <f t="shared" si="3"/>
        <v>2</v>
      </c>
      <c r="I24" s="16">
        <f t="shared" si="3"/>
        <v>0.5</v>
      </c>
      <c r="J24" s="16">
        <v>-200</v>
      </c>
    </row>
    <row r="25" spans="1:10" x14ac:dyDescent="0.55000000000000004">
      <c r="A25" s="5">
        <f t="shared" si="0"/>
        <v>4.75</v>
      </c>
      <c r="B25" s="4">
        <f t="shared" si="1"/>
        <v>0</v>
      </c>
      <c r="C25" s="14">
        <v>3.0131359338885191E-2</v>
      </c>
      <c r="D25" s="14">
        <v>2.0087661570611779</v>
      </c>
      <c r="E25" s="14">
        <v>1.981930013222863</v>
      </c>
      <c r="F25" s="14">
        <v>1.9529073417762064</v>
      </c>
      <c r="G25" s="14">
        <v>0.48993450104342967</v>
      </c>
      <c r="H25" s="16">
        <f t="shared" si="3"/>
        <v>2</v>
      </c>
      <c r="I25" s="16">
        <f t="shared" si="3"/>
        <v>0.5</v>
      </c>
      <c r="J25" s="16">
        <v>-200</v>
      </c>
    </row>
    <row r="26" spans="1:10" x14ac:dyDescent="0.55000000000000004">
      <c r="A26" s="5">
        <f t="shared" si="0"/>
        <v>5</v>
      </c>
      <c r="B26" s="4">
        <f t="shared" si="1"/>
        <v>0</v>
      </c>
      <c r="C26" s="14">
        <v>2.6971609838458813E-2</v>
      </c>
      <c r="D26" s="14">
        <v>2.0078273550360599</v>
      </c>
      <c r="E26" s="14">
        <v>1.9838189145224814</v>
      </c>
      <c r="F26" s="14">
        <v>1.9578501429695931</v>
      </c>
      <c r="G26" s="14">
        <v>0.49090628821475152</v>
      </c>
      <c r="H26" s="16">
        <f t="shared" si="3"/>
        <v>2</v>
      </c>
      <c r="I26" s="16">
        <f t="shared" si="3"/>
        <v>0.5</v>
      </c>
      <c r="J26" s="16">
        <v>-200</v>
      </c>
    </row>
    <row r="27" spans="1:10" x14ac:dyDescent="0.55000000000000004">
      <c r="A27" s="5">
        <f t="shared" si="0"/>
        <v>5.25</v>
      </c>
      <c r="B27" s="4">
        <f t="shared" si="1"/>
        <v>0</v>
      </c>
      <c r="C27" s="14">
        <v>2.4158542910546567E-2</v>
      </c>
      <c r="D27" s="14">
        <v>2.0070075829611507</v>
      </c>
      <c r="E27" s="14">
        <v>1.9855155722283444</v>
      </c>
      <c r="F27" s="14">
        <v>1.9622743125688333</v>
      </c>
      <c r="G27" s="14">
        <v>0.49185162912408031</v>
      </c>
      <c r="H27" s="16">
        <f t="shared" si="3"/>
        <v>2</v>
      </c>
      <c r="I27" s="16">
        <f t="shared" si="3"/>
        <v>0.5</v>
      </c>
      <c r="J27" s="16">
        <v>-200</v>
      </c>
    </row>
    <row r="28" spans="1:10" x14ac:dyDescent="0.55000000000000004">
      <c r="A28" s="5">
        <f t="shared" si="0"/>
        <v>5.5</v>
      </c>
      <c r="B28" s="4">
        <f t="shared" si="1"/>
        <v>0</v>
      </c>
      <c r="C28" s="14">
        <v>2.1640459171659319E-2</v>
      </c>
      <c r="D28" s="14">
        <v>2.0062747466881556</v>
      </c>
      <c r="E28" s="14">
        <v>1.9870323461885016</v>
      </c>
      <c r="F28" s="14">
        <v>1.9662343516395724</v>
      </c>
      <c r="G28" s="14">
        <v>0.49272840230808912</v>
      </c>
      <c r="H28" s="16">
        <f t="shared" si="3"/>
        <v>2</v>
      </c>
      <c r="I28" s="16">
        <f t="shared" si="3"/>
        <v>0.5</v>
      </c>
      <c r="J28" s="16">
        <v>-200</v>
      </c>
    </row>
    <row r="29" spans="1:10" x14ac:dyDescent="0.55000000000000004">
      <c r="A29" s="5">
        <f t="shared" si="0"/>
        <v>5.75</v>
      </c>
      <c r="B29" s="4">
        <f t="shared" si="1"/>
        <v>0</v>
      </c>
      <c r="C29" s="14">
        <v>1.9379382645393111E-2</v>
      </c>
      <c r="D29" s="14">
        <v>2.0056069489693633</v>
      </c>
      <c r="E29" s="14">
        <v>1.9883822301943039</v>
      </c>
      <c r="F29" s="14">
        <v>1.9697778853992536</v>
      </c>
      <c r="G29" s="14">
        <v>0.49350867487857897</v>
      </c>
      <c r="H29" s="16">
        <f t="shared" si="3"/>
        <v>2</v>
      </c>
      <c r="I29" s="16">
        <f t="shared" si="3"/>
        <v>0.5</v>
      </c>
      <c r="J29" s="16">
        <v>-200</v>
      </c>
    </row>
    <row r="30" spans="1:10" x14ac:dyDescent="0.55000000000000004">
      <c r="A30" s="5">
        <f t="shared" si="0"/>
        <v>6</v>
      </c>
      <c r="B30" s="4">
        <f t="shared" si="1"/>
        <v>0</v>
      </c>
      <c r="C30" s="14">
        <v>1.7347520434643396E-2</v>
      </c>
      <c r="D30" s="14">
        <v>2.0049902203009027</v>
      </c>
      <c r="E30" s="14">
        <v>1.9895787292965432</v>
      </c>
      <c r="F30" s="14">
        <v>1.972946995540402</v>
      </c>
      <c r="G30" s="14">
        <v>0.49418162219394729</v>
      </c>
      <c r="H30" s="16">
        <f t="shared" si="3"/>
        <v>2</v>
      </c>
      <c r="I30" s="16">
        <f t="shared" si="3"/>
        <v>0.5</v>
      </c>
      <c r="J30" s="16">
        <v>-200</v>
      </c>
    </row>
    <row r="31" spans="1:10" x14ac:dyDescent="0.55000000000000004">
      <c r="A31" s="5">
        <f t="shared" si="0"/>
        <v>6.25</v>
      </c>
      <c r="B31" s="4">
        <f t="shared" si="1"/>
        <v>0</v>
      </c>
      <c r="C31" s="14">
        <v>1.5523247027468818E-2</v>
      </c>
      <c r="D31" s="14">
        <v>2.0044153028344835</v>
      </c>
      <c r="E31" s="14">
        <v>1.9906339922855067</v>
      </c>
      <c r="F31" s="14">
        <v>1.9757791431968694</v>
      </c>
      <c r="G31" s="14">
        <v>0.49474887020810093</v>
      </c>
      <c r="H31" s="16">
        <f t="shared" si="3"/>
        <v>2</v>
      </c>
      <c r="I31" s="16">
        <f t="shared" si="3"/>
        <v>0.5</v>
      </c>
      <c r="J31" s="16">
        <v>-200</v>
      </c>
    </row>
    <row r="32" spans="1:10" x14ac:dyDescent="0.55000000000000004">
      <c r="A32" s="5">
        <f t="shared" si="0"/>
        <v>6.5</v>
      </c>
      <c r="B32" s="4">
        <f t="shared" si="1"/>
        <v>0</v>
      </c>
      <c r="C32" s="14">
        <v>1.388788097262442E-2</v>
      </c>
      <c r="D32" s="14">
        <v>2.0038725970554792</v>
      </c>
      <c r="E32" s="14">
        <v>1.9915584292837987</v>
      </c>
      <c r="F32" s="14">
        <v>1.9783075540441444</v>
      </c>
      <c r="G32" s="14">
        <v>0.49521611752782146</v>
      </c>
      <c r="H32" s="16">
        <f t="shared" si="3"/>
        <v>2</v>
      </c>
      <c r="I32" s="16">
        <f t="shared" si="3"/>
        <v>0.5</v>
      </c>
      <c r="J32" s="16">
        <v>-200</v>
      </c>
    </row>
    <row r="33" spans="1:10" x14ac:dyDescent="0.55000000000000004">
      <c r="A33" s="5">
        <f t="shared" si="0"/>
        <v>6.75</v>
      </c>
      <c r="B33" s="4">
        <f t="shared" si="1"/>
        <v>0</v>
      </c>
      <c r="C33" s="14">
        <v>1.2424158447318789E-2</v>
      </c>
      <c r="D33" s="14">
        <v>2.0033514412551816</v>
      </c>
      <c r="E33" s="14">
        <v>1.9923574490320575</v>
      </c>
      <c r="F33" s="14">
        <v>1.9805615038931377</v>
      </c>
      <c r="G33" s="14">
        <v>0.49558780579415784</v>
      </c>
      <c r="H33" s="16">
        <f t="shared" si="3"/>
        <v>2</v>
      </c>
      <c r="I33" s="16">
        <f t="shared" si="3"/>
        <v>0.5</v>
      </c>
      <c r="J33" s="16">
        <v>-200</v>
      </c>
    </row>
    <row r="34" spans="1:10" x14ac:dyDescent="0.55000000000000004">
      <c r="A34" s="5">
        <f t="shared" si="0"/>
        <v>7</v>
      </c>
      <c r="B34" s="4">
        <f t="shared" si="1"/>
        <v>0</v>
      </c>
      <c r="C34" s="14">
        <v>1.1115273441619441E-2</v>
      </c>
      <c r="D34" s="14">
        <v>2.0028336969882332</v>
      </c>
      <c r="E34" s="14">
        <v>1.9930339238224417</v>
      </c>
      <c r="F34" s="14">
        <v>1.9825660012716964</v>
      </c>
      <c r="G34" s="14">
        <v>0.49585966991224273</v>
      </c>
      <c r="H34" s="16">
        <f t="shared" si="3"/>
        <v>2</v>
      </c>
      <c r="I34" s="16">
        <f t="shared" si="3"/>
        <v>0.5</v>
      </c>
      <c r="J34" s="16">
        <v>-200</v>
      </c>
    </row>
    <row r="35" spans="1:10" x14ac:dyDescent="0.55000000000000004">
      <c r="A35" s="5">
        <f t="shared" si="0"/>
        <v>7.25</v>
      </c>
      <c r="B35" s="4">
        <f t="shared" si="1"/>
        <v>0</v>
      </c>
      <c r="C35" s="14">
        <v>9.9456667768741541E-3</v>
      </c>
      <c r="D35" s="14">
        <v>2.0022996295233835</v>
      </c>
      <c r="E35" s="14">
        <v>1.9935799957562608</v>
      </c>
      <c r="F35" s="14">
        <v>1.9843420278143482</v>
      </c>
      <c r="G35" s="14">
        <v>0.49602047362552437</v>
      </c>
      <c r="H35" s="16">
        <f t="shared" si="3"/>
        <v>2</v>
      </c>
      <c r="I35" s="16">
        <f t="shared" si="3"/>
        <v>0.5</v>
      </c>
      <c r="J35" s="16">
        <v>-200</v>
      </c>
    </row>
    <row r="36" spans="1:10" x14ac:dyDescent="0.55000000000000004">
      <c r="A36" s="5">
        <f t="shared" si="0"/>
        <v>7.5</v>
      </c>
      <c r="B36" s="4">
        <f t="shared" si="1"/>
        <v>0</v>
      </c>
      <c r="C36" s="14">
        <v>8.9000390716989595E-3</v>
      </c>
      <c r="D36" s="14">
        <v>2.0017108755263999</v>
      </c>
      <c r="E36" s="14">
        <v>1.9939878406695386</v>
      </c>
      <c r="F36" s="14">
        <v>1.985905224108433</v>
      </c>
      <c r="G36" s="14">
        <v>0.49603998576052133</v>
      </c>
      <c r="H36" s="16">
        <f t="shared" ref="H36:I51" si="4">H35</f>
        <v>2</v>
      </c>
      <c r="I36" s="16">
        <f t="shared" si="4"/>
        <v>0.5</v>
      </c>
      <c r="J36" s="16">
        <v>-200</v>
      </c>
    </row>
    <row r="37" spans="1:10" x14ac:dyDescent="0.55000000000000004">
      <c r="A37" s="5">
        <f t="shared" si="0"/>
        <v>7.75</v>
      </c>
      <c r="B37" s="4">
        <f t="shared" si="1"/>
        <v>0</v>
      </c>
      <c r="C37" s="14">
        <v>7.9660578438963681E-3</v>
      </c>
      <c r="D37" s="14">
        <v>2.0010339188079498</v>
      </c>
      <c r="E37" s="14">
        <v>1.9942231427449268</v>
      </c>
      <c r="F37" s="14">
        <v>1.9872668066313894</v>
      </c>
      <c r="G37" s="14">
        <v>0.49588242163304358</v>
      </c>
      <c r="H37" s="16">
        <f t="shared" si="4"/>
        <v>2</v>
      </c>
      <c r="I37" s="16">
        <f t="shared" si="4"/>
        <v>0.5</v>
      </c>
      <c r="J37" s="16">
        <v>-200</v>
      </c>
    </row>
    <row r="38" spans="1:10" x14ac:dyDescent="0.55000000000000004">
      <c r="A38" s="5">
        <f t="shared" si="0"/>
        <v>8</v>
      </c>
      <c r="B38" s="4">
        <f t="shared" si="1"/>
        <v>0</v>
      </c>
      <c r="C38" s="14">
        <v>7.1299589335377493E-3</v>
      </c>
      <c r="D38" s="14">
        <v>2.000183905798226</v>
      </c>
      <c r="E38" s="14">
        <v>1.9942645724669332</v>
      </c>
      <c r="F38" s="14">
        <v>1.9884293455564048</v>
      </c>
      <c r="G38" s="14">
        <v>0.49546860840880319</v>
      </c>
      <c r="H38" s="16">
        <f t="shared" si="4"/>
        <v>2</v>
      </c>
      <c r="I38" s="16">
        <f t="shared" si="4"/>
        <v>0.5</v>
      </c>
      <c r="J38" s="16">
        <v>-200</v>
      </c>
    </row>
    <row r="39" spans="1:10" x14ac:dyDescent="0.55000000000000004">
      <c r="A39" s="5">
        <f t="shared" si="0"/>
        <v>8.25</v>
      </c>
      <c r="B39" s="4">
        <f t="shared" si="1"/>
        <v>0</v>
      </c>
      <c r="C39" s="14">
        <v>6.3849395388405851E-3</v>
      </c>
      <c r="D39" s="14">
        <v>1.999110021539096</v>
      </c>
      <c r="E39" s="14">
        <v>1.9940153825579428</v>
      </c>
      <c r="F39" s="14">
        <v>1.989390606394847</v>
      </c>
      <c r="G39" s="14">
        <v>0.49472599012843477</v>
      </c>
      <c r="H39" s="16">
        <f t="shared" si="4"/>
        <v>2</v>
      </c>
      <c r="I39" s="16">
        <f t="shared" si="4"/>
        <v>0.5</v>
      </c>
      <c r="J39" s="16">
        <v>-200</v>
      </c>
    </row>
    <row r="40" spans="1:10" x14ac:dyDescent="0.55000000000000004">
      <c r="A40" s="5">
        <f t="shared" si="0"/>
        <v>8.5</v>
      </c>
      <c r="B40" s="4">
        <f t="shared" si="1"/>
        <v>0</v>
      </c>
      <c r="C40" s="14">
        <v>5.7153932655922314E-3</v>
      </c>
      <c r="D40" s="14">
        <v>1.9976078640804498</v>
      </c>
      <c r="E40" s="14">
        <v>1.9934455718839061</v>
      </c>
      <c r="F40" s="14">
        <v>1.9901301595865513</v>
      </c>
      <c r="G40" s="14">
        <v>0.49346374600490578</v>
      </c>
      <c r="H40" s="16">
        <f t="shared" si="4"/>
        <v>2</v>
      </c>
      <c r="I40" s="16">
        <f t="shared" si="4"/>
        <v>0.5</v>
      </c>
      <c r="J40" s="16">
        <v>-200</v>
      </c>
    </row>
    <row r="41" spans="1:10" x14ac:dyDescent="0.55000000000000004">
      <c r="A41" s="5">
        <f t="shared" si="0"/>
        <v>8.75</v>
      </c>
      <c r="B41" s="4">
        <f t="shared" si="1"/>
        <v>0</v>
      </c>
      <c r="C41" s="14">
        <v>5.1259159426431319E-3</v>
      </c>
      <c r="D41" s="14">
        <v>1.9956260282854155</v>
      </c>
      <c r="E41" s="14">
        <v>1.9922944017023165</v>
      </c>
      <c r="F41" s="14">
        <v>1.9906247877694492</v>
      </c>
      <c r="G41" s="14">
        <v>0.49155700227383248</v>
      </c>
      <c r="H41" s="16">
        <f t="shared" si="4"/>
        <v>2</v>
      </c>
      <c r="I41" s="16">
        <f t="shared" si="4"/>
        <v>0.5</v>
      </c>
      <c r="J41" s="16">
        <v>-200</v>
      </c>
    </row>
    <row r="42" spans="1:10" x14ac:dyDescent="0.55000000000000004">
      <c r="A42" s="5">
        <f t="shared" si="0"/>
        <v>9</v>
      </c>
      <c r="B42" s="4">
        <f t="shared" si="1"/>
        <v>0</v>
      </c>
      <c r="C42" s="14">
        <v>4.5870122195439539E-3</v>
      </c>
      <c r="D42" s="14">
        <v>1.9926333683300819</v>
      </c>
      <c r="E42" s="14">
        <v>1.9905754746269508</v>
      </c>
      <c r="F42" s="14">
        <v>1.9908055600199059</v>
      </c>
      <c r="G42" s="14">
        <v>0.48853279659094079</v>
      </c>
      <c r="H42" s="16">
        <f t="shared" si="4"/>
        <v>2</v>
      </c>
      <c r="I42" s="16">
        <f t="shared" si="4"/>
        <v>0.5</v>
      </c>
      <c r="J42" s="16">
        <v>-200</v>
      </c>
    </row>
    <row r="43" spans="1:10" x14ac:dyDescent="0.55000000000000004">
      <c r="A43" s="5">
        <f t="shared" si="0"/>
        <v>9.25</v>
      </c>
      <c r="B43" s="4">
        <f t="shared" si="1"/>
        <v>0</v>
      </c>
      <c r="C43" s="14">
        <v>4.1359223706926539E-3</v>
      </c>
      <c r="D43" s="14">
        <v>1.9887052218153236</v>
      </c>
      <c r="E43" s="14">
        <v>1.9875660474183454</v>
      </c>
      <c r="F43" s="14">
        <v>1.9906165295814935</v>
      </c>
      <c r="G43" s="14">
        <v>0.48423588815189528</v>
      </c>
      <c r="H43" s="16">
        <f t="shared" si="4"/>
        <v>2</v>
      </c>
      <c r="I43" s="16">
        <f t="shared" si="4"/>
        <v>0.5</v>
      </c>
      <c r="J43" s="16">
        <v>-200</v>
      </c>
    </row>
    <row r="44" spans="1:10" x14ac:dyDescent="0.55000000000000004">
      <c r="A44" s="5">
        <f t="shared" si="0"/>
        <v>9.5</v>
      </c>
      <c r="B44" s="4">
        <f t="shared" si="1"/>
        <v>0</v>
      </c>
      <c r="C44" s="14">
        <v>3.6890447118222117E-3</v>
      </c>
      <c r="D44" s="14">
        <v>1.9823693442982089</v>
      </c>
      <c r="E44" s="14">
        <v>1.9835837117469715</v>
      </c>
      <c r="F44" s="14">
        <v>1.9898742829059981</v>
      </c>
      <c r="G44" s="14">
        <v>0.47743709839986798</v>
      </c>
      <c r="H44" s="16">
        <f t="shared" si="4"/>
        <v>2</v>
      </c>
      <c r="I44" s="16">
        <f t="shared" si="4"/>
        <v>0.5</v>
      </c>
      <c r="J44" s="16">
        <v>-200</v>
      </c>
    </row>
    <row r="45" spans="1:10" x14ac:dyDescent="0.55000000000000004">
      <c r="A45" s="5">
        <f t="shared" si="0"/>
        <v>9.75</v>
      </c>
      <c r="B45" s="4">
        <f t="shared" si="1"/>
        <v>0</v>
      </c>
      <c r="C45" s="14">
        <v>3.3912340302909242E-3</v>
      </c>
      <c r="D45" s="14">
        <v>1.9744193587061116</v>
      </c>
      <c r="E45" s="14">
        <v>1.976528783328751</v>
      </c>
      <c r="F45" s="14">
        <v>1.9884833397280082</v>
      </c>
      <c r="G45" s="14">
        <v>0.46819927514797149</v>
      </c>
      <c r="H45" s="16">
        <f t="shared" si="4"/>
        <v>2</v>
      </c>
      <c r="I45" s="16">
        <f t="shared" si="4"/>
        <v>0.5</v>
      </c>
      <c r="J45" s="16">
        <v>-200</v>
      </c>
    </row>
    <row r="46" spans="1:10" x14ac:dyDescent="0.55000000000000004">
      <c r="A46" s="5">
        <f t="shared" si="0"/>
        <v>10</v>
      </c>
      <c r="B46" s="4">
        <f t="shared" si="1"/>
        <v>0</v>
      </c>
      <c r="C46" s="14">
        <v>2.9665094596972442E-3</v>
      </c>
      <c r="D46" s="14">
        <v>1.9605351261567097</v>
      </c>
      <c r="E46" s="14">
        <v>1.9680953201691365</v>
      </c>
      <c r="F46" s="14">
        <v>1.9859680005065914</v>
      </c>
      <c r="G46" s="14">
        <v>0.45314859761144244</v>
      </c>
      <c r="H46" s="16">
        <f t="shared" si="4"/>
        <v>2</v>
      </c>
      <c r="I46" s="16">
        <f t="shared" si="4"/>
        <v>0.5</v>
      </c>
      <c r="J46" s="16">
        <v>-200</v>
      </c>
    </row>
    <row r="47" spans="1:10" x14ac:dyDescent="0.55000000000000004">
      <c r="A47" s="5">
        <f t="shared" si="0"/>
        <v>10.25</v>
      </c>
      <c r="B47" s="4">
        <f t="shared" si="1"/>
        <v>0</v>
      </c>
      <c r="C47" s="14">
        <v>2.9271689964585315E-3</v>
      </c>
      <c r="D47" s="14">
        <v>1.9445975716473662</v>
      </c>
      <c r="E47" s="14">
        <v>1.9518896806672241</v>
      </c>
      <c r="F47" s="14">
        <v>1.9822446619092611</v>
      </c>
      <c r="G47" s="14">
        <v>0.43379524673800807</v>
      </c>
      <c r="H47" s="16">
        <f t="shared" si="4"/>
        <v>2</v>
      </c>
      <c r="I47" s="16">
        <f t="shared" si="4"/>
        <v>0.5</v>
      </c>
      <c r="J47" s="16">
        <v>-200</v>
      </c>
    </row>
    <row r="48" spans="1:10" x14ac:dyDescent="0.55000000000000004">
      <c r="A48" s="5">
        <f t="shared" si="0"/>
        <v>10.5</v>
      </c>
      <c r="B48" s="4">
        <f t="shared" si="1"/>
        <v>0</v>
      </c>
      <c r="C48" s="14">
        <v>2.3257073989800437E-3</v>
      </c>
      <c r="D48" s="14">
        <v>1.9133068031791363</v>
      </c>
      <c r="E48" s="14">
        <v>1.9350615476822748</v>
      </c>
      <c r="F48" s="14">
        <v>1.97604025462355</v>
      </c>
      <c r="G48" s="14">
        <v>0.40035328410501098</v>
      </c>
      <c r="H48" s="16">
        <f t="shared" si="4"/>
        <v>2</v>
      </c>
      <c r="I48" s="16">
        <f t="shared" si="4"/>
        <v>0.5</v>
      </c>
      <c r="J48" s="16">
        <v>-200</v>
      </c>
    </row>
    <row r="49" spans="1:10" x14ac:dyDescent="0.55000000000000004">
      <c r="A49" s="5">
        <f t="shared" si="0"/>
        <v>10.75</v>
      </c>
      <c r="B49" s="4">
        <f t="shared" si="1"/>
        <v>0</v>
      </c>
      <c r="C49" s="14">
        <v>2.9400463324272112E-3</v>
      </c>
      <c r="D49" s="14">
        <v>1.8825182496938901</v>
      </c>
      <c r="E49" s="14">
        <v>1.8973611011956868</v>
      </c>
      <c r="F49" s="14">
        <v>1.9676232741798805</v>
      </c>
      <c r="G49" s="14">
        <v>0.36082359323713165</v>
      </c>
      <c r="H49" s="16">
        <f t="shared" si="4"/>
        <v>2</v>
      </c>
      <c r="I49" s="16">
        <f t="shared" si="4"/>
        <v>0.5</v>
      </c>
      <c r="J49" s="16">
        <v>-200</v>
      </c>
    </row>
    <row r="50" spans="1:10" x14ac:dyDescent="0.55000000000000004">
      <c r="A50" s="5">
        <f t="shared" si="0"/>
        <v>11</v>
      </c>
      <c r="B50" s="4">
        <f t="shared" si="1"/>
        <v>0</v>
      </c>
      <c r="C50" s="14">
        <v>1.4900668520323847E-3</v>
      </c>
      <c r="D50" s="14">
        <v>1.8097278039363924</v>
      </c>
      <c r="E50" s="14">
        <v>1.8662995866118821</v>
      </c>
      <c r="F50" s="14">
        <v>1.9534126818579667</v>
      </c>
      <c r="G50" s="14">
        <v>0.28538688173709365</v>
      </c>
      <c r="H50" s="16">
        <f t="shared" si="4"/>
        <v>2</v>
      </c>
      <c r="I50" s="16">
        <f t="shared" si="4"/>
        <v>0.5</v>
      </c>
      <c r="J50" s="16">
        <v>-200</v>
      </c>
    </row>
    <row r="51" spans="1:10" x14ac:dyDescent="0.55000000000000004">
      <c r="A51" s="5">
        <f t="shared" si="0"/>
        <v>11.25</v>
      </c>
      <c r="B51" s="4">
        <f t="shared" si="1"/>
        <v>0</v>
      </c>
      <c r="C51" s="14">
        <v>4.1249553732792196E-3</v>
      </c>
      <c r="D51" s="14">
        <v>1.7549991831952467</v>
      </c>
      <c r="E51" s="14">
        <v>1.775815520426302</v>
      </c>
      <c r="F51" s="14">
        <v>1.9355554669783219</v>
      </c>
      <c r="G51" s="14">
        <v>0.2076796760382425</v>
      </c>
      <c r="H51" s="16">
        <f t="shared" si="4"/>
        <v>2</v>
      </c>
      <c r="I51" s="16">
        <f t="shared" si="4"/>
        <v>0.5</v>
      </c>
      <c r="J51" s="16">
        <v>-200</v>
      </c>
    </row>
    <row r="52" spans="1:10" x14ac:dyDescent="0.55000000000000004">
      <c r="A52" s="5">
        <f t="shared" si="0"/>
        <v>11.5</v>
      </c>
      <c r="B52" s="4">
        <f t="shared" si="1"/>
        <v>0</v>
      </c>
      <c r="C52" s="14">
        <v>-5.2421234710869349E-4</v>
      </c>
      <c r="D52" s="14">
        <v>1.5787561878761456</v>
      </c>
      <c r="E52" s="14">
        <v>1.7270631724143897</v>
      </c>
      <c r="F52" s="14">
        <v>1.9034435318591261</v>
      </c>
      <c r="G52" s="14">
        <v>3.316006018358001E-2</v>
      </c>
      <c r="H52" s="16">
        <f t="shared" ref="H52:I53" si="5">H51</f>
        <v>2</v>
      </c>
      <c r="I52" s="16">
        <f t="shared" si="5"/>
        <v>0.5</v>
      </c>
      <c r="J52" s="16">
        <v>-200</v>
      </c>
    </row>
    <row r="53" spans="1:10" x14ac:dyDescent="0.55000000000000004">
      <c r="A53" s="5">
        <f t="shared" si="0"/>
        <v>11.75</v>
      </c>
      <c r="B53" s="4">
        <f t="shared" si="1"/>
        <v>0</v>
      </c>
      <c r="C53" s="14">
        <v>0</v>
      </c>
      <c r="D53" s="14">
        <v>1.5</v>
      </c>
      <c r="E53" s="14">
        <v>1.5</v>
      </c>
      <c r="F53" s="14">
        <v>1.5</v>
      </c>
      <c r="G53" s="14">
        <v>0</v>
      </c>
      <c r="H53" s="16">
        <f t="shared" si="5"/>
        <v>2</v>
      </c>
      <c r="I53" s="16">
        <f t="shared" si="5"/>
        <v>0.5</v>
      </c>
      <c r="J53" s="16">
        <v>-200</v>
      </c>
    </row>
    <row r="54" spans="1:10" hidden="1" x14ac:dyDescent="0.55000000000000004">
      <c r="A54" s="5">
        <f t="shared" si="0"/>
        <v>12</v>
      </c>
      <c r="B54" s="4">
        <f t="shared" si="1"/>
        <v>0</v>
      </c>
      <c r="C54" s="14" t="e">
        <f>#REF!</f>
        <v>#REF!</v>
      </c>
      <c r="D54" s="14" t="e">
        <f>#REF!+1.5</f>
        <v>#REF!</v>
      </c>
      <c r="E54" s="14" t="e">
        <f>#REF!+1.5</f>
        <v>#REF!</v>
      </c>
      <c r="F54" s="14" t="e">
        <f>#REF!+1.5</f>
        <v>#REF!</v>
      </c>
      <c r="G54" s="14" t="e">
        <f>#REF!</f>
        <v>#REF!</v>
      </c>
    </row>
    <row r="55" spans="1:10" hidden="1" x14ac:dyDescent="0.55000000000000004">
      <c r="A55" s="5">
        <f t="shared" si="0"/>
        <v>12.25</v>
      </c>
      <c r="B55" s="4">
        <f t="shared" si="1"/>
        <v>0</v>
      </c>
      <c r="C55" s="14" t="e">
        <f>#REF!</f>
        <v>#REF!</v>
      </c>
      <c r="D55" s="14" t="e">
        <f>#REF!+1.5</f>
        <v>#REF!</v>
      </c>
      <c r="E55" s="14" t="e">
        <f>#REF!+1.5</f>
        <v>#REF!</v>
      </c>
      <c r="F55" s="14" t="e">
        <f>#REF!+1.5</f>
        <v>#REF!</v>
      </c>
      <c r="G55" s="14" t="e">
        <f>#REF!</f>
        <v>#REF!</v>
      </c>
    </row>
    <row r="56" spans="1:10" hidden="1" x14ac:dyDescent="0.55000000000000004">
      <c r="A56" s="5">
        <f t="shared" si="0"/>
        <v>12.5</v>
      </c>
      <c r="B56" s="4">
        <f t="shared" si="1"/>
        <v>0</v>
      </c>
      <c r="C56" s="14" t="e">
        <f>#REF!</f>
        <v>#REF!</v>
      </c>
      <c r="D56" s="14" t="e">
        <f>#REF!+1.5</f>
        <v>#REF!</v>
      </c>
      <c r="E56" s="14" t="e">
        <f>#REF!+1.5</f>
        <v>#REF!</v>
      </c>
      <c r="F56" s="14" t="e">
        <f>#REF!+1.5</f>
        <v>#REF!</v>
      </c>
      <c r="G56" s="14" t="e">
        <f>#REF!</f>
        <v>#REF!</v>
      </c>
    </row>
    <row r="57" spans="1:10" hidden="1" x14ac:dyDescent="0.55000000000000004">
      <c r="A57" s="5">
        <f t="shared" si="0"/>
        <v>12.75</v>
      </c>
      <c r="B57" s="4">
        <f t="shared" si="1"/>
        <v>0</v>
      </c>
      <c r="C57" s="14" t="e">
        <f>#REF!</f>
        <v>#REF!</v>
      </c>
      <c r="D57" s="14" t="e">
        <f>#REF!+1.5</f>
        <v>#REF!</v>
      </c>
      <c r="E57" s="14" t="e">
        <f>#REF!+1.5</f>
        <v>#REF!</v>
      </c>
      <c r="F57" s="14" t="e">
        <f>#REF!+1.5</f>
        <v>#REF!</v>
      </c>
      <c r="G57" s="14" t="e">
        <f>#REF!</f>
        <v>#REF!</v>
      </c>
    </row>
    <row r="58" spans="1:10" hidden="1" x14ac:dyDescent="0.55000000000000004">
      <c r="A58" s="5">
        <f t="shared" si="0"/>
        <v>13</v>
      </c>
      <c r="B58" s="4">
        <f t="shared" si="1"/>
        <v>0</v>
      </c>
      <c r="C58" s="14" t="e">
        <f>#REF!</f>
        <v>#REF!</v>
      </c>
      <c r="D58" s="14" t="e">
        <f>#REF!+1.5</f>
        <v>#REF!</v>
      </c>
      <c r="E58" s="14" t="e">
        <f>#REF!+1.5</f>
        <v>#REF!</v>
      </c>
      <c r="F58" s="14" t="e">
        <f>#REF!+1.5</f>
        <v>#REF!</v>
      </c>
      <c r="G58" s="14" t="e">
        <f>#REF!</f>
        <v>#REF!</v>
      </c>
    </row>
    <row r="59" spans="1:10" hidden="1" x14ac:dyDescent="0.55000000000000004">
      <c r="A59" s="5">
        <f t="shared" si="0"/>
        <v>13.25</v>
      </c>
      <c r="B59" s="4">
        <f t="shared" si="1"/>
        <v>0</v>
      </c>
      <c r="C59" s="14" t="e">
        <f>#REF!</f>
        <v>#REF!</v>
      </c>
      <c r="D59" s="14" t="e">
        <f>#REF!+1.5</f>
        <v>#REF!</v>
      </c>
      <c r="E59" s="14" t="e">
        <f>#REF!+1.5</f>
        <v>#REF!</v>
      </c>
      <c r="F59" s="14" t="e">
        <f>#REF!+1.5</f>
        <v>#REF!</v>
      </c>
      <c r="G59" s="14" t="e">
        <f>#REF!</f>
        <v>#REF!</v>
      </c>
    </row>
    <row r="60" spans="1:10" hidden="1" x14ac:dyDescent="0.55000000000000004">
      <c r="A60" s="5">
        <f t="shared" si="0"/>
        <v>13.5</v>
      </c>
      <c r="B60" s="4">
        <f t="shared" si="1"/>
        <v>0</v>
      </c>
      <c r="C60" s="14" t="e">
        <f>#REF!</f>
        <v>#REF!</v>
      </c>
      <c r="D60" s="14" t="e">
        <f>#REF!+1.5</f>
        <v>#REF!</v>
      </c>
      <c r="E60" s="14" t="e">
        <f>#REF!+1.5</f>
        <v>#REF!</v>
      </c>
      <c r="F60" s="14" t="e">
        <f>#REF!+1.5</f>
        <v>#REF!</v>
      </c>
      <c r="G60" s="14" t="e">
        <f>#REF!</f>
        <v>#REF!</v>
      </c>
    </row>
    <row r="61" spans="1:10" hidden="1" x14ac:dyDescent="0.55000000000000004">
      <c r="A61" s="5">
        <f t="shared" si="0"/>
        <v>13.75</v>
      </c>
      <c r="B61" s="4">
        <f t="shared" si="1"/>
        <v>0</v>
      </c>
      <c r="C61" s="14" t="e">
        <f>#REF!</f>
        <v>#REF!</v>
      </c>
      <c r="D61" s="14" t="e">
        <f>#REF!+1.5</f>
        <v>#REF!</v>
      </c>
      <c r="E61" s="14" t="e">
        <f>#REF!+1.5</f>
        <v>#REF!</v>
      </c>
      <c r="F61" s="14" t="e">
        <f>#REF!+1.5</f>
        <v>#REF!</v>
      </c>
      <c r="G61" s="14" t="e">
        <f>#REF!</f>
        <v>#REF!</v>
      </c>
    </row>
    <row r="62" spans="1:10" hidden="1" x14ac:dyDescent="0.55000000000000004">
      <c r="A62" s="5">
        <f t="shared" si="0"/>
        <v>14</v>
      </c>
      <c r="B62" s="4">
        <f t="shared" si="1"/>
        <v>0</v>
      </c>
      <c r="C62" s="14" t="e">
        <f>#REF!</f>
        <v>#REF!</v>
      </c>
      <c r="D62" s="14" t="e">
        <f>#REF!+1.5</f>
        <v>#REF!</v>
      </c>
      <c r="E62" s="14" t="e">
        <f>#REF!+1.5</f>
        <v>#REF!</v>
      </c>
      <c r="F62" s="14" t="e">
        <f>#REF!+1.5</f>
        <v>#REF!</v>
      </c>
      <c r="G62" s="14" t="e">
        <f>#REF!</f>
        <v>#REF!</v>
      </c>
    </row>
    <row r="63" spans="1:10" hidden="1" x14ac:dyDescent="0.55000000000000004">
      <c r="A63" s="5">
        <f t="shared" si="0"/>
        <v>14.25</v>
      </c>
      <c r="B63" s="4">
        <f t="shared" si="1"/>
        <v>0</v>
      </c>
      <c r="C63" s="14" t="e">
        <f>#REF!</f>
        <v>#REF!</v>
      </c>
      <c r="D63" s="14" t="e">
        <f>#REF!+1.5</f>
        <v>#REF!</v>
      </c>
      <c r="E63" s="14" t="e">
        <f>#REF!+1.5</f>
        <v>#REF!</v>
      </c>
      <c r="F63" s="14" t="e">
        <f>#REF!+1.5</f>
        <v>#REF!</v>
      </c>
      <c r="G63" s="14" t="e">
        <f>#REF!</f>
        <v>#REF!</v>
      </c>
    </row>
    <row r="64" spans="1:10" hidden="1" x14ac:dyDescent="0.55000000000000004">
      <c r="A64" s="5">
        <f t="shared" si="0"/>
        <v>14.5</v>
      </c>
      <c r="B64" s="4">
        <f t="shared" si="1"/>
        <v>0</v>
      </c>
      <c r="C64" s="14" t="e">
        <f>#REF!</f>
        <v>#REF!</v>
      </c>
      <c r="D64" s="14" t="e">
        <f>#REF!+1.5</f>
        <v>#REF!</v>
      </c>
      <c r="E64" s="14" t="e">
        <f>#REF!+1.5</f>
        <v>#REF!</v>
      </c>
      <c r="F64" s="14" t="e">
        <f>#REF!+1.5</f>
        <v>#REF!</v>
      </c>
      <c r="G64" s="14" t="e">
        <f>#REF!</f>
        <v>#REF!</v>
      </c>
    </row>
    <row r="65" spans="1:7" hidden="1" x14ac:dyDescent="0.55000000000000004">
      <c r="A65" s="5">
        <f t="shared" si="0"/>
        <v>14.75</v>
      </c>
      <c r="B65" s="4">
        <f t="shared" si="1"/>
        <v>0</v>
      </c>
      <c r="C65" s="14" t="e">
        <f>#REF!</f>
        <v>#REF!</v>
      </c>
      <c r="D65" s="14" t="e">
        <f>#REF!+1.5</f>
        <v>#REF!</v>
      </c>
      <c r="E65" s="14" t="e">
        <f>#REF!+1.5</f>
        <v>#REF!</v>
      </c>
      <c r="F65" s="14" t="e">
        <f>#REF!+1.5</f>
        <v>#REF!</v>
      </c>
      <c r="G65" s="14" t="e">
        <f>#REF!</f>
        <v>#REF!</v>
      </c>
    </row>
    <row r="66" spans="1:7" hidden="1" x14ac:dyDescent="0.55000000000000004">
      <c r="A66" s="5">
        <f t="shared" si="0"/>
        <v>15</v>
      </c>
      <c r="B66" s="4">
        <f t="shared" si="1"/>
        <v>0</v>
      </c>
      <c r="C66" s="14" t="e">
        <f>#REF!</f>
        <v>#REF!</v>
      </c>
      <c r="D66" s="14" t="e">
        <f>#REF!+1.5</f>
        <v>#REF!</v>
      </c>
      <c r="E66" s="14" t="e">
        <f>#REF!+1.5</f>
        <v>#REF!</v>
      </c>
      <c r="F66" s="14" t="e">
        <f>#REF!+1.5</f>
        <v>#REF!</v>
      </c>
      <c r="G66" s="14" t="e">
        <f>#REF!</f>
        <v>#REF!</v>
      </c>
    </row>
    <row r="67" spans="1:7" hidden="1" x14ac:dyDescent="0.55000000000000004">
      <c r="A67" s="5">
        <f t="shared" si="0"/>
        <v>15.25</v>
      </c>
      <c r="B67" s="4">
        <f t="shared" si="1"/>
        <v>0</v>
      </c>
      <c r="C67" s="14" t="e">
        <f>#REF!</f>
        <v>#REF!</v>
      </c>
      <c r="D67" s="14" t="e">
        <f>#REF!+1.5</f>
        <v>#REF!</v>
      </c>
      <c r="E67" s="14" t="e">
        <f>#REF!+1.5</f>
        <v>#REF!</v>
      </c>
      <c r="F67" s="14" t="e">
        <f>#REF!+1.5</f>
        <v>#REF!</v>
      </c>
      <c r="G67" s="14" t="e">
        <f>#REF!</f>
        <v>#REF!</v>
      </c>
    </row>
    <row r="68" spans="1:7" hidden="1" x14ac:dyDescent="0.55000000000000004">
      <c r="A68" s="5">
        <f t="shared" ref="A68:A131" si="6">A67+0.25</f>
        <v>15.5</v>
      </c>
      <c r="B68" s="4">
        <f t="shared" ref="B68:B131" si="7">B67</f>
        <v>0</v>
      </c>
      <c r="C68" s="14" t="e">
        <f>#REF!</f>
        <v>#REF!</v>
      </c>
      <c r="D68" s="14" t="e">
        <f>#REF!+1.5</f>
        <v>#REF!</v>
      </c>
      <c r="E68" s="14" t="e">
        <f>#REF!+1.5</f>
        <v>#REF!</v>
      </c>
      <c r="F68" s="14" t="e">
        <f>#REF!+1.5</f>
        <v>#REF!</v>
      </c>
      <c r="G68" s="14" t="e">
        <f>#REF!</f>
        <v>#REF!</v>
      </c>
    </row>
    <row r="69" spans="1:7" hidden="1" x14ac:dyDescent="0.55000000000000004">
      <c r="A69" s="5">
        <f t="shared" si="6"/>
        <v>15.75</v>
      </c>
      <c r="B69" s="4">
        <f t="shared" si="7"/>
        <v>0</v>
      </c>
      <c r="C69" s="14" t="e">
        <f>#REF!</f>
        <v>#REF!</v>
      </c>
      <c r="D69" s="14" t="e">
        <f>#REF!+1.5</f>
        <v>#REF!</v>
      </c>
      <c r="E69" s="14" t="e">
        <f>#REF!+1.5</f>
        <v>#REF!</v>
      </c>
      <c r="F69" s="14" t="e">
        <f>#REF!+1.5</f>
        <v>#REF!</v>
      </c>
      <c r="G69" s="14" t="e">
        <f>#REF!</f>
        <v>#REF!</v>
      </c>
    </row>
    <row r="70" spans="1:7" hidden="1" x14ac:dyDescent="0.55000000000000004">
      <c r="A70" s="5">
        <f t="shared" si="6"/>
        <v>16</v>
      </c>
      <c r="B70" s="4">
        <f t="shared" si="7"/>
        <v>0</v>
      </c>
      <c r="C70" s="14" t="e">
        <f>#REF!</f>
        <v>#REF!</v>
      </c>
      <c r="D70" s="14" t="e">
        <f>#REF!+1.5</f>
        <v>#REF!</v>
      </c>
      <c r="E70" s="14" t="e">
        <f>#REF!+1.5</f>
        <v>#REF!</v>
      </c>
      <c r="F70" s="14" t="e">
        <f>#REF!+1.5</f>
        <v>#REF!</v>
      </c>
      <c r="G70" s="14" t="e">
        <f>#REF!</f>
        <v>#REF!</v>
      </c>
    </row>
    <row r="71" spans="1:7" hidden="1" x14ac:dyDescent="0.55000000000000004">
      <c r="A71" s="5">
        <f t="shared" si="6"/>
        <v>16.25</v>
      </c>
      <c r="B71" s="4">
        <f t="shared" si="7"/>
        <v>0</v>
      </c>
      <c r="C71" s="14" t="e">
        <f>#REF!</f>
        <v>#REF!</v>
      </c>
      <c r="D71" s="14" t="e">
        <f>#REF!+1.5</f>
        <v>#REF!</v>
      </c>
      <c r="E71" s="14" t="e">
        <f>#REF!+1.5</f>
        <v>#REF!</v>
      </c>
      <c r="F71" s="14" t="e">
        <f>#REF!+1.5</f>
        <v>#REF!</v>
      </c>
      <c r="G71" s="14" t="e">
        <f>#REF!</f>
        <v>#REF!</v>
      </c>
    </row>
    <row r="72" spans="1:7" hidden="1" x14ac:dyDescent="0.55000000000000004">
      <c r="A72" s="5">
        <f t="shared" si="6"/>
        <v>16.5</v>
      </c>
      <c r="B72" s="4">
        <f t="shared" si="7"/>
        <v>0</v>
      </c>
      <c r="C72" s="14" t="e">
        <f>#REF!</f>
        <v>#REF!</v>
      </c>
      <c r="D72" s="14" t="e">
        <f>#REF!+1.5</f>
        <v>#REF!</v>
      </c>
      <c r="E72" s="14" t="e">
        <f>#REF!+1.5</f>
        <v>#REF!</v>
      </c>
      <c r="F72" s="14" t="e">
        <f>#REF!+1.5</f>
        <v>#REF!</v>
      </c>
      <c r="G72" s="14" t="e">
        <f>#REF!</f>
        <v>#REF!</v>
      </c>
    </row>
    <row r="73" spans="1:7" hidden="1" x14ac:dyDescent="0.55000000000000004">
      <c r="A73" s="5">
        <f t="shared" si="6"/>
        <v>16.75</v>
      </c>
      <c r="B73" s="4">
        <f t="shared" si="7"/>
        <v>0</v>
      </c>
      <c r="C73" s="14" t="e">
        <f>#REF!</f>
        <v>#REF!</v>
      </c>
      <c r="D73" s="14" t="e">
        <f>#REF!+1.5</f>
        <v>#REF!</v>
      </c>
      <c r="E73" s="14" t="e">
        <f>#REF!+1.5</f>
        <v>#REF!</v>
      </c>
      <c r="F73" s="14" t="e">
        <f>#REF!+1.5</f>
        <v>#REF!</v>
      </c>
      <c r="G73" s="14" t="e">
        <f>#REF!</f>
        <v>#REF!</v>
      </c>
    </row>
    <row r="74" spans="1:7" hidden="1" x14ac:dyDescent="0.55000000000000004">
      <c r="A74" s="5">
        <f t="shared" si="6"/>
        <v>17</v>
      </c>
      <c r="B74" s="4">
        <f t="shared" si="7"/>
        <v>0</v>
      </c>
      <c r="C74" s="14" t="e">
        <f>#REF!</f>
        <v>#REF!</v>
      </c>
      <c r="D74" s="14" t="e">
        <f>#REF!+1.5</f>
        <v>#REF!</v>
      </c>
      <c r="E74" s="14" t="e">
        <f>#REF!+1.5</f>
        <v>#REF!</v>
      </c>
      <c r="F74" s="14" t="e">
        <f>#REF!+1.5</f>
        <v>#REF!</v>
      </c>
      <c r="G74" s="14" t="e">
        <f>#REF!</f>
        <v>#REF!</v>
      </c>
    </row>
    <row r="75" spans="1:7" hidden="1" x14ac:dyDescent="0.55000000000000004">
      <c r="A75" s="5">
        <f t="shared" si="6"/>
        <v>17.25</v>
      </c>
      <c r="B75" s="4">
        <f t="shared" si="7"/>
        <v>0</v>
      </c>
      <c r="C75" s="14" t="e">
        <f>#REF!</f>
        <v>#REF!</v>
      </c>
      <c r="D75" s="14" t="e">
        <f>#REF!+1.5</f>
        <v>#REF!</v>
      </c>
      <c r="E75" s="14" t="e">
        <f>#REF!+1.5</f>
        <v>#REF!</v>
      </c>
      <c r="F75" s="14" t="e">
        <f>#REF!+1.5</f>
        <v>#REF!</v>
      </c>
      <c r="G75" s="14" t="e">
        <f>#REF!</f>
        <v>#REF!</v>
      </c>
    </row>
    <row r="76" spans="1:7" hidden="1" x14ac:dyDescent="0.55000000000000004">
      <c r="A76" s="5">
        <f t="shared" si="6"/>
        <v>17.5</v>
      </c>
      <c r="B76" s="4">
        <f t="shared" si="7"/>
        <v>0</v>
      </c>
      <c r="C76" s="14" t="e">
        <f>#REF!</f>
        <v>#REF!</v>
      </c>
      <c r="D76" s="14" t="e">
        <f>#REF!+1.5</f>
        <v>#REF!</v>
      </c>
      <c r="E76" s="14" t="e">
        <f>#REF!+1.5</f>
        <v>#REF!</v>
      </c>
      <c r="F76" s="14" t="e">
        <f>#REF!+1.5</f>
        <v>#REF!</v>
      </c>
      <c r="G76" s="14" t="e">
        <f>#REF!</f>
        <v>#REF!</v>
      </c>
    </row>
    <row r="77" spans="1:7" hidden="1" x14ac:dyDescent="0.55000000000000004">
      <c r="A77" s="5">
        <f t="shared" si="6"/>
        <v>17.75</v>
      </c>
      <c r="B77" s="4">
        <f t="shared" si="7"/>
        <v>0</v>
      </c>
      <c r="C77" s="14" t="e">
        <f>#REF!</f>
        <v>#REF!</v>
      </c>
      <c r="D77" s="14" t="e">
        <f>#REF!+1.5</f>
        <v>#REF!</v>
      </c>
      <c r="E77" s="14" t="e">
        <f>#REF!+1.5</f>
        <v>#REF!</v>
      </c>
      <c r="F77" s="14" t="e">
        <f>#REF!+1.5</f>
        <v>#REF!</v>
      </c>
      <c r="G77" s="14" t="e">
        <f>#REF!</f>
        <v>#REF!</v>
      </c>
    </row>
    <row r="78" spans="1:7" hidden="1" x14ac:dyDescent="0.55000000000000004">
      <c r="A78" s="5">
        <f t="shared" si="6"/>
        <v>18</v>
      </c>
      <c r="B78" s="4">
        <f t="shared" si="7"/>
        <v>0</v>
      </c>
      <c r="C78" s="14" t="e">
        <f>#REF!</f>
        <v>#REF!</v>
      </c>
      <c r="D78" s="14" t="e">
        <f>#REF!+1.5</f>
        <v>#REF!</v>
      </c>
      <c r="E78" s="14" t="e">
        <f>#REF!+1.5</f>
        <v>#REF!</v>
      </c>
      <c r="F78" s="14" t="e">
        <f>#REF!+1.5</f>
        <v>#REF!</v>
      </c>
      <c r="G78" s="14" t="e">
        <f>#REF!</f>
        <v>#REF!</v>
      </c>
    </row>
    <row r="79" spans="1:7" hidden="1" x14ac:dyDescent="0.55000000000000004">
      <c r="A79" s="5">
        <f t="shared" si="6"/>
        <v>18.25</v>
      </c>
      <c r="B79" s="4">
        <f t="shared" si="7"/>
        <v>0</v>
      </c>
      <c r="C79" s="14" t="e">
        <f>#REF!</f>
        <v>#REF!</v>
      </c>
      <c r="D79" s="14" t="e">
        <f>#REF!+1.5</f>
        <v>#REF!</v>
      </c>
      <c r="E79" s="14" t="e">
        <f>#REF!+1.5</f>
        <v>#REF!</v>
      </c>
      <c r="F79" s="14" t="e">
        <f>#REF!+1.5</f>
        <v>#REF!</v>
      </c>
      <c r="G79" s="14" t="e">
        <f>#REF!</f>
        <v>#REF!</v>
      </c>
    </row>
    <row r="80" spans="1:7" hidden="1" x14ac:dyDescent="0.55000000000000004">
      <c r="A80" s="5">
        <f t="shared" si="6"/>
        <v>18.5</v>
      </c>
      <c r="B80" s="4">
        <f t="shared" si="7"/>
        <v>0</v>
      </c>
      <c r="C80" s="14" t="e">
        <f>#REF!</f>
        <v>#REF!</v>
      </c>
      <c r="D80" s="14" t="e">
        <f>#REF!+1.5</f>
        <v>#REF!</v>
      </c>
      <c r="E80" s="14" t="e">
        <f>#REF!+1.5</f>
        <v>#REF!</v>
      </c>
      <c r="F80" s="14" t="e">
        <f>#REF!+1.5</f>
        <v>#REF!</v>
      </c>
      <c r="G80" s="14" t="e">
        <f>#REF!</f>
        <v>#REF!</v>
      </c>
    </row>
    <row r="81" spans="1:7" hidden="1" x14ac:dyDescent="0.55000000000000004">
      <c r="A81" s="5">
        <f t="shared" si="6"/>
        <v>18.75</v>
      </c>
      <c r="B81" s="4">
        <f t="shared" si="7"/>
        <v>0</v>
      </c>
      <c r="C81" s="14" t="e">
        <f>#REF!</f>
        <v>#REF!</v>
      </c>
      <c r="D81" s="14" t="e">
        <f>#REF!+1.5</f>
        <v>#REF!</v>
      </c>
      <c r="E81" s="14" t="e">
        <f>#REF!+1.5</f>
        <v>#REF!</v>
      </c>
      <c r="F81" s="14" t="e">
        <f>#REF!+1.5</f>
        <v>#REF!</v>
      </c>
      <c r="G81" s="14" t="e">
        <f>#REF!</f>
        <v>#REF!</v>
      </c>
    </row>
    <row r="82" spans="1:7" hidden="1" x14ac:dyDescent="0.55000000000000004">
      <c r="A82" s="5">
        <f t="shared" si="6"/>
        <v>19</v>
      </c>
      <c r="B82" s="4">
        <f t="shared" si="7"/>
        <v>0</v>
      </c>
      <c r="C82" s="14" t="e">
        <f>#REF!</f>
        <v>#REF!</v>
      </c>
      <c r="D82" s="14" t="e">
        <f>#REF!+1.5</f>
        <v>#REF!</v>
      </c>
      <c r="E82" s="14" t="e">
        <f>#REF!+1.5</f>
        <v>#REF!</v>
      </c>
      <c r="F82" s="14" t="e">
        <f>#REF!+1.5</f>
        <v>#REF!</v>
      </c>
      <c r="G82" s="14" t="e">
        <f>#REF!</f>
        <v>#REF!</v>
      </c>
    </row>
    <row r="83" spans="1:7" hidden="1" x14ac:dyDescent="0.55000000000000004">
      <c r="A83" s="5">
        <f t="shared" si="6"/>
        <v>19.25</v>
      </c>
      <c r="B83" s="4">
        <f t="shared" si="7"/>
        <v>0</v>
      </c>
      <c r="C83" s="14" t="e">
        <f>#REF!</f>
        <v>#REF!</v>
      </c>
      <c r="D83" s="14" t="e">
        <f>#REF!+1.5</f>
        <v>#REF!</v>
      </c>
      <c r="E83" s="14" t="e">
        <f>#REF!+1.5</f>
        <v>#REF!</v>
      </c>
      <c r="F83" s="14" t="e">
        <f>#REF!+1.5</f>
        <v>#REF!</v>
      </c>
      <c r="G83" s="14" t="e">
        <f>#REF!</f>
        <v>#REF!</v>
      </c>
    </row>
    <row r="84" spans="1:7" hidden="1" x14ac:dyDescent="0.55000000000000004">
      <c r="A84" s="5">
        <f t="shared" si="6"/>
        <v>19.5</v>
      </c>
      <c r="B84" s="4">
        <f t="shared" si="7"/>
        <v>0</v>
      </c>
      <c r="C84" s="14" t="e">
        <f>#REF!</f>
        <v>#REF!</v>
      </c>
      <c r="D84" s="14" t="e">
        <f>#REF!+1.5</f>
        <v>#REF!</v>
      </c>
      <c r="E84" s="14" t="e">
        <f>#REF!+1.5</f>
        <v>#REF!</v>
      </c>
      <c r="F84" s="14" t="e">
        <f>#REF!+1.5</f>
        <v>#REF!</v>
      </c>
      <c r="G84" s="14" t="e">
        <f>#REF!</f>
        <v>#REF!</v>
      </c>
    </row>
    <row r="85" spans="1:7" hidden="1" x14ac:dyDescent="0.55000000000000004">
      <c r="A85" s="5">
        <f t="shared" si="6"/>
        <v>19.75</v>
      </c>
      <c r="B85" s="4">
        <f t="shared" si="7"/>
        <v>0</v>
      </c>
      <c r="C85" s="14" t="e">
        <f>#REF!</f>
        <v>#REF!</v>
      </c>
      <c r="D85" s="14" t="e">
        <f>#REF!+1.5</f>
        <v>#REF!</v>
      </c>
      <c r="E85" s="14" t="e">
        <f>#REF!+1.5</f>
        <v>#REF!</v>
      </c>
      <c r="F85" s="14" t="e">
        <f>#REF!+1.5</f>
        <v>#REF!</v>
      </c>
      <c r="G85" s="14" t="e">
        <f>#REF!</f>
        <v>#REF!</v>
      </c>
    </row>
    <row r="86" spans="1:7" hidden="1" x14ac:dyDescent="0.55000000000000004">
      <c r="A86" s="5">
        <f t="shared" si="6"/>
        <v>20</v>
      </c>
      <c r="B86" s="4">
        <f t="shared" si="7"/>
        <v>0</v>
      </c>
      <c r="C86" s="14" t="e">
        <f>#REF!</f>
        <v>#REF!</v>
      </c>
      <c r="D86" s="14" t="e">
        <f>#REF!+1.5</f>
        <v>#REF!</v>
      </c>
      <c r="E86" s="14" t="e">
        <f>#REF!+1.5</f>
        <v>#REF!</v>
      </c>
      <c r="F86" s="14" t="e">
        <f>#REF!+1.5</f>
        <v>#REF!</v>
      </c>
      <c r="G86" s="14" t="e">
        <f>#REF!</f>
        <v>#REF!</v>
      </c>
    </row>
    <row r="87" spans="1:7" hidden="1" x14ac:dyDescent="0.55000000000000004">
      <c r="A87" s="5">
        <f t="shared" si="6"/>
        <v>20.25</v>
      </c>
      <c r="B87" s="4">
        <f t="shared" si="7"/>
        <v>0</v>
      </c>
      <c r="C87" s="14" t="e">
        <f>#REF!</f>
        <v>#REF!</v>
      </c>
      <c r="D87" s="14" t="e">
        <f>#REF!+1.5</f>
        <v>#REF!</v>
      </c>
      <c r="E87" s="14" t="e">
        <f>#REF!+1.5</f>
        <v>#REF!</v>
      </c>
      <c r="F87" s="14" t="e">
        <f>#REF!+1.5</f>
        <v>#REF!</v>
      </c>
      <c r="G87" s="14" t="e">
        <f>#REF!</f>
        <v>#REF!</v>
      </c>
    </row>
    <row r="88" spans="1:7" hidden="1" x14ac:dyDescent="0.55000000000000004">
      <c r="A88" s="5">
        <f t="shared" si="6"/>
        <v>20.5</v>
      </c>
      <c r="B88" s="4">
        <f t="shared" si="7"/>
        <v>0</v>
      </c>
      <c r="C88" s="14" t="e">
        <f>#REF!</f>
        <v>#REF!</v>
      </c>
      <c r="D88" s="14" t="e">
        <f>#REF!+1.5</f>
        <v>#REF!</v>
      </c>
      <c r="E88" s="14" t="e">
        <f>#REF!+1.5</f>
        <v>#REF!</v>
      </c>
      <c r="F88" s="14" t="e">
        <f>#REF!+1.5</f>
        <v>#REF!</v>
      </c>
      <c r="G88" s="14" t="e">
        <f>#REF!</f>
        <v>#REF!</v>
      </c>
    </row>
    <row r="89" spans="1:7" hidden="1" x14ac:dyDescent="0.55000000000000004">
      <c r="A89" s="5">
        <f t="shared" si="6"/>
        <v>20.75</v>
      </c>
      <c r="B89" s="4">
        <f t="shared" si="7"/>
        <v>0</v>
      </c>
      <c r="C89" s="14" t="e">
        <f>#REF!</f>
        <v>#REF!</v>
      </c>
      <c r="D89" s="14" t="e">
        <f>#REF!+1.5</f>
        <v>#REF!</v>
      </c>
      <c r="E89" s="14" t="e">
        <f>#REF!+1.5</f>
        <v>#REF!</v>
      </c>
      <c r="F89" s="14" t="e">
        <f>#REF!+1.5</f>
        <v>#REF!</v>
      </c>
      <c r="G89" s="14" t="e">
        <f>#REF!</f>
        <v>#REF!</v>
      </c>
    </row>
    <row r="90" spans="1:7" hidden="1" x14ac:dyDescent="0.55000000000000004">
      <c r="A90" s="5">
        <f t="shared" si="6"/>
        <v>21</v>
      </c>
      <c r="B90" s="4">
        <f t="shared" si="7"/>
        <v>0</v>
      </c>
      <c r="C90" s="14" t="e">
        <f>#REF!</f>
        <v>#REF!</v>
      </c>
      <c r="D90" s="14" t="e">
        <f>#REF!+1.5</f>
        <v>#REF!</v>
      </c>
      <c r="E90" s="14" t="e">
        <f>#REF!+1.5</f>
        <v>#REF!</v>
      </c>
      <c r="F90" s="14" t="e">
        <f>#REF!+1.5</f>
        <v>#REF!</v>
      </c>
      <c r="G90" s="14" t="e">
        <f>#REF!</f>
        <v>#REF!</v>
      </c>
    </row>
    <row r="91" spans="1:7" hidden="1" x14ac:dyDescent="0.55000000000000004">
      <c r="A91" s="5">
        <f t="shared" si="6"/>
        <v>21.25</v>
      </c>
      <c r="B91" s="4">
        <f t="shared" si="7"/>
        <v>0</v>
      </c>
      <c r="C91" s="14" t="e">
        <f>#REF!</f>
        <v>#REF!</v>
      </c>
      <c r="D91" s="14" t="e">
        <f>#REF!+1.5</f>
        <v>#REF!</v>
      </c>
      <c r="E91" s="14" t="e">
        <f>#REF!+1.5</f>
        <v>#REF!</v>
      </c>
      <c r="F91" s="14" t="e">
        <f>#REF!+1.5</f>
        <v>#REF!</v>
      </c>
      <c r="G91" s="14" t="e">
        <f>#REF!</f>
        <v>#REF!</v>
      </c>
    </row>
    <row r="92" spans="1:7" hidden="1" x14ac:dyDescent="0.55000000000000004">
      <c r="A92" s="5">
        <f t="shared" si="6"/>
        <v>21.5</v>
      </c>
      <c r="B92" s="4">
        <f t="shared" si="7"/>
        <v>0</v>
      </c>
      <c r="C92" s="14" t="e">
        <f>#REF!</f>
        <v>#REF!</v>
      </c>
      <c r="D92" s="14" t="e">
        <f>#REF!+1.5</f>
        <v>#REF!</v>
      </c>
      <c r="E92" s="14" t="e">
        <f>#REF!+1.5</f>
        <v>#REF!</v>
      </c>
      <c r="F92" s="14" t="e">
        <f>#REF!+1.5</f>
        <v>#REF!</v>
      </c>
      <c r="G92" s="14" t="e">
        <f>#REF!</f>
        <v>#REF!</v>
      </c>
    </row>
    <row r="93" spans="1:7" hidden="1" x14ac:dyDescent="0.55000000000000004">
      <c r="A93" s="5">
        <f t="shared" si="6"/>
        <v>21.75</v>
      </c>
      <c r="B93" s="4">
        <f t="shared" si="7"/>
        <v>0</v>
      </c>
      <c r="C93" s="14" t="e">
        <f>#REF!</f>
        <v>#REF!</v>
      </c>
      <c r="D93" s="14" t="e">
        <f>#REF!+1.5</f>
        <v>#REF!</v>
      </c>
      <c r="E93" s="14" t="e">
        <f>#REF!+1.5</f>
        <v>#REF!</v>
      </c>
      <c r="F93" s="14" t="e">
        <f>#REF!+1.5</f>
        <v>#REF!</v>
      </c>
      <c r="G93" s="14" t="e">
        <f>#REF!</f>
        <v>#REF!</v>
      </c>
    </row>
    <row r="94" spans="1:7" hidden="1" x14ac:dyDescent="0.55000000000000004">
      <c r="A94" s="5">
        <f t="shared" si="6"/>
        <v>22</v>
      </c>
      <c r="B94" s="4">
        <f t="shared" si="7"/>
        <v>0</v>
      </c>
      <c r="C94" s="14" t="e">
        <f>#REF!</f>
        <v>#REF!</v>
      </c>
      <c r="D94" s="14" t="e">
        <f>#REF!+1.5</f>
        <v>#REF!</v>
      </c>
      <c r="E94" s="14" t="e">
        <f>#REF!+1.5</f>
        <v>#REF!</v>
      </c>
      <c r="F94" s="14" t="e">
        <f>#REF!+1.5</f>
        <v>#REF!</v>
      </c>
      <c r="G94" s="14" t="e">
        <f>#REF!</f>
        <v>#REF!</v>
      </c>
    </row>
    <row r="95" spans="1:7" hidden="1" x14ac:dyDescent="0.55000000000000004">
      <c r="A95" s="5">
        <f t="shared" si="6"/>
        <v>22.25</v>
      </c>
      <c r="B95" s="4">
        <f t="shared" si="7"/>
        <v>0</v>
      </c>
      <c r="C95" s="14" t="e">
        <f>#REF!</f>
        <v>#REF!</v>
      </c>
      <c r="D95" s="14" t="e">
        <f>#REF!+1.5</f>
        <v>#REF!</v>
      </c>
      <c r="E95" s="14" t="e">
        <f>#REF!+1.5</f>
        <v>#REF!</v>
      </c>
      <c r="F95" s="14" t="e">
        <f>#REF!+1.5</f>
        <v>#REF!</v>
      </c>
      <c r="G95" s="14" t="e">
        <f>#REF!</f>
        <v>#REF!</v>
      </c>
    </row>
    <row r="96" spans="1:7" hidden="1" x14ac:dyDescent="0.55000000000000004">
      <c r="A96" s="5">
        <f t="shared" si="6"/>
        <v>22.5</v>
      </c>
      <c r="B96" s="4">
        <f t="shared" si="7"/>
        <v>0</v>
      </c>
      <c r="C96" s="14" t="e">
        <f>#REF!</f>
        <v>#REF!</v>
      </c>
      <c r="D96" s="14" t="e">
        <f>#REF!+1.5</f>
        <v>#REF!</v>
      </c>
      <c r="E96" s="14" t="e">
        <f>#REF!+1.5</f>
        <v>#REF!</v>
      </c>
      <c r="F96" s="14" t="e">
        <f>#REF!+1.5</f>
        <v>#REF!</v>
      </c>
      <c r="G96" s="14" t="e">
        <f>#REF!</f>
        <v>#REF!</v>
      </c>
    </row>
    <row r="97" spans="1:7" hidden="1" x14ac:dyDescent="0.55000000000000004">
      <c r="A97" s="5">
        <f t="shared" si="6"/>
        <v>22.75</v>
      </c>
      <c r="B97" s="4">
        <f t="shared" si="7"/>
        <v>0</v>
      </c>
      <c r="C97" s="14" t="e">
        <f>#REF!</f>
        <v>#REF!</v>
      </c>
      <c r="D97" s="14" t="e">
        <f>#REF!+1.5</f>
        <v>#REF!</v>
      </c>
      <c r="E97" s="14" t="e">
        <f>#REF!+1.5</f>
        <v>#REF!</v>
      </c>
      <c r="F97" s="14" t="e">
        <f>#REF!+1.5</f>
        <v>#REF!</v>
      </c>
      <c r="G97" s="14" t="e">
        <f>#REF!</f>
        <v>#REF!</v>
      </c>
    </row>
    <row r="98" spans="1:7" hidden="1" x14ac:dyDescent="0.55000000000000004">
      <c r="A98" s="5">
        <f t="shared" si="6"/>
        <v>23</v>
      </c>
      <c r="B98" s="4">
        <f t="shared" si="7"/>
        <v>0</v>
      </c>
      <c r="C98" s="14" t="e">
        <f>#REF!</f>
        <v>#REF!</v>
      </c>
      <c r="D98" s="14" t="e">
        <f>#REF!+1.5</f>
        <v>#REF!</v>
      </c>
      <c r="E98" s="14" t="e">
        <f>#REF!+1.5</f>
        <v>#REF!</v>
      </c>
      <c r="F98" s="14" t="e">
        <f>#REF!+1.5</f>
        <v>#REF!</v>
      </c>
      <c r="G98" s="14" t="e">
        <f>#REF!</f>
        <v>#REF!</v>
      </c>
    </row>
    <row r="99" spans="1:7" hidden="1" x14ac:dyDescent="0.55000000000000004">
      <c r="A99" s="5">
        <f t="shared" si="6"/>
        <v>23.25</v>
      </c>
      <c r="B99" s="4">
        <f t="shared" si="7"/>
        <v>0</v>
      </c>
      <c r="C99" s="14" t="e">
        <f>#REF!</f>
        <v>#REF!</v>
      </c>
      <c r="D99" s="14" t="e">
        <f>#REF!+1.5</f>
        <v>#REF!</v>
      </c>
      <c r="E99" s="14" t="e">
        <f>#REF!+1.5</f>
        <v>#REF!</v>
      </c>
      <c r="F99" s="14" t="e">
        <f>#REF!+1.5</f>
        <v>#REF!</v>
      </c>
      <c r="G99" s="14" t="e">
        <f>#REF!</f>
        <v>#REF!</v>
      </c>
    </row>
    <row r="100" spans="1:7" hidden="1" x14ac:dyDescent="0.55000000000000004">
      <c r="A100" s="5">
        <f t="shared" si="6"/>
        <v>23.5</v>
      </c>
      <c r="B100" s="4">
        <f t="shared" si="7"/>
        <v>0</v>
      </c>
      <c r="C100" s="14" t="e">
        <f>#REF!</f>
        <v>#REF!</v>
      </c>
      <c r="D100" s="14" t="e">
        <f>#REF!+1.5</f>
        <v>#REF!</v>
      </c>
      <c r="E100" s="14" t="e">
        <f>#REF!+1.5</f>
        <v>#REF!</v>
      </c>
      <c r="F100" s="14" t="e">
        <f>#REF!+1.5</f>
        <v>#REF!</v>
      </c>
      <c r="G100" s="14" t="e">
        <f>#REF!</f>
        <v>#REF!</v>
      </c>
    </row>
    <row r="101" spans="1:7" hidden="1" x14ac:dyDescent="0.55000000000000004">
      <c r="A101" s="5">
        <f t="shared" si="6"/>
        <v>23.75</v>
      </c>
      <c r="B101" s="4">
        <f t="shared" si="7"/>
        <v>0</v>
      </c>
      <c r="C101" s="14" t="e">
        <f>#REF!</f>
        <v>#REF!</v>
      </c>
      <c r="D101" s="14" t="e">
        <f>#REF!+1.5</f>
        <v>#REF!</v>
      </c>
      <c r="E101" s="14" t="e">
        <f>#REF!+1.5</f>
        <v>#REF!</v>
      </c>
      <c r="F101" s="14" t="e">
        <f>#REF!+1.5</f>
        <v>#REF!</v>
      </c>
      <c r="G101" s="14" t="e">
        <f>#REF!</f>
        <v>#REF!</v>
      </c>
    </row>
    <row r="102" spans="1:7" hidden="1" x14ac:dyDescent="0.55000000000000004">
      <c r="A102" s="5">
        <f t="shared" si="6"/>
        <v>24</v>
      </c>
      <c r="B102" s="4">
        <f t="shared" si="7"/>
        <v>0</v>
      </c>
      <c r="C102" s="14" t="e">
        <f>#REF!</f>
        <v>#REF!</v>
      </c>
      <c r="D102" s="14" t="e">
        <f>#REF!+1.5</f>
        <v>#REF!</v>
      </c>
      <c r="E102" s="14" t="e">
        <f>#REF!+1.5</f>
        <v>#REF!</v>
      </c>
      <c r="F102" s="14" t="e">
        <f>#REF!+1.5</f>
        <v>#REF!</v>
      </c>
      <c r="G102" s="14" t="e">
        <f>#REF!</f>
        <v>#REF!</v>
      </c>
    </row>
    <row r="103" spans="1:7" hidden="1" x14ac:dyDescent="0.55000000000000004">
      <c r="A103" s="5">
        <f t="shared" si="6"/>
        <v>24.25</v>
      </c>
      <c r="B103" s="4">
        <f t="shared" si="7"/>
        <v>0</v>
      </c>
      <c r="C103" s="14" t="e">
        <f>#REF!</f>
        <v>#REF!</v>
      </c>
      <c r="D103" s="14" t="e">
        <f>#REF!+1.5</f>
        <v>#REF!</v>
      </c>
      <c r="E103" s="14" t="e">
        <f>#REF!+1.5</f>
        <v>#REF!</v>
      </c>
      <c r="F103" s="14" t="e">
        <f>#REF!+1.5</f>
        <v>#REF!</v>
      </c>
      <c r="G103" s="14" t="e">
        <f>#REF!</f>
        <v>#REF!</v>
      </c>
    </row>
    <row r="104" spans="1:7" hidden="1" x14ac:dyDescent="0.55000000000000004">
      <c r="A104" s="5">
        <f t="shared" si="6"/>
        <v>24.5</v>
      </c>
      <c r="B104" s="4">
        <f t="shared" si="7"/>
        <v>0</v>
      </c>
      <c r="C104" s="14" t="e">
        <f>#REF!</f>
        <v>#REF!</v>
      </c>
      <c r="D104" s="14" t="e">
        <f>#REF!+1.5</f>
        <v>#REF!</v>
      </c>
      <c r="E104" s="14" t="e">
        <f>#REF!+1.5</f>
        <v>#REF!</v>
      </c>
      <c r="F104" s="14" t="e">
        <f>#REF!+1.5</f>
        <v>#REF!</v>
      </c>
      <c r="G104" s="14" t="e">
        <f>#REF!</f>
        <v>#REF!</v>
      </c>
    </row>
    <row r="105" spans="1:7" hidden="1" x14ac:dyDescent="0.55000000000000004">
      <c r="A105" s="5">
        <f t="shared" si="6"/>
        <v>24.75</v>
      </c>
      <c r="B105" s="4">
        <f t="shared" si="7"/>
        <v>0</v>
      </c>
      <c r="C105" s="14" t="e">
        <f>#REF!</f>
        <v>#REF!</v>
      </c>
      <c r="D105" s="14" t="e">
        <f>#REF!+1.5</f>
        <v>#REF!</v>
      </c>
      <c r="E105" s="14" t="e">
        <f>#REF!+1.5</f>
        <v>#REF!</v>
      </c>
      <c r="F105" s="14" t="e">
        <f>#REF!+1.5</f>
        <v>#REF!</v>
      </c>
      <c r="G105" s="14" t="e">
        <f>#REF!</f>
        <v>#REF!</v>
      </c>
    </row>
    <row r="106" spans="1:7" hidden="1" x14ac:dyDescent="0.55000000000000004">
      <c r="A106" s="5">
        <f t="shared" si="6"/>
        <v>25</v>
      </c>
      <c r="B106" s="4">
        <f t="shared" si="7"/>
        <v>0</v>
      </c>
      <c r="C106" s="14" t="e">
        <f>#REF!</f>
        <v>#REF!</v>
      </c>
      <c r="D106" s="14" t="e">
        <f>#REF!+1.5</f>
        <v>#REF!</v>
      </c>
      <c r="E106" s="14" t="e">
        <f>#REF!+1.5</f>
        <v>#REF!</v>
      </c>
      <c r="F106" s="14" t="e">
        <f>#REF!+1.5</f>
        <v>#REF!</v>
      </c>
      <c r="G106" s="14" t="e">
        <f>#REF!</f>
        <v>#REF!</v>
      </c>
    </row>
    <row r="107" spans="1:7" hidden="1" x14ac:dyDescent="0.55000000000000004">
      <c r="A107" s="5">
        <f t="shared" si="6"/>
        <v>25.25</v>
      </c>
      <c r="B107" s="4">
        <f t="shared" si="7"/>
        <v>0</v>
      </c>
      <c r="C107" s="14" t="e">
        <f>#REF!</f>
        <v>#REF!</v>
      </c>
      <c r="D107" s="14" t="e">
        <f>#REF!+1.5</f>
        <v>#REF!</v>
      </c>
      <c r="E107" s="14" t="e">
        <f>#REF!+1.5</f>
        <v>#REF!</v>
      </c>
      <c r="F107" s="14" t="e">
        <f>#REF!+1.5</f>
        <v>#REF!</v>
      </c>
      <c r="G107" s="14" t="e">
        <f>#REF!</f>
        <v>#REF!</v>
      </c>
    </row>
    <row r="108" spans="1:7" hidden="1" x14ac:dyDescent="0.55000000000000004">
      <c r="A108" s="5">
        <f t="shared" si="6"/>
        <v>25.5</v>
      </c>
      <c r="B108" s="4">
        <f t="shared" si="7"/>
        <v>0</v>
      </c>
      <c r="C108" s="14" t="e">
        <f>#REF!</f>
        <v>#REF!</v>
      </c>
      <c r="D108" s="14" t="e">
        <f>#REF!+1.5</f>
        <v>#REF!</v>
      </c>
      <c r="E108" s="14" t="e">
        <f>#REF!+1.5</f>
        <v>#REF!</v>
      </c>
      <c r="F108" s="14" t="e">
        <f>#REF!+1.5</f>
        <v>#REF!</v>
      </c>
      <c r="G108" s="14" t="e">
        <f>#REF!</f>
        <v>#REF!</v>
      </c>
    </row>
    <row r="109" spans="1:7" hidden="1" x14ac:dyDescent="0.55000000000000004">
      <c r="A109" s="5">
        <f t="shared" si="6"/>
        <v>25.75</v>
      </c>
      <c r="B109" s="4">
        <f t="shared" si="7"/>
        <v>0</v>
      </c>
      <c r="C109" s="14" t="e">
        <f>#REF!</f>
        <v>#REF!</v>
      </c>
      <c r="D109" s="14" t="e">
        <f>#REF!+1.5</f>
        <v>#REF!</v>
      </c>
      <c r="E109" s="14" t="e">
        <f>#REF!+1.5</f>
        <v>#REF!</v>
      </c>
      <c r="F109" s="14" t="e">
        <f>#REF!+1.5</f>
        <v>#REF!</v>
      </c>
      <c r="G109" s="14" t="e">
        <f>#REF!</f>
        <v>#REF!</v>
      </c>
    </row>
    <row r="110" spans="1:7" hidden="1" x14ac:dyDescent="0.55000000000000004">
      <c r="A110" s="5">
        <f t="shared" si="6"/>
        <v>26</v>
      </c>
      <c r="B110" s="4">
        <f t="shared" si="7"/>
        <v>0</v>
      </c>
      <c r="C110" s="14" t="e">
        <f>#REF!</f>
        <v>#REF!</v>
      </c>
      <c r="D110" s="14" t="e">
        <f>#REF!+1.5</f>
        <v>#REF!</v>
      </c>
      <c r="E110" s="14" t="e">
        <f>#REF!+1.5</f>
        <v>#REF!</v>
      </c>
      <c r="F110" s="14" t="e">
        <f>#REF!+1.5</f>
        <v>#REF!</v>
      </c>
      <c r="G110" s="14" t="e">
        <f>#REF!</f>
        <v>#REF!</v>
      </c>
    </row>
    <row r="111" spans="1:7" hidden="1" x14ac:dyDescent="0.55000000000000004">
      <c r="A111" s="5">
        <f t="shared" si="6"/>
        <v>26.25</v>
      </c>
      <c r="B111" s="4">
        <f t="shared" si="7"/>
        <v>0</v>
      </c>
      <c r="C111" s="14" t="e">
        <f>#REF!</f>
        <v>#REF!</v>
      </c>
      <c r="D111" s="14" t="e">
        <f>#REF!+1.5</f>
        <v>#REF!</v>
      </c>
      <c r="E111" s="14" t="e">
        <f>#REF!+1.5</f>
        <v>#REF!</v>
      </c>
      <c r="F111" s="14" t="e">
        <f>#REF!+1.5</f>
        <v>#REF!</v>
      </c>
      <c r="G111" s="14" t="e">
        <f>#REF!</f>
        <v>#REF!</v>
      </c>
    </row>
    <row r="112" spans="1:7" hidden="1" x14ac:dyDescent="0.55000000000000004">
      <c r="A112" s="5">
        <f t="shared" si="6"/>
        <v>26.5</v>
      </c>
      <c r="B112" s="4">
        <f t="shared" si="7"/>
        <v>0</v>
      </c>
      <c r="C112" s="14" t="e">
        <f>#REF!</f>
        <v>#REF!</v>
      </c>
      <c r="D112" s="14" t="e">
        <f>#REF!+1.5</f>
        <v>#REF!</v>
      </c>
      <c r="E112" s="14" t="e">
        <f>#REF!+1.5</f>
        <v>#REF!</v>
      </c>
      <c r="F112" s="14" t="e">
        <f>#REF!+1.5</f>
        <v>#REF!</v>
      </c>
      <c r="G112" s="14" t="e">
        <f>#REF!</f>
        <v>#REF!</v>
      </c>
    </row>
    <row r="113" spans="1:7" hidden="1" x14ac:dyDescent="0.55000000000000004">
      <c r="A113" s="5">
        <f t="shared" si="6"/>
        <v>26.75</v>
      </c>
      <c r="B113" s="4">
        <f t="shared" si="7"/>
        <v>0</v>
      </c>
      <c r="C113" s="14" t="e">
        <f>#REF!</f>
        <v>#REF!</v>
      </c>
      <c r="D113" s="14" t="e">
        <f>#REF!+1.5</f>
        <v>#REF!</v>
      </c>
      <c r="E113" s="14" t="e">
        <f>#REF!+1.5</f>
        <v>#REF!</v>
      </c>
      <c r="F113" s="14" t="e">
        <f>#REF!+1.5</f>
        <v>#REF!</v>
      </c>
      <c r="G113" s="14" t="e">
        <f>#REF!</f>
        <v>#REF!</v>
      </c>
    </row>
    <row r="114" spans="1:7" hidden="1" x14ac:dyDescent="0.55000000000000004">
      <c r="A114" s="5">
        <f t="shared" si="6"/>
        <v>27</v>
      </c>
      <c r="B114" s="4">
        <f t="shared" si="7"/>
        <v>0</v>
      </c>
      <c r="C114" s="14" t="e">
        <f>#REF!</f>
        <v>#REF!</v>
      </c>
      <c r="D114" s="14" t="e">
        <f>#REF!+1.5</f>
        <v>#REF!</v>
      </c>
      <c r="E114" s="14" t="e">
        <f>#REF!+1.5</f>
        <v>#REF!</v>
      </c>
      <c r="F114" s="14" t="e">
        <f>#REF!+1.5</f>
        <v>#REF!</v>
      </c>
      <c r="G114" s="14" t="e">
        <f>#REF!</f>
        <v>#REF!</v>
      </c>
    </row>
    <row r="115" spans="1:7" hidden="1" x14ac:dyDescent="0.55000000000000004">
      <c r="A115" s="5">
        <f t="shared" si="6"/>
        <v>27.25</v>
      </c>
      <c r="B115" s="4">
        <f t="shared" si="7"/>
        <v>0</v>
      </c>
      <c r="C115" s="14" t="e">
        <f>#REF!</f>
        <v>#REF!</v>
      </c>
      <c r="D115" s="14" t="e">
        <f>#REF!+1.5</f>
        <v>#REF!</v>
      </c>
      <c r="E115" s="14" t="e">
        <f>#REF!+1.5</f>
        <v>#REF!</v>
      </c>
      <c r="F115" s="14" t="e">
        <f>#REF!+1.5</f>
        <v>#REF!</v>
      </c>
      <c r="G115" s="14" t="e">
        <f>#REF!</f>
        <v>#REF!</v>
      </c>
    </row>
    <row r="116" spans="1:7" hidden="1" x14ac:dyDescent="0.55000000000000004">
      <c r="A116" s="5">
        <f t="shared" si="6"/>
        <v>27.5</v>
      </c>
      <c r="B116" s="4">
        <f t="shared" si="7"/>
        <v>0</v>
      </c>
      <c r="C116" s="14" t="e">
        <f>#REF!</f>
        <v>#REF!</v>
      </c>
      <c r="D116" s="14" t="e">
        <f>#REF!+1.5</f>
        <v>#REF!</v>
      </c>
      <c r="E116" s="14" t="e">
        <f>#REF!+1.5</f>
        <v>#REF!</v>
      </c>
      <c r="F116" s="14" t="e">
        <f>#REF!+1.5</f>
        <v>#REF!</v>
      </c>
      <c r="G116" s="14" t="e">
        <f>#REF!</f>
        <v>#REF!</v>
      </c>
    </row>
    <row r="117" spans="1:7" hidden="1" x14ac:dyDescent="0.55000000000000004">
      <c r="A117" s="5">
        <f t="shared" si="6"/>
        <v>27.75</v>
      </c>
      <c r="B117" s="4">
        <f t="shared" si="7"/>
        <v>0</v>
      </c>
      <c r="C117" s="14" t="e">
        <f>#REF!</f>
        <v>#REF!</v>
      </c>
      <c r="D117" s="14" t="e">
        <f>#REF!+1.5</f>
        <v>#REF!</v>
      </c>
      <c r="E117" s="14" t="e">
        <f>#REF!+1.5</f>
        <v>#REF!</v>
      </c>
      <c r="F117" s="14" t="e">
        <f>#REF!+1.5</f>
        <v>#REF!</v>
      </c>
      <c r="G117" s="14" t="e">
        <f>#REF!</f>
        <v>#REF!</v>
      </c>
    </row>
    <row r="118" spans="1:7" hidden="1" x14ac:dyDescent="0.55000000000000004">
      <c r="A118" s="5">
        <f t="shared" si="6"/>
        <v>28</v>
      </c>
      <c r="B118" s="4">
        <f t="shared" si="7"/>
        <v>0</v>
      </c>
      <c r="C118" s="14" t="e">
        <f>#REF!</f>
        <v>#REF!</v>
      </c>
      <c r="D118" s="14" t="e">
        <f>#REF!+1.5</f>
        <v>#REF!</v>
      </c>
      <c r="E118" s="14" t="e">
        <f>#REF!+1.5</f>
        <v>#REF!</v>
      </c>
      <c r="F118" s="14" t="e">
        <f>#REF!+1.5</f>
        <v>#REF!</v>
      </c>
      <c r="G118" s="14" t="e">
        <f>#REF!</f>
        <v>#REF!</v>
      </c>
    </row>
    <row r="119" spans="1:7" hidden="1" x14ac:dyDescent="0.55000000000000004">
      <c r="A119" s="5">
        <f t="shared" si="6"/>
        <v>28.25</v>
      </c>
      <c r="B119" s="4">
        <f t="shared" si="7"/>
        <v>0</v>
      </c>
      <c r="C119" s="14" t="e">
        <f>#REF!</f>
        <v>#REF!</v>
      </c>
      <c r="D119" s="14" t="e">
        <f>#REF!+1.5</f>
        <v>#REF!</v>
      </c>
      <c r="E119" s="14" t="e">
        <f>#REF!+1.5</f>
        <v>#REF!</v>
      </c>
      <c r="F119" s="14" t="e">
        <f>#REF!+1.5</f>
        <v>#REF!</v>
      </c>
      <c r="G119" s="14" t="e">
        <f>#REF!</f>
        <v>#REF!</v>
      </c>
    </row>
    <row r="120" spans="1:7" hidden="1" x14ac:dyDescent="0.55000000000000004">
      <c r="A120" s="5">
        <f t="shared" si="6"/>
        <v>28.5</v>
      </c>
      <c r="B120" s="4">
        <f t="shared" si="7"/>
        <v>0</v>
      </c>
      <c r="C120" s="14" t="e">
        <f>#REF!</f>
        <v>#REF!</v>
      </c>
      <c r="D120" s="14" t="e">
        <f>#REF!+1.5</f>
        <v>#REF!</v>
      </c>
      <c r="E120" s="14" t="e">
        <f>#REF!+1.5</f>
        <v>#REF!</v>
      </c>
      <c r="F120" s="14" t="e">
        <f>#REF!+1.5</f>
        <v>#REF!</v>
      </c>
      <c r="G120" s="14" t="e">
        <f>#REF!</f>
        <v>#REF!</v>
      </c>
    </row>
    <row r="121" spans="1:7" hidden="1" x14ac:dyDescent="0.55000000000000004">
      <c r="A121" s="5">
        <f t="shared" si="6"/>
        <v>28.75</v>
      </c>
      <c r="B121" s="4">
        <f t="shared" si="7"/>
        <v>0</v>
      </c>
      <c r="C121" s="14" t="e">
        <f>#REF!</f>
        <v>#REF!</v>
      </c>
      <c r="D121" s="14" t="e">
        <f>#REF!+1.5</f>
        <v>#REF!</v>
      </c>
      <c r="E121" s="14" t="e">
        <f>#REF!+1.5</f>
        <v>#REF!</v>
      </c>
      <c r="F121" s="14" t="e">
        <f>#REF!+1.5</f>
        <v>#REF!</v>
      </c>
      <c r="G121" s="14" t="e">
        <f>#REF!</f>
        <v>#REF!</v>
      </c>
    </row>
    <row r="122" spans="1:7" hidden="1" x14ac:dyDescent="0.55000000000000004">
      <c r="A122" s="5">
        <f t="shared" si="6"/>
        <v>29</v>
      </c>
      <c r="B122" s="4">
        <f t="shared" si="7"/>
        <v>0</v>
      </c>
      <c r="C122" s="14" t="e">
        <f>#REF!</f>
        <v>#REF!</v>
      </c>
      <c r="D122" s="14" t="e">
        <f>#REF!+1.5</f>
        <v>#REF!</v>
      </c>
      <c r="E122" s="14" t="e">
        <f>#REF!+1.5</f>
        <v>#REF!</v>
      </c>
      <c r="F122" s="14" t="e">
        <f>#REF!+1.5</f>
        <v>#REF!</v>
      </c>
      <c r="G122" s="14" t="e">
        <f>#REF!</f>
        <v>#REF!</v>
      </c>
    </row>
    <row r="123" spans="1:7" hidden="1" x14ac:dyDescent="0.55000000000000004">
      <c r="A123" s="5">
        <f t="shared" si="6"/>
        <v>29.25</v>
      </c>
      <c r="B123" s="4">
        <f t="shared" si="7"/>
        <v>0</v>
      </c>
      <c r="C123" s="14" t="e">
        <f>#REF!</f>
        <v>#REF!</v>
      </c>
      <c r="D123" s="14" t="e">
        <f>#REF!+1.5</f>
        <v>#REF!</v>
      </c>
      <c r="E123" s="14" t="e">
        <f>#REF!+1.5</f>
        <v>#REF!</v>
      </c>
      <c r="F123" s="14" t="e">
        <f>#REF!+1.5</f>
        <v>#REF!</v>
      </c>
      <c r="G123" s="14" t="e">
        <f>#REF!</f>
        <v>#REF!</v>
      </c>
    </row>
    <row r="124" spans="1:7" hidden="1" x14ac:dyDescent="0.55000000000000004">
      <c r="A124" s="5">
        <f t="shared" si="6"/>
        <v>29.5</v>
      </c>
      <c r="B124" s="4">
        <f t="shared" si="7"/>
        <v>0</v>
      </c>
      <c r="C124" s="14" t="e">
        <f>#REF!</f>
        <v>#REF!</v>
      </c>
      <c r="D124" s="14" t="e">
        <f>#REF!+1.5</f>
        <v>#REF!</v>
      </c>
      <c r="E124" s="14" t="e">
        <f>#REF!+1.5</f>
        <v>#REF!</v>
      </c>
      <c r="F124" s="14" t="e">
        <f>#REF!+1.5</f>
        <v>#REF!</v>
      </c>
      <c r="G124" s="14" t="e">
        <f>#REF!</f>
        <v>#REF!</v>
      </c>
    </row>
    <row r="125" spans="1:7" hidden="1" x14ac:dyDescent="0.55000000000000004">
      <c r="A125" s="5">
        <f t="shared" si="6"/>
        <v>29.75</v>
      </c>
      <c r="B125" s="4">
        <f t="shared" si="7"/>
        <v>0</v>
      </c>
      <c r="C125" s="14" t="e">
        <f>#REF!</f>
        <v>#REF!</v>
      </c>
      <c r="D125" s="14" t="e">
        <f>#REF!+1.5</f>
        <v>#REF!</v>
      </c>
      <c r="E125" s="14" t="e">
        <f>#REF!+1.5</f>
        <v>#REF!</v>
      </c>
      <c r="F125" s="14" t="e">
        <f>#REF!+1.5</f>
        <v>#REF!</v>
      </c>
      <c r="G125" s="14" t="e">
        <f>#REF!</f>
        <v>#REF!</v>
      </c>
    </row>
    <row r="126" spans="1:7" hidden="1" x14ac:dyDescent="0.55000000000000004">
      <c r="A126" s="5">
        <f t="shared" si="6"/>
        <v>30</v>
      </c>
      <c r="B126" s="4">
        <f t="shared" si="7"/>
        <v>0</v>
      </c>
      <c r="C126" s="14" t="e">
        <f>#REF!</f>
        <v>#REF!</v>
      </c>
      <c r="D126" s="14" t="e">
        <f>#REF!+1.5</f>
        <v>#REF!</v>
      </c>
      <c r="E126" s="14" t="e">
        <f>#REF!+1.5</f>
        <v>#REF!</v>
      </c>
      <c r="F126" s="14" t="e">
        <f>#REF!+1.5</f>
        <v>#REF!</v>
      </c>
      <c r="G126" s="14" t="e">
        <f>#REF!</f>
        <v>#REF!</v>
      </c>
    </row>
    <row r="127" spans="1:7" hidden="1" x14ac:dyDescent="0.55000000000000004">
      <c r="A127" s="5">
        <f t="shared" si="6"/>
        <v>30.25</v>
      </c>
      <c r="B127" s="4">
        <f t="shared" si="7"/>
        <v>0</v>
      </c>
      <c r="C127" s="14" t="e">
        <f>#REF!</f>
        <v>#REF!</v>
      </c>
      <c r="D127" s="14" t="e">
        <f>#REF!+1.5</f>
        <v>#REF!</v>
      </c>
      <c r="E127" s="14" t="e">
        <f>#REF!+1.5</f>
        <v>#REF!</v>
      </c>
      <c r="F127" s="14" t="e">
        <f>#REF!+1.5</f>
        <v>#REF!</v>
      </c>
      <c r="G127" s="14" t="e">
        <f>#REF!</f>
        <v>#REF!</v>
      </c>
    </row>
    <row r="128" spans="1:7" hidden="1" x14ac:dyDescent="0.55000000000000004">
      <c r="A128" s="5">
        <f t="shared" si="6"/>
        <v>30.5</v>
      </c>
      <c r="B128" s="4">
        <f t="shared" si="7"/>
        <v>0</v>
      </c>
      <c r="C128" s="14" t="e">
        <f>#REF!</f>
        <v>#REF!</v>
      </c>
      <c r="D128" s="14" t="e">
        <f>#REF!+1.5</f>
        <v>#REF!</v>
      </c>
      <c r="E128" s="14" t="e">
        <f>#REF!+1.5</f>
        <v>#REF!</v>
      </c>
      <c r="F128" s="14" t="e">
        <f>#REF!+1.5</f>
        <v>#REF!</v>
      </c>
      <c r="G128" s="14" t="e">
        <f>#REF!</f>
        <v>#REF!</v>
      </c>
    </row>
    <row r="129" spans="1:7" hidden="1" x14ac:dyDescent="0.55000000000000004">
      <c r="A129" s="5">
        <f t="shared" si="6"/>
        <v>30.75</v>
      </c>
      <c r="B129" s="4">
        <f t="shared" si="7"/>
        <v>0</v>
      </c>
      <c r="C129" s="14" t="e">
        <f>#REF!</f>
        <v>#REF!</v>
      </c>
      <c r="D129" s="14" t="e">
        <f>#REF!+1.5</f>
        <v>#REF!</v>
      </c>
      <c r="E129" s="14" t="e">
        <f>#REF!+1.5</f>
        <v>#REF!</v>
      </c>
      <c r="F129" s="14" t="e">
        <f>#REF!+1.5</f>
        <v>#REF!</v>
      </c>
      <c r="G129" s="14" t="e">
        <f>#REF!</f>
        <v>#REF!</v>
      </c>
    </row>
    <row r="130" spans="1:7" hidden="1" x14ac:dyDescent="0.55000000000000004">
      <c r="A130" s="5">
        <f t="shared" si="6"/>
        <v>31</v>
      </c>
      <c r="B130" s="4">
        <f t="shared" si="7"/>
        <v>0</v>
      </c>
      <c r="C130" s="14" t="e">
        <f>#REF!</f>
        <v>#REF!</v>
      </c>
      <c r="D130" s="14" t="e">
        <f>#REF!+1.5</f>
        <v>#REF!</v>
      </c>
      <c r="E130" s="14" t="e">
        <f>#REF!+1.5</f>
        <v>#REF!</v>
      </c>
      <c r="F130" s="14" t="e">
        <f>#REF!+1.5</f>
        <v>#REF!</v>
      </c>
      <c r="G130" s="14" t="e">
        <f>#REF!</f>
        <v>#REF!</v>
      </c>
    </row>
    <row r="131" spans="1:7" hidden="1" x14ac:dyDescent="0.55000000000000004">
      <c r="A131" s="5">
        <f t="shared" si="6"/>
        <v>31.25</v>
      </c>
      <c r="B131" s="4">
        <f t="shared" si="7"/>
        <v>0</v>
      </c>
      <c r="C131" s="14" t="e">
        <f>#REF!</f>
        <v>#REF!</v>
      </c>
      <c r="D131" s="14" t="e">
        <f>#REF!+1.5</f>
        <v>#REF!</v>
      </c>
      <c r="E131" s="14" t="e">
        <f>#REF!+1.5</f>
        <v>#REF!</v>
      </c>
      <c r="F131" s="14" t="e">
        <f>#REF!+1.5</f>
        <v>#REF!</v>
      </c>
      <c r="G131" s="14" t="e">
        <f>#REF!</f>
        <v>#REF!</v>
      </c>
    </row>
    <row r="132" spans="1:7" hidden="1" x14ac:dyDescent="0.55000000000000004">
      <c r="A132" s="5">
        <f t="shared" ref="A132:A195" si="8">A131+0.25</f>
        <v>31.5</v>
      </c>
      <c r="B132" s="4">
        <f t="shared" ref="B132:B195" si="9">B131</f>
        <v>0</v>
      </c>
      <c r="C132" s="14" t="e">
        <f>#REF!</f>
        <v>#REF!</v>
      </c>
      <c r="D132" s="14" t="e">
        <f>#REF!+1.5</f>
        <v>#REF!</v>
      </c>
      <c r="E132" s="14" t="e">
        <f>#REF!+1.5</f>
        <v>#REF!</v>
      </c>
      <c r="F132" s="14" t="e">
        <f>#REF!+1.5</f>
        <v>#REF!</v>
      </c>
      <c r="G132" s="14" t="e">
        <f>#REF!</f>
        <v>#REF!</v>
      </c>
    </row>
    <row r="133" spans="1:7" hidden="1" x14ac:dyDescent="0.55000000000000004">
      <c r="A133" s="5">
        <f t="shared" si="8"/>
        <v>31.75</v>
      </c>
      <c r="B133" s="4">
        <f t="shared" si="9"/>
        <v>0</v>
      </c>
      <c r="C133" s="14" t="e">
        <f>#REF!</f>
        <v>#REF!</v>
      </c>
      <c r="D133" s="14" t="e">
        <f>#REF!+1.5</f>
        <v>#REF!</v>
      </c>
      <c r="E133" s="14" t="e">
        <f>#REF!+1.5</f>
        <v>#REF!</v>
      </c>
      <c r="F133" s="14" t="e">
        <f>#REF!+1.5</f>
        <v>#REF!</v>
      </c>
      <c r="G133" s="14" t="e">
        <f>#REF!</f>
        <v>#REF!</v>
      </c>
    </row>
    <row r="134" spans="1:7" hidden="1" x14ac:dyDescent="0.55000000000000004">
      <c r="A134" s="5">
        <f t="shared" si="8"/>
        <v>32</v>
      </c>
      <c r="B134" s="4">
        <f t="shared" si="9"/>
        <v>0</v>
      </c>
      <c r="C134" s="14" t="e">
        <f>#REF!</f>
        <v>#REF!</v>
      </c>
      <c r="D134" s="14" t="e">
        <f>#REF!+1.5</f>
        <v>#REF!</v>
      </c>
      <c r="E134" s="14" t="e">
        <f>#REF!+1.5</f>
        <v>#REF!</v>
      </c>
      <c r="F134" s="14" t="e">
        <f>#REF!+1.5</f>
        <v>#REF!</v>
      </c>
      <c r="G134" s="14" t="e">
        <f>#REF!</f>
        <v>#REF!</v>
      </c>
    </row>
    <row r="135" spans="1:7" hidden="1" x14ac:dyDescent="0.55000000000000004">
      <c r="A135" s="5">
        <f t="shared" si="8"/>
        <v>32.25</v>
      </c>
      <c r="B135" s="4">
        <f t="shared" si="9"/>
        <v>0</v>
      </c>
      <c r="C135" s="14" t="e">
        <f>#REF!</f>
        <v>#REF!</v>
      </c>
      <c r="D135" s="14" t="e">
        <f>#REF!+1.5</f>
        <v>#REF!</v>
      </c>
      <c r="E135" s="14" t="e">
        <f>#REF!+1.5</f>
        <v>#REF!</v>
      </c>
      <c r="F135" s="14" t="e">
        <f>#REF!+1.5</f>
        <v>#REF!</v>
      </c>
      <c r="G135" s="14" t="e">
        <f>#REF!</f>
        <v>#REF!</v>
      </c>
    </row>
    <row r="136" spans="1:7" hidden="1" x14ac:dyDescent="0.55000000000000004">
      <c r="A136" s="5">
        <f t="shared" si="8"/>
        <v>32.5</v>
      </c>
      <c r="B136" s="4">
        <f t="shared" si="9"/>
        <v>0</v>
      </c>
      <c r="C136" s="14" t="e">
        <f>#REF!</f>
        <v>#REF!</v>
      </c>
      <c r="D136" s="14" t="e">
        <f>#REF!+1.5</f>
        <v>#REF!</v>
      </c>
      <c r="E136" s="14" t="e">
        <f>#REF!+1.5</f>
        <v>#REF!</v>
      </c>
      <c r="F136" s="14" t="e">
        <f>#REF!+1.5</f>
        <v>#REF!</v>
      </c>
      <c r="G136" s="14" t="e">
        <f>#REF!</f>
        <v>#REF!</v>
      </c>
    </row>
    <row r="137" spans="1:7" hidden="1" x14ac:dyDescent="0.55000000000000004">
      <c r="A137" s="5">
        <f t="shared" si="8"/>
        <v>32.75</v>
      </c>
      <c r="B137" s="4">
        <f t="shared" si="9"/>
        <v>0</v>
      </c>
      <c r="C137" s="14" t="e">
        <f>#REF!</f>
        <v>#REF!</v>
      </c>
      <c r="D137" s="14" t="e">
        <f>#REF!+1.5</f>
        <v>#REF!</v>
      </c>
      <c r="E137" s="14" t="e">
        <f>#REF!+1.5</f>
        <v>#REF!</v>
      </c>
      <c r="F137" s="14" t="e">
        <f>#REF!+1.5</f>
        <v>#REF!</v>
      </c>
      <c r="G137" s="14" t="e">
        <f>#REF!</f>
        <v>#REF!</v>
      </c>
    </row>
    <row r="138" spans="1:7" hidden="1" x14ac:dyDescent="0.55000000000000004">
      <c r="A138" s="5">
        <f t="shared" si="8"/>
        <v>33</v>
      </c>
      <c r="B138" s="4">
        <f t="shared" si="9"/>
        <v>0</v>
      </c>
      <c r="C138" s="14" t="e">
        <f>#REF!</f>
        <v>#REF!</v>
      </c>
      <c r="D138" s="14" t="e">
        <f>#REF!+1.5</f>
        <v>#REF!</v>
      </c>
      <c r="E138" s="14" t="e">
        <f>#REF!+1.5</f>
        <v>#REF!</v>
      </c>
      <c r="F138" s="14" t="e">
        <f>#REF!+1.5</f>
        <v>#REF!</v>
      </c>
      <c r="G138" s="14" t="e">
        <f>#REF!</f>
        <v>#REF!</v>
      </c>
    </row>
    <row r="139" spans="1:7" hidden="1" x14ac:dyDescent="0.55000000000000004">
      <c r="A139" s="5">
        <f t="shared" si="8"/>
        <v>33.25</v>
      </c>
      <c r="B139" s="4">
        <f t="shared" si="9"/>
        <v>0</v>
      </c>
      <c r="C139" s="14" t="e">
        <f>#REF!</f>
        <v>#REF!</v>
      </c>
      <c r="D139" s="14" t="e">
        <f>#REF!+1.5</f>
        <v>#REF!</v>
      </c>
      <c r="E139" s="14" t="e">
        <f>#REF!+1.5</f>
        <v>#REF!</v>
      </c>
      <c r="F139" s="14" t="e">
        <f>#REF!+1.5</f>
        <v>#REF!</v>
      </c>
      <c r="G139" s="14" t="e">
        <f>#REF!</f>
        <v>#REF!</v>
      </c>
    </row>
    <row r="140" spans="1:7" hidden="1" x14ac:dyDescent="0.55000000000000004">
      <c r="A140" s="5">
        <f t="shared" si="8"/>
        <v>33.5</v>
      </c>
      <c r="B140" s="4">
        <f t="shared" si="9"/>
        <v>0</v>
      </c>
      <c r="C140" s="14" t="e">
        <f>#REF!</f>
        <v>#REF!</v>
      </c>
      <c r="D140" s="14" t="e">
        <f>#REF!+1.5</f>
        <v>#REF!</v>
      </c>
      <c r="E140" s="14" t="e">
        <f>#REF!+1.5</f>
        <v>#REF!</v>
      </c>
      <c r="F140" s="14" t="e">
        <f>#REF!+1.5</f>
        <v>#REF!</v>
      </c>
      <c r="G140" s="14" t="e">
        <f>#REF!</f>
        <v>#REF!</v>
      </c>
    </row>
    <row r="141" spans="1:7" hidden="1" x14ac:dyDescent="0.55000000000000004">
      <c r="A141" s="5">
        <f t="shared" si="8"/>
        <v>33.75</v>
      </c>
      <c r="B141" s="4">
        <f t="shared" si="9"/>
        <v>0</v>
      </c>
      <c r="C141" s="14" t="e">
        <f>#REF!</f>
        <v>#REF!</v>
      </c>
      <c r="D141" s="14" t="e">
        <f>#REF!+1.5</f>
        <v>#REF!</v>
      </c>
      <c r="E141" s="14" t="e">
        <f>#REF!+1.5</f>
        <v>#REF!</v>
      </c>
      <c r="F141" s="14" t="e">
        <f>#REF!+1.5</f>
        <v>#REF!</v>
      </c>
      <c r="G141" s="14" t="e">
        <f>#REF!</f>
        <v>#REF!</v>
      </c>
    </row>
    <row r="142" spans="1:7" hidden="1" x14ac:dyDescent="0.55000000000000004">
      <c r="A142" s="5">
        <f t="shared" si="8"/>
        <v>34</v>
      </c>
      <c r="B142" s="4">
        <f t="shared" si="9"/>
        <v>0</v>
      </c>
      <c r="C142" s="14" t="e">
        <f>#REF!</f>
        <v>#REF!</v>
      </c>
      <c r="D142" s="14" t="e">
        <f>#REF!+1.5</f>
        <v>#REF!</v>
      </c>
      <c r="E142" s="14" t="e">
        <f>#REF!+1.5</f>
        <v>#REF!</v>
      </c>
      <c r="F142" s="14" t="e">
        <f>#REF!+1.5</f>
        <v>#REF!</v>
      </c>
      <c r="G142" s="14" t="e">
        <f>#REF!</f>
        <v>#REF!</v>
      </c>
    </row>
    <row r="143" spans="1:7" hidden="1" x14ac:dyDescent="0.55000000000000004">
      <c r="A143" s="5">
        <f t="shared" si="8"/>
        <v>34.25</v>
      </c>
      <c r="B143" s="4">
        <f t="shared" si="9"/>
        <v>0</v>
      </c>
      <c r="C143" s="14" t="e">
        <f>#REF!</f>
        <v>#REF!</v>
      </c>
      <c r="D143" s="14" t="e">
        <f>#REF!+1.5</f>
        <v>#REF!</v>
      </c>
      <c r="E143" s="14" t="e">
        <f>#REF!+1.5</f>
        <v>#REF!</v>
      </c>
      <c r="F143" s="14" t="e">
        <f>#REF!+1.5</f>
        <v>#REF!</v>
      </c>
      <c r="G143" s="14" t="e">
        <f>#REF!</f>
        <v>#REF!</v>
      </c>
    </row>
    <row r="144" spans="1:7" hidden="1" x14ac:dyDescent="0.55000000000000004">
      <c r="A144" s="5">
        <f t="shared" si="8"/>
        <v>34.5</v>
      </c>
      <c r="B144" s="4">
        <f t="shared" si="9"/>
        <v>0</v>
      </c>
      <c r="C144" s="14" t="e">
        <f>#REF!</f>
        <v>#REF!</v>
      </c>
      <c r="D144" s="14" t="e">
        <f>#REF!+1.5</f>
        <v>#REF!</v>
      </c>
      <c r="E144" s="14" t="e">
        <f>#REF!+1.5</f>
        <v>#REF!</v>
      </c>
      <c r="F144" s="14" t="e">
        <f>#REF!+1.5</f>
        <v>#REF!</v>
      </c>
      <c r="G144" s="14" t="e">
        <f>#REF!</f>
        <v>#REF!</v>
      </c>
    </row>
    <row r="145" spans="1:7" hidden="1" x14ac:dyDescent="0.55000000000000004">
      <c r="A145" s="5">
        <f t="shared" si="8"/>
        <v>34.75</v>
      </c>
      <c r="B145" s="4">
        <f t="shared" si="9"/>
        <v>0</v>
      </c>
      <c r="C145" s="14" t="e">
        <f>#REF!</f>
        <v>#REF!</v>
      </c>
      <c r="D145" s="14" t="e">
        <f>#REF!+1.5</f>
        <v>#REF!</v>
      </c>
      <c r="E145" s="14" t="e">
        <f>#REF!+1.5</f>
        <v>#REF!</v>
      </c>
      <c r="F145" s="14" t="e">
        <f>#REF!+1.5</f>
        <v>#REF!</v>
      </c>
      <c r="G145" s="14" t="e">
        <f>#REF!</f>
        <v>#REF!</v>
      </c>
    </row>
    <row r="146" spans="1:7" hidden="1" x14ac:dyDescent="0.55000000000000004">
      <c r="A146" s="5">
        <f t="shared" si="8"/>
        <v>35</v>
      </c>
      <c r="B146" s="4">
        <f t="shared" si="9"/>
        <v>0</v>
      </c>
      <c r="C146" s="14" t="e">
        <f>#REF!</f>
        <v>#REF!</v>
      </c>
      <c r="D146" s="14" t="e">
        <f>#REF!+1.5</f>
        <v>#REF!</v>
      </c>
      <c r="E146" s="14" t="e">
        <f>#REF!+1.5</f>
        <v>#REF!</v>
      </c>
      <c r="F146" s="14" t="e">
        <f>#REF!+1.5</f>
        <v>#REF!</v>
      </c>
      <c r="G146" s="14" t="e">
        <f>#REF!</f>
        <v>#REF!</v>
      </c>
    </row>
    <row r="147" spans="1:7" hidden="1" x14ac:dyDescent="0.55000000000000004">
      <c r="A147" s="5">
        <f t="shared" si="8"/>
        <v>35.25</v>
      </c>
      <c r="B147" s="4">
        <f t="shared" si="9"/>
        <v>0</v>
      </c>
      <c r="C147" s="14" t="e">
        <f>#REF!</f>
        <v>#REF!</v>
      </c>
      <c r="D147" s="14" t="e">
        <f>#REF!+1.5</f>
        <v>#REF!</v>
      </c>
      <c r="E147" s="14" t="e">
        <f>#REF!+1.5</f>
        <v>#REF!</v>
      </c>
      <c r="F147" s="14" t="e">
        <f>#REF!+1.5</f>
        <v>#REF!</v>
      </c>
      <c r="G147" s="14" t="e">
        <f>#REF!</f>
        <v>#REF!</v>
      </c>
    </row>
    <row r="148" spans="1:7" hidden="1" x14ac:dyDescent="0.55000000000000004">
      <c r="A148" s="5">
        <f t="shared" si="8"/>
        <v>35.5</v>
      </c>
      <c r="B148" s="4">
        <f t="shared" si="9"/>
        <v>0</v>
      </c>
      <c r="C148" s="14" t="e">
        <f>#REF!</f>
        <v>#REF!</v>
      </c>
      <c r="D148" s="14" t="e">
        <f>#REF!+1.5</f>
        <v>#REF!</v>
      </c>
      <c r="E148" s="14" t="e">
        <f>#REF!+1.5</f>
        <v>#REF!</v>
      </c>
      <c r="F148" s="14" t="e">
        <f>#REF!+1.5</f>
        <v>#REF!</v>
      </c>
      <c r="G148" s="14" t="e">
        <f>#REF!</f>
        <v>#REF!</v>
      </c>
    </row>
    <row r="149" spans="1:7" hidden="1" x14ac:dyDescent="0.55000000000000004">
      <c r="A149" s="5">
        <f t="shared" si="8"/>
        <v>35.75</v>
      </c>
      <c r="B149" s="4">
        <f t="shared" si="9"/>
        <v>0</v>
      </c>
      <c r="C149" s="14" t="e">
        <f>#REF!</f>
        <v>#REF!</v>
      </c>
      <c r="D149" s="14" t="e">
        <f>#REF!+1.5</f>
        <v>#REF!</v>
      </c>
      <c r="E149" s="14" t="e">
        <f>#REF!+1.5</f>
        <v>#REF!</v>
      </c>
      <c r="F149" s="14" t="e">
        <f>#REF!+1.5</f>
        <v>#REF!</v>
      </c>
      <c r="G149" s="14" t="e">
        <f>#REF!</f>
        <v>#REF!</v>
      </c>
    </row>
    <row r="150" spans="1:7" hidden="1" x14ac:dyDescent="0.55000000000000004">
      <c r="A150" s="5">
        <f t="shared" si="8"/>
        <v>36</v>
      </c>
      <c r="B150" s="4">
        <f t="shared" si="9"/>
        <v>0</v>
      </c>
      <c r="C150" s="14" t="e">
        <f>#REF!</f>
        <v>#REF!</v>
      </c>
      <c r="D150" s="14" t="e">
        <f>#REF!+1.5</f>
        <v>#REF!</v>
      </c>
      <c r="E150" s="14" t="e">
        <f>#REF!+1.5</f>
        <v>#REF!</v>
      </c>
      <c r="F150" s="14" t="e">
        <f>#REF!+1.5</f>
        <v>#REF!</v>
      </c>
      <c r="G150" s="14" t="e">
        <f>#REF!</f>
        <v>#REF!</v>
      </c>
    </row>
    <row r="151" spans="1:7" hidden="1" x14ac:dyDescent="0.55000000000000004">
      <c r="A151" s="5">
        <f t="shared" si="8"/>
        <v>36.25</v>
      </c>
      <c r="B151" s="4">
        <f t="shared" si="9"/>
        <v>0</v>
      </c>
      <c r="C151" s="14" t="e">
        <f>#REF!</f>
        <v>#REF!</v>
      </c>
      <c r="D151" s="14" t="e">
        <f>#REF!+1.5</f>
        <v>#REF!</v>
      </c>
      <c r="E151" s="14" t="e">
        <f>#REF!+1.5</f>
        <v>#REF!</v>
      </c>
      <c r="F151" s="14" t="e">
        <f>#REF!+1.5</f>
        <v>#REF!</v>
      </c>
      <c r="G151" s="14" t="e">
        <f>#REF!</f>
        <v>#REF!</v>
      </c>
    </row>
    <row r="152" spans="1:7" hidden="1" x14ac:dyDescent="0.55000000000000004">
      <c r="A152" s="5">
        <f t="shared" si="8"/>
        <v>36.5</v>
      </c>
      <c r="B152" s="4">
        <f t="shared" si="9"/>
        <v>0</v>
      </c>
      <c r="C152" s="14" t="e">
        <f>#REF!</f>
        <v>#REF!</v>
      </c>
      <c r="D152" s="14" t="e">
        <f>#REF!+1.5</f>
        <v>#REF!</v>
      </c>
      <c r="E152" s="14" t="e">
        <f>#REF!+1.5</f>
        <v>#REF!</v>
      </c>
      <c r="F152" s="14" t="e">
        <f>#REF!+1.5</f>
        <v>#REF!</v>
      </c>
      <c r="G152" s="14" t="e">
        <f>#REF!</f>
        <v>#REF!</v>
      </c>
    </row>
    <row r="153" spans="1:7" hidden="1" x14ac:dyDescent="0.55000000000000004">
      <c r="A153" s="5">
        <f t="shared" si="8"/>
        <v>36.75</v>
      </c>
      <c r="B153" s="4">
        <f t="shared" si="9"/>
        <v>0</v>
      </c>
      <c r="C153" s="14" t="e">
        <f>#REF!</f>
        <v>#REF!</v>
      </c>
      <c r="D153" s="14" t="e">
        <f>#REF!+1.5</f>
        <v>#REF!</v>
      </c>
      <c r="E153" s="14" t="e">
        <f>#REF!+1.5</f>
        <v>#REF!</v>
      </c>
      <c r="F153" s="14" t="e">
        <f>#REF!+1.5</f>
        <v>#REF!</v>
      </c>
      <c r="G153" s="14" t="e">
        <f>#REF!</f>
        <v>#REF!</v>
      </c>
    </row>
    <row r="154" spans="1:7" hidden="1" x14ac:dyDescent="0.55000000000000004">
      <c r="A154" s="5">
        <f t="shared" si="8"/>
        <v>37</v>
      </c>
      <c r="B154" s="4">
        <f t="shared" si="9"/>
        <v>0</v>
      </c>
      <c r="C154" s="14" t="e">
        <f>#REF!</f>
        <v>#REF!</v>
      </c>
      <c r="D154" s="14" t="e">
        <f>#REF!+1.5</f>
        <v>#REF!</v>
      </c>
      <c r="E154" s="14" t="e">
        <f>#REF!+1.5</f>
        <v>#REF!</v>
      </c>
      <c r="F154" s="14" t="e">
        <f>#REF!+1.5</f>
        <v>#REF!</v>
      </c>
      <c r="G154" s="14" t="e">
        <f>#REF!</f>
        <v>#REF!</v>
      </c>
    </row>
    <row r="155" spans="1:7" hidden="1" x14ac:dyDescent="0.55000000000000004">
      <c r="A155" s="5">
        <f t="shared" si="8"/>
        <v>37.25</v>
      </c>
      <c r="B155" s="4">
        <f t="shared" si="9"/>
        <v>0</v>
      </c>
      <c r="C155" s="14" t="e">
        <f>#REF!</f>
        <v>#REF!</v>
      </c>
      <c r="D155" s="14" t="e">
        <f>#REF!+1.5</f>
        <v>#REF!</v>
      </c>
      <c r="E155" s="14" t="e">
        <f>#REF!+1.5</f>
        <v>#REF!</v>
      </c>
      <c r="F155" s="14" t="e">
        <f>#REF!+1.5</f>
        <v>#REF!</v>
      </c>
      <c r="G155" s="14" t="e">
        <f>#REF!</f>
        <v>#REF!</v>
      </c>
    </row>
    <row r="156" spans="1:7" hidden="1" x14ac:dyDescent="0.55000000000000004">
      <c r="A156" s="5">
        <f t="shared" si="8"/>
        <v>37.5</v>
      </c>
      <c r="B156" s="4">
        <f t="shared" si="9"/>
        <v>0</v>
      </c>
      <c r="C156" s="14" t="e">
        <f>#REF!</f>
        <v>#REF!</v>
      </c>
      <c r="D156" s="14" t="e">
        <f>#REF!+1.5</f>
        <v>#REF!</v>
      </c>
      <c r="E156" s="14" t="e">
        <f>#REF!+1.5</f>
        <v>#REF!</v>
      </c>
      <c r="F156" s="14" t="e">
        <f>#REF!+1.5</f>
        <v>#REF!</v>
      </c>
      <c r="G156" s="14" t="e">
        <f>#REF!</f>
        <v>#REF!</v>
      </c>
    </row>
    <row r="157" spans="1:7" hidden="1" x14ac:dyDescent="0.55000000000000004">
      <c r="A157" s="5">
        <f t="shared" si="8"/>
        <v>37.75</v>
      </c>
      <c r="B157" s="4">
        <f t="shared" si="9"/>
        <v>0</v>
      </c>
      <c r="C157" s="14" t="e">
        <f>#REF!</f>
        <v>#REF!</v>
      </c>
      <c r="D157" s="14" t="e">
        <f>#REF!+1.5</f>
        <v>#REF!</v>
      </c>
      <c r="E157" s="14" t="e">
        <f>#REF!+1.5</f>
        <v>#REF!</v>
      </c>
      <c r="F157" s="14" t="e">
        <f>#REF!+1.5</f>
        <v>#REF!</v>
      </c>
      <c r="G157" s="14" t="e">
        <f>#REF!</f>
        <v>#REF!</v>
      </c>
    </row>
    <row r="158" spans="1:7" hidden="1" x14ac:dyDescent="0.55000000000000004">
      <c r="A158" s="5">
        <f t="shared" si="8"/>
        <v>38</v>
      </c>
      <c r="B158" s="4">
        <f t="shared" si="9"/>
        <v>0</v>
      </c>
      <c r="C158" s="14" t="e">
        <f>#REF!</f>
        <v>#REF!</v>
      </c>
      <c r="D158" s="14" t="e">
        <f>#REF!+1.5</f>
        <v>#REF!</v>
      </c>
      <c r="E158" s="14" t="e">
        <f>#REF!+1.5</f>
        <v>#REF!</v>
      </c>
      <c r="F158" s="14" t="e">
        <f>#REF!+1.5</f>
        <v>#REF!</v>
      </c>
      <c r="G158" s="14" t="e">
        <f>#REF!</f>
        <v>#REF!</v>
      </c>
    </row>
    <row r="159" spans="1:7" hidden="1" x14ac:dyDescent="0.55000000000000004">
      <c r="A159" s="5">
        <f t="shared" si="8"/>
        <v>38.25</v>
      </c>
      <c r="B159" s="4">
        <f t="shared" si="9"/>
        <v>0</v>
      </c>
      <c r="C159" s="14" t="e">
        <f>#REF!</f>
        <v>#REF!</v>
      </c>
      <c r="D159" s="14" t="e">
        <f>#REF!+1.5</f>
        <v>#REF!</v>
      </c>
      <c r="E159" s="14" t="e">
        <f>#REF!+1.5</f>
        <v>#REF!</v>
      </c>
      <c r="F159" s="14" t="e">
        <f>#REF!+1.5</f>
        <v>#REF!</v>
      </c>
      <c r="G159" s="14" t="e">
        <f>#REF!</f>
        <v>#REF!</v>
      </c>
    </row>
    <row r="160" spans="1:7" hidden="1" x14ac:dyDescent="0.55000000000000004">
      <c r="A160" s="5">
        <f t="shared" si="8"/>
        <v>38.5</v>
      </c>
      <c r="B160" s="4">
        <f t="shared" si="9"/>
        <v>0</v>
      </c>
      <c r="C160" s="14" t="e">
        <f>#REF!</f>
        <v>#REF!</v>
      </c>
      <c r="D160" s="14" t="e">
        <f>#REF!+1.5</f>
        <v>#REF!</v>
      </c>
      <c r="E160" s="14" t="e">
        <f>#REF!+1.5</f>
        <v>#REF!</v>
      </c>
      <c r="F160" s="14" t="e">
        <f>#REF!+1.5</f>
        <v>#REF!</v>
      </c>
      <c r="G160" s="14" t="e">
        <f>#REF!</f>
        <v>#REF!</v>
      </c>
    </row>
    <row r="161" spans="1:7" hidden="1" x14ac:dyDescent="0.55000000000000004">
      <c r="A161" s="5">
        <f t="shared" si="8"/>
        <v>38.75</v>
      </c>
      <c r="B161" s="4">
        <f t="shared" si="9"/>
        <v>0</v>
      </c>
      <c r="C161" s="14" t="e">
        <f>#REF!</f>
        <v>#REF!</v>
      </c>
      <c r="D161" s="14" t="e">
        <f>#REF!+1.5</f>
        <v>#REF!</v>
      </c>
      <c r="E161" s="14" t="e">
        <f>#REF!+1.5</f>
        <v>#REF!</v>
      </c>
      <c r="F161" s="14" t="e">
        <f>#REF!+1.5</f>
        <v>#REF!</v>
      </c>
      <c r="G161" s="14" t="e">
        <f>#REF!</f>
        <v>#REF!</v>
      </c>
    </row>
    <row r="162" spans="1:7" hidden="1" x14ac:dyDescent="0.55000000000000004">
      <c r="A162" s="5">
        <f t="shared" si="8"/>
        <v>39</v>
      </c>
      <c r="B162" s="4">
        <f t="shared" si="9"/>
        <v>0</v>
      </c>
      <c r="C162" s="14" t="e">
        <f>#REF!</f>
        <v>#REF!</v>
      </c>
      <c r="D162" s="14" t="e">
        <f>#REF!+1.5</f>
        <v>#REF!</v>
      </c>
      <c r="E162" s="14" t="e">
        <f>#REF!+1.5</f>
        <v>#REF!</v>
      </c>
      <c r="F162" s="14" t="e">
        <f>#REF!+1.5</f>
        <v>#REF!</v>
      </c>
      <c r="G162" s="14" t="e">
        <f>#REF!</f>
        <v>#REF!</v>
      </c>
    </row>
    <row r="163" spans="1:7" hidden="1" x14ac:dyDescent="0.55000000000000004">
      <c r="A163" s="5">
        <f t="shared" si="8"/>
        <v>39.25</v>
      </c>
      <c r="B163" s="4">
        <f t="shared" si="9"/>
        <v>0</v>
      </c>
      <c r="C163" s="14" t="e">
        <f>#REF!</f>
        <v>#REF!</v>
      </c>
      <c r="D163" s="14" t="e">
        <f>#REF!+1.5</f>
        <v>#REF!</v>
      </c>
      <c r="E163" s="14" t="e">
        <f>#REF!+1.5</f>
        <v>#REF!</v>
      </c>
      <c r="F163" s="14" t="e">
        <f>#REF!+1.5</f>
        <v>#REF!</v>
      </c>
      <c r="G163" s="14" t="e">
        <f>#REF!</f>
        <v>#REF!</v>
      </c>
    </row>
    <row r="164" spans="1:7" hidden="1" x14ac:dyDescent="0.55000000000000004">
      <c r="A164" s="5">
        <f t="shared" si="8"/>
        <v>39.5</v>
      </c>
      <c r="B164" s="4">
        <f t="shared" si="9"/>
        <v>0</v>
      </c>
      <c r="C164" s="14" t="e">
        <f>#REF!</f>
        <v>#REF!</v>
      </c>
      <c r="D164" s="14" t="e">
        <f>#REF!+1.5</f>
        <v>#REF!</v>
      </c>
      <c r="E164" s="14" t="e">
        <f>#REF!+1.5</f>
        <v>#REF!</v>
      </c>
      <c r="F164" s="14" t="e">
        <f>#REF!+1.5</f>
        <v>#REF!</v>
      </c>
      <c r="G164" s="14" t="e">
        <f>#REF!</f>
        <v>#REF!</v>
      </c>
    </row>
    <row r="165" spans="1:7" hidden="1" x14ac:dyDescent="0.55000000000000004">
      <c r="A165" s="5">
        <f t="shared" si="8"/>
        <v>39.75</v>
      </c>
      <c r="B165" s="4">
        <f t="shared" si="9"/>
        <v>0</v>
      </c>
      <c r="C165" s="14" t="e">
        <f>#REF!</f>
        <v>#REF!</v>
      </c>
      <c r="D165" s="14" t="e">
        <f>#REF!+1.5</f>
        <v>#REF!</v>
      </c>
      <c r="E165" s="14" t="e">
        <f>#REF!+1.5</f>
        <v>#REF!</v>
      </c>
      <c r="F165" s="14" t="e">
        <f>#REF!+1.5</f>
        <v>#REF!</v>
      </c>
      <c r="G165" s="14" t="e">
        <f>#REF!</f>
        <v>#REF!</v>
      </c>
    </row>
    <row r="166" spans="1:7" hidden="1" x14ac:dyDescent="0.55000000000000004">
      <c r="A166" s="5">
        <f t="shared" si="8"/>
        <v>40</v>
      </c>
      <c r="B166" s="4">
        <f t="shared" si="9"/>
        <v>0</v>
      </c>
      <c r="C166" s="14" t="e">
        <f>#REF!</f>
        <v>#REF!</v>
      </c>
      <c r="D166" s="14" t="e">
        <f>#REF!+1.5</f>
        <v>#REF!</v>
      </c>
      <c r="E166" s="14" t="e">
        <f>#REF!+1.5</f>
        <v>#REF!</v>
      </c>
      <c r="F166" s="14" t="e">
        <f>#REF!+1.5</f>
        <v>#REF!</v>
      </c>
      <c r="G166" s="14" t="e">
        <f>#REF!</f>
        <v>#REF!</v>
      </c>
    </row>
    <row r="167" spans="1:7" hidden="1" x14ac:dyDescent="0.55000000000000004">
      <c r="A167" s="5">
        <f t="shared" si="8"/>
        <v>40.25</v>
      </c>
      <c r="B167" s="4">
        <f t="shared" si="9"/>
        <v>0</v>
      </c>
      <c r="C167" s="14" t="e">
        <f>#REF!</f>
        <v>#REF!</v>
      </c>
      <c r="D167" s="14" t="e">
        <f>#REF!+1.5</f>
        <v>#REF!</v>
      </c>
      <c r="E167" s="14" t="e">
        <f>#REF!+1.5</f>
        <v>#REF!</v>
      </c>
      <c r="F167" s="14" t="e">
        <f>#REF!+1.5</f>
        <v>#REF!</v>
      </c>
      <c r="G167" s="14" t="e">
        <f>#REF!</f>
        <v>#REF!</v>
      </c>
    </row>
    <row r="168" spans="1:7" hidden="1" x14ac:dyDescent="0.55000000000000004">
      <c r="A168" s="5">
        <f t="shared" si="8"/>
        <v>40.5</v>
      </c>
      <c r="B168" s="4">
        <f t="shared" si="9"/>
        <v>0</v>
      </c>
      <c r="C168" s="14" t="e">
        <f>#REF!</f>
        <v>#REF!</v>
      </c>
      <c r="D168" s="14" t="e">
        <f>#REF!+1.5</f>
        <v>#REF!</v>
      </c>
      <c r="E168" s="14" t="e">
        <f>#REF!+1.5</f>
        <v>#REF!</v>
      </c>
      <c r="F168" s="14" t="e">
        <f>#REF!+1.5</f>
        <v>#REF!</v>
      </c>
      <c r="G168" s="14" t="e">
        <f>#REF!</f>
        <v>#REF!</v>
      </c>
    </row>
    <row r="169" spans="1:7" hidden="1" x14ac:dyDescent="0.55000000000000004">
      <c r="A169" s="5">
        <f t="shared" si="8"/>
        <v>40.75</v>
      </c>
      <c r="B169" s="4">
        <f t="shared" si="9"/>
        <v>0</v>
      </c>
      <c r="C169" s="14" t="e">
        <f>#REF!</f>
        <v>#REF!</v>
      </c>
      <c r="D169" s="14" t="e">
        <f>#REF!+1.5</f>
        <v>#REF!</v>
      </c>
      <c r="E169" s="14" t="e">
        <f>#REF!+1.5</f>
        <v>#REF!</v>
      </c>
      <c r="F169" s="14" t="e">
        <f>#REF!+1.5</f>
        <v>#REF!</v>
      </c>
      <c r="G169" s="14" t="e">
        <f>#REF!</f>
        <v>#REF!</v>
      </c>
    </row>
    <row r="170" spans="1:7" hidden="1" x14ac:dyDescent="0.55000000000000004">
      <c r="A170" s="5">
        <f t="shared" si="8"/>
        <v>41</v>
      </c>
      <c r="B170" s="4">
        <f t="shared" si="9"/>
        <v>0</v>
      </c>
      <c r="C170" s="14" t="e">
        <f>#REF!</f>
        <v>#REF!</v>
      </c>
      <c r="D170" s="14" t="e">
        <f>#REF!+1.5</f>
        <v>#REF!</v>
      </c>
      <c r="E170" s="14" t="e">
        <f>#REF!+1.5</f>
        <v>#REF!</v>
      </c>
      <c r="F170" s="14" t="e">
        <f>#REF!+1.5</f>
        <v>#REF!</v>
      </c>
      <c r="G170" s="14" t="e">
        <f>#REF!</f>
        <v>#REF!</v>
      </c>
    </row>
    <row r="171" spans="1:7" hidden="1" x14ac:dyDescent="0.55000000000000004">
      <c r="A171" s="5">
        <f t="shared" si="8"/>
        <v>41.25</v>
      </c>
      <c r="B171" s="4">
        <f t="shared" si="9"/>
        <v>0</v>
      </c>
      <c r="C171" s="14" t="e">
        <f>#REF!</f>
        <v>#REF!</v>
      </c>
      <c r="D171" s="14" t="e">
        <f>#REF!+1.5</f>
        <v>#REF!</v>
      </c>
      <c r="E171" s="14" t="e">
        <f>#REF!+1.5</f>
        <v>#REF!</v>
      </c>
      <c r="F171" s="14" t="e">
        <f>#REF!+1.5</f>
        <v>#REF!</v>
      </c>
      <c r="G171" s="14" t="e">
        <f>#REF!</f>
        <v>#REF!</v>
      </c>
    </row>
    <row r="172" spans="1:7" hidden="1" x14ac:dyDescent="0.55000000000000004">
      <c r="A172" s="5">
        <f t="shared" si="8"/>
        <v>41.5</v>
      </c>
      <c r="B172" s="4">
        <f t="shared" si="9"/>
        <v>0</v>
      </c>
      <c r="C172" s="14" t="e">
        <f>#REF!</f>
        <v>#REF!</v>
      </c>
      <c r="D172" s="14" t="e">
        <f>#REF!+1.5</f>
        <v>#REF!</v>
      </c>
      <c r="E172" s="14" t="e">
        <f>#REF!+1.5</f>
        <v>#REF!</v>
      </c>
      <c r="F172" s="14" t="e">
        <f>#REF!+1.5</f>
        <v>#REF!</v>
      </c>
      <c r="G172" s="14" t="e">
        <f>#REF!</f>
        <v>#REF!</v>
      </c>
    </row>
    <row r="173" spans="1:7" hidden="1" x14ac:dyDescent="0.55000000000000004">
      <c r="A173" s="5">
        <f t="shared" si="8"/>
        <v>41.75</v>
      </c>
      <c r="B173" s="4">
        <f t="shared" si="9"/>
        <v>0</v>
      </c>
      <c r="C173" s="14" t="e">
        <f>#REF!</f>
        <v>#REF!</v>
      </c>
      <c r="D173" s="14" t="e">
        <f>#REF!+1.5</f>
        <v>#REF!</v>
      </c>
      <c r="E173" s="14" t="e">
        <f>#REF!+1.5</f>
        <v>#REF!</v>
      </c>
      <c r="F173" s="14" t="e">
        <f>#REF!+1.5</f>
        <v>#REF!</v>
      </c>
      <c r="G173" s="14" t="e">
        <f>#REF!</f>
        <v>#REF!</v>
      </c>
    </row>
    <row r="174" spans="1:7" hidden="1" x14ac:dyDescent="0.55000000000000004">
      <c r="A174" s="5">
        <f t="shared" si="8"/>
        <v>42</v>
      </c>
      <c r="B174" s="4">
        <f t="shared" si="9"/>
        <v>0</v>
      </c>
      <c r="C174" s="14" t="e">
        <f>#REF!</f>
        <v>#REF!</v>
      </c>
      <c r="D174" s="14" t="e">
        <f>#REF!+1.5</f>
        <v>#REF!</v>
      </c>
      <c r="E174" s="14" t="e">
        <f>#REF!+1.5</f>
        <v>#REF!</v>
      </c>
      <c r="F174" s="14" t="e">
        <f>#REF!+1.5</f>
        <v>#REF!</v>
      </c>
      <c r="G174" s="14" t="e">
        <f>#REF!</f>
        <v>#REF!</v>
      </c>
    </row>
    <row r="175" spans="1:7" hidden="1" x14ac:dyDescent="0.55000000000000004">
      <c r="A175" s="5">
        <f t="shared" si="8"/>
        <v>42.25</v>
      </c>
      <c r="B175" s="4">
        <f t="shared" si="9"/>
        <v>0</v>
      </c>
      <c r="C175" s="14" t="e">
        <f>#REF!</f>
        <v>#REF!</v>
      </c>
      <c r="D175" s="14" t="e">
        <f>#REF!+1.5</f>
        <v>#REF!</v>
      </c>
      <c r="E175" s="14" t="e">
        <f>#REF!+1.5</f>
        <v>#REF!</v>
      </c>
      <c r="F175" s="14" t="e">
        <f>#REF!+1.5</f>
        <v>#REF!</v>
      </c>
      <c r="G175" s="14" t="e">
        <f>#REF!</f>
        <v>#REF!</v>
      </c>
    </row>
    <row r="176" spans="1:7" hidden="1" x14ac:dyDescent="0.55000000000000004">
      <c r="A176" s="5">
        <f t="shared" si="8"/>
        <v>42.5</v>
      </c>
      <c r="B176" s="4">
        <f t="shared" si="9"/>
        <v>0</v>
      </c>
      <c r="C176" s="14" t="e">
        <f>#REF!</f>
        <v>#REF!</v>
      </c>
      <c r="D176" s="14" t="e">
        <f>#REF!+1.5</f>
        <v>#REF!</v>
      </c>
      <c r="E176" s="14" t="e">
        <f>#REF!+1.5</f>
        <v>#REF!</v>
      </c>
      <c r="F176" s="14" t="e">
        <f>#REF!+1.5</f>
        <v>#REF!</v>
      </c>
      <c r="G176" s="14" t="e">
        <f>#REF!</f>
        <v>#REF!</v>
      </c>
    </row>
    <row r="177" spans="1:7" hidden="1" x14ac:dyDescent="0.55000000000000004">
      <c r="A177" s="5">
        <f t="shared" si="8"/>
        <v>42.75</v>
      </c>
      <c r="B177" s="4">
        <f t="shared" si="9"/>
        <v>0</v>
      </c>
      <c r="C177" s="14" t="e">
        <f>#REF!</f>
        <v>#REF!</v>
      </c>
      <c r="D177" s="14" t="e">
        <f>#REF!+1.5</f>
        <v>#REF!</v>
      </c>
      <c r="E177" s="14" t="e">
        <f>#REF!+1.5</f>
        <v>#REF!</v>
      </c>
      <c r="F177" s="14" t="e">
        <f>#REF!+1.5</f>
        <v>#REF!</v>
      </c>
      <c r="G177" s="14" t="e">
        <f>#REF!</f>
        <v>#REF!</v>
      </c>
    </row>
    <row r="178" spans="1:7" hidden="1" x14ac:dyDescent="0.55000000000000004">
      <c r="A178" s="5">
        <f t="shared" si="8"/>
        <v>43</v>
      </c>
      <c r="B178" s="4">
        <f t="shared" si="9"/>
        <v>0</v>
      </c>
      <c r="C178" s="14" t="e">
        <f>#REF!</f>
        <v>#REF!</v>
      </c>
      <c r="D178" s="14" t="e">
        <f>#REF!+1.5</f>
        <v>#REF!</v>
      </c>
      <c r="E178" s="14" t="e">
        <f>#REF!+1.5</f>
        <v>#REF!</v>
      </c>
      <c r="F178" s="14" t="e">
        <f>#REF!+1.5</f>
        <v>#REF!</v>
      </c>
      <c r="G178" s="14" t="e">
        <f>#REF!</f>
        <v>#REF!</v>
      </c>
    </row>
    <row r="179" spans="1:7" hidden="1" x14ac:dyDescent="0.55000000000000004">
      <c r="A179" s="5">
        <f t="shared" si="8"/>
        <v>43.25</v>
      </c>
      <c r="B179" s="4">
        <f t="shared" si="9"/>
        <v>0</v>
      </c>
      <c r="C179" s="14" t="e">
        <f>#REF!</f>
        <v>#REF!</v>
      </c>
      <c r="D179" s="14" t="e">
        <f>#REF!+1.5</f>
        <v>#REF!</v>
      </c>
      <c r="E179" s="14" t="e">
        <f>#REF!+1.5</f>
        <v>#REF!</v>
      </c>
      <c r="F179" s="14" t="e">
        <f>#REF!+1.5</f>
        <v>#REF!</v>
      </c>
      <c r="G179" s="14" t="e">
        <f>#REF!</f>
        <v>#REF!</v>
      </c>
    </row>
    <row r="180" spans="1:7" hidden="1" x14ac:dyDescent="0.55000000000000004">
      <c r="A180" s="5">
        <f t="shared" si="8"/>
        <v>43.5</v>
      </c>
      <c r="B180" s="4">
        <f t="shared" si="9"/>
        <v>0</v>
      </c>
      <c r="C180" s="14" t="e">
        <f>#REF!</f>
        <v>#REF!</v>
      </c>
      <c r="D180" s="14" t="e">
        <f>#REF!+1.5</f>
        <v>#REF!</v>
      </c>
      <c r="E180" s="14" t="e">
        <f>#REF!+1.5</f>
        <v>#REF!</v>
      </c>
      <c r="F180" s="14" t="e">
        <f>#REF!+1.5</f>
        <v>#REF!</v>
      </c>
      <c r="G180" s="14" t="e">
        <f>#REF!</f>
        <v>#REF!</v>
      </c>
    </row>
    <row r="181" spans="1:7" hidden="1" x14ac:dyDescent="0.55000000000000004">
      <c r="A181" s="5">
        <f t="shared" si="8"/>
        <v>43.75</v>
      </c>
      <c r="B181" s="4">
        <f t="shared" si="9"/>
        <v>0</v>
      </c>
      <c r="C181" s="14" t="e">
        <f>#REF!</f>
        <v>#REF!</v>
      </c>
      <c r="D181" s="14" t="e">
        <f>#REF!+1.5</f>
        <v>#REF!</v>
      </c>
      <c r="E181" s="14" t="e">
        <f>#REF!+1.5</f>
        <v>#REF!</v>
      </c>
      <c r="F181" s="14" t="e">
        <f>#REF!+1.5</f>
        <v>#REF!</v>
      </c>
      <c r="G181" s="14" t="e">
        <f>#REF!</f>
        <v>#REF!</v>
      </c>
    </row>
    <row r="182" spans="1:7" hidden="1" x14ac:dyDescent="0.55000000000000004">
      <c r="A182" s="5">
        <f t="shared" si="8"/>
        <v>44</v>
      </c>
      <c r="B182" s="4">
        <f t="shared" si="9"/>
        <v>0</v>
      </c>
      <c r="C182" s="14" t="e">
        <f>#REF!</f>
        <v>#REF!</v>
      </c>
      <c r="D182" s="14" t="e">
        <f>#REF!+1.5</f>
        <v>#REF!</v>
      </c>
      <c r="E182" s="14" t="e">
        <f>#REF!+1.5</f>
        <v>#REF!</v>
      </c>
      <c r="F182" s="14" t="e">
        <f>#REF!+1.5</f>
        <v>#REF!</v>
      </c>
      <c r="G182" s="14" t="e">
        <f>#REF!</f>
        <v>#REF!</v>
      </c>
    </row>
    <row r="183" spans="1:7" hidden="1" x14ac:dyDescent="0.55000000000000004">
      <c r="A183" s="5">
        <f t="shared" si="8"/>
        <v>44.25</v>
      </c>
      <c r="B183" s="4">
        <f t="shared" si="9"/>
        <v>0</v>
      </c>
      <c r="C183" s="14" t="e">
        <f>#REF!</f>
        <v>#REF!</v>
      </c>
      <c r="D183" s="14" t="e">
        <f>#REF!+1.5</f>
        <v>#REF!</v>
      </c>
      <c r="E183" s="14" t="e">
        <f>#REF!+1.5</f>
        <v>#REF!</v>
      </c>
      <c r="F183" s="14" t="e">
        <f>#REF!+1.5</f>
        <v>#REF!</v>
      </c>
      <c r="G183" s="14" t="e">
        <f>#REF!</f>
        <v>#REF!</v>
      </c>
    </row>
    <row r="184" spans="1:7" hidden="1" x14ac:dyDescent="0.55000000000000004">
      <c r="A184" s="5">
        <f t="shared" si="8"/>
        <v>44.5</v>
      </c>
      <c r="B184" s="4">
        <f t="shared" si="9"/>
        <v>0</v>
      </c>
      <c r="C184" s="14" t="e">
        <f>#REF!</f>
        <v>#REF!</v>
      </c>
      <c r="D184" s="14" t="e">
        <f>#REF!+1.5</f>
        <v>#REF!</v>
      </c>
      <c r="E184" s="14" t="e">
        <f>#REF!+1.5</f>
        <v>#REF!</v>
      </c>
      <c r="F184" s="14" t="e">
        <f>#REF!+1.5</f>
        <v>#REF!</v>
      </c>
      <c r="G184" s="14" t="e">
        <f>#REF!</f>
        <v>#REF!</v>
      </c>
    </row>
    <row r="185" spans="1:7" hidden="1" x14ac:dyDescent="0.55000000000000004">
      <c r="A185" s="5">
        <f t="shared" si="8"/>
        <v>44.75</v>
      </c>
      <c r="B185" s="4">
        <f t="shared" si="9"/>
        <v>0</v>
      </c>
      <c r="C185" s="14" t="e">
        <f>#REF!</f>
        <v>#REF!</v>
      </c>
      <c r="D185" s="14" t="e">
        <f>#REF!+1.5</f>
        <v>#REF!</v>
      </c>
      <c r="E185" s="14" t="e">
        <f>#REF!+1.5</f>
        <v>#REF!</v>
      </c>
      <c r="F185" s="14" t="e">
        <f>#REF!+1.5</f>
        <v>#REF!</v>
      </c>
      <c r="G185" s="14" t="e">
        <f>#REF!</f>
        <v>#REF!</v>
      </c>
    </row>
    <row r="186" spans="1:7" hidden="1" x14ac:dyDescent="0.55000000000000004">
      <c r="A186" s="5">
        <f t="shared" si="8"/>
        <v>45</v>
      </c>
      <c r="B186" s="4">
        <f t="shared" si="9"/>
        <v>0</v>
      </c>
      <c r="C186" s="14" t="e">
        <f>#REF!</f>
        <v>#REF!</v>
      </c>
      <c r="D186" s="14" t="e">
        <f>#REF!+1.5</f>
        <v>#REF!</v>
      </c>
      <c r="E186" s="14" t="e">
        <f>#REF!+1.5</f>
        <v>#REF!</v>
      </c>
      <c r="F186" s="14" t="e">
        <f>#REF!+1.5</f>
        <v>#REF!</v>
      </c>
      <c r="G186" s="14" t="e">
        <f>#REF!</f>
        <v>#REF!</v>
      </c>
    </row>
    <row r="187" spans="1:7" hidden="1" x14ac:dyDescent="0.55000000000000004">
      <c r="A187" s="5">
        <f t="shared" si="8"/>
        <v>45.25</v>
      </c>
      <c r="B187" s="4">
        <f t="shared" si="9"/>
        <v>0</v>
      </c>
      <c r="C187" s="14" t="e">
        <f>#REF!</f>
        <v>#REF!</v>
      </c>
      <c r="D187" s="14" t="e">
        <f>#REF!+1.5</f>
        <v>#REF!</v>
      </c>
      <c r="E187" s="14" t="e">
        <f>#REF!+1.5</f>
        <v>#REF!</v>
      </c>
      <c r="F187" s="14" t="e">
        <f>#REF!+1.5</f>
        <v>#REF!</v>
      </c>
      <c r="G187" s="14" t="e">
        <f>#REF!</f>
        <v>#REF!</v>
      </c>
    </row>
    <row r="188" spans="1:7" hidden="1" x14ac:dyDescent="0.55000000000000004">
      <c r="A188" s="5">
        <f t="shared" si="8"/>
        <v>45.5</v>
      </c>
      <c r="B188" s="4">
        <f t="shared" si="9"/>
        <v>0</v>
      </c>
      <c r="C188" s="14" t="e">
        <f>#REF!</f>
        <v>#REF!</v>
      </c>
      <c r="D188" s="14" t="e">
        <f>#REF!+1.5</f>
        <v>#REF!</v>
      </c>
      <c r="E188" s="14" t="e">
        <f>#REF!+1.5</f>
        <v>#REF!</v>
      </c>
      <c r="F188" s="14" t="e">
        <f>#REF!+1.5</f>
        <v>#REF!</v>
      </c>
      <c r="G188" s="14" t="e">
        <f>#REF!</f>
        <v>#REF!</v>
      </c>
    </row>
    <row r="189" spans="1:7" hidden="1" x14ac:dyDescent="0.55000000000000004">
      <c r="A189" s="5">
        <f t="shared" si="8"/>
        <v>45.75</v>
      </c>
      <c r="B189" s="4">
        <f t="shared" si="9"/>
        <v>0</v>
      </c>
      <c r="C189" s="14" t="e">
        <f>#REF!</f>
        <v>#REF!</v>
      </c>
      <c r="D189" s="14" t="e">
        <f>#REF!+1.5</f>
        <v>#REF!</v>
      </c>
      <c r="E189" s="14" t="e">
        <f>#REF!+1.5</f>
        <v>#REF!</v>
      </c>
      <c r="F189" s="14" t="e">
        <f>#REF!+1.5</f>
        <v>#REF!</v>
      </c>
      <c r="G189" s="14" t="e">
        <f>#REF!</f>
        <v>#REF!</v>
      </c>
    </row>
    <row r="190" spans="1:7" hidden="1" x14ac:dyDescent="0.55000000000000004">
      <c r="A190" s="5">
        <f t="shared" si="8"/>
        <v>46</v>
      </c>
      <c r="B190" s="4">
        <f t="shared" si="9"/>
        <v>0</v>
      </c>
      <c r="C190" s="14" t="e">
        <f>#REF!</f>
        <v>#REF!</v>
      </c>
      <c r="D190" s="14" t="e">
        <f>#REF!+1.5</f>
        <v>#REF!</v>
      </c>
      <c r="E190" s="14" t="e">
        <f>#REF!+1.5</f>
        <v>#REF!</v>
      </c>
      <c r="F190" s="14" t="e">
        <f>#REF!+1.5</f>
        <v>#REF!</v>
      </c>
      <c r="G190" s="14" t="e">
        <f>#REF!</f>
        <v>#REF!</v>
      </c>
    </row>
    <row r="191" spans="1:7" hidden="1" x14ac:dyDescent="0.55000000000000004">
      <c r="A191" s="5">
        <f t="shared" si="8"/>
        <v>46.25</v>
      </c>
      <c r="B191" s="4">
        <f t="shared" si="9"/>
        <v>0</v>
      </c>
      <c r="C191" s="14" t="e">
        <f>#REF!</f>
        <v>#REF!</v>
      </c>
      <c r="D191" s="14" t="e">
        <f>#REF!+1.5</f>
        <v>#REF!</v>
      </c>
      <c r="E191" s="14" t="e">
        <f>#REF!+1.5</f>
        <v>#REF!</v>
      </c>
      <c r="F191" s="14" t="e">
        <f>#REF!+1.5</f>
        <v>#REF!</v>
      </c>
      <c r="G191" s="14" t="e">
        <f>#REF!</f>
        <v>#REF!</v>
      </c>
    </row>
    <row r="192" spans="1:7" hidden="1" x14ac:dyDescent="0.55000000000000004">
      <c r="A192" s="5">
        <f t="shared" si="8"/>
        <v>46.5</v>
      </c>
      <c r="B192" s="4">
        <f t="shared" si="9"/>
        <v>0</v>
      </c>
      <c r="C192" s="14" t="e">
        <f>#REF!</f>
        <v>#REF!</v>
      </c>
      <c r="D192" s="14" t="e">
        <f>#REF!+1.5</f>
        <v>#REF!</v>
      </c>
      <c r="E192" s="14" t="e">
        <f>#REF!+1.5</f>
        <v>#REF!</v>
      </c>
      <c r="F192" s="14" t="e">
        <f>#REF!+1.5</f>
        <v>#REF!</v>
      </c>
      <c r="G192" s="14" t="e">
        <f>#REF!</f>
        <v>#REF!</v>
      </c>
    </row>
    <row r="193" spans="1:7" hidden="1" x14ac:dyDescent="0.55000000000000004">
      <c r="A193" s="5">
        <f t="shared" si="8"/>
        <v>46.75</v>
      </c>
      <c r="B193" s="4">
        <f t="shared" si="9"/>
        <v>0</v>
      </c>
      <c r="C193" s="14" t="e">
        <f>#REF!</f>
        <v>#REF!</v>
      </c>
      <c r="D193" s="14" t="e">
        <f>#REF!+1.5</f>
        <v>#REF!</v>
      </c>
      <c r="E193" s="14" t="e">
        <f>#REF!+1.5</f>
        <v>#REF!</v>
      </c>
      <c r="F193" s="14" t="e">
        <f>#REF!+1.5</f>
        <v>#REF!</v>
      </c>
      <c r="G193" s="14" t="e">
        <f>#REF!</f>
        <v>#REF!</v>
      </c>
    </row>
    <row r="194" spans="1:7" hidden="1" x14ac:dyDescent="0.55000000000000004">
      <c r="A194" s="5">
        <f t="shared" si="8"/>
        <v>47</v>
      </c>
      <c r="B194" s="4">
        <f t="shared" si="9"/>
        <v>0</v>
      </c>
      <c r="C194" s="14" t="e">
        <f>#REF!</f>
        <v>#REF!</v>
      </c>
      <c r="D194" s="14" t="e">
        <f>#REF!+1.5</f>
        <v>#REF!</v>
      </c>
      <c r="E194" s="14" t="e">
        <f>#REF!+1.5</f>
        <v>#REF!</v>
      </c>
      <c r="F194" s="14" t="e">
        <f>#REF!+1.5</f>
        <v>#REF!</v>
      </c>
      <c r="G194" s="14" t="e">
        <f>#REF!</f>
        <v>#REF!</v>
      </c>
    </row>
    <row r="195" spans="1:7" hidden="1" x14ac:dyDescent="0.55000000000000004">
      <c r="A195" s="5">
        <f t="shared" si="8"/>
        <v>47.25</v>
      </c>
      <c r="B195" s="4">
        <f t="shared" si="9"/>
        <v>0</v>
      </c>
      <c r="C195" s="14" t="e">
        <f>#REF!</f>
        <v>#REF!</v>
      </c>
      <c r="D195" s="14" t="e">
        <f>#REF!+1.5</f>
        <v>#REF!</v>
      </c>
      <c r="E195" s="14" t="e">
        <f>#REF!+1.5</f>
        <v>#REF!</v>
      </c>
      <c r="F195" s="14" t="e">
        <f>#REF!+1.5</f>
        <v>#REF!</v>
      </c>
      <c r="G195" s="14" t="e">
        <f>#REF!</f>
        <v>#REF!</v>
      </c>
    </row>
    <row r="196" spans="1:7" hidden="1" x14ac:dyDescent="0.55000000000000004">
      <c r="A196" s="5">
        <f t="shared" ref="A196:A200" si="10">A195+0.25</f>
        <v>47.5</v>
      </c>
      <c r="B196" s="4">
        <f t="shared" ref="B196:B200" si="11">B195</f>
        <v>0</v>
      </c>
      <c r="C196" s="14" t="e">
        <f>#REF!</f>
        <v>#REF!</v>
      </c>
      <c r="D196" s="14" t="e">
        <f>#REF!+1.5</f>
        <v>#REF!</v>
      </c>
      <c r="E196" s="14" t="e">
        <f>#REF!+1.5</f>
        <v>#REF!</v>
      </c>
      <c r="F196" s="14" t="e">
        <f>#REF!+1.5</f>
        <v>#REF!</v>
      </c>
      <c r="G196" s="14" t="e">
        <f>#REF!</f>
        <v>#REF!</v>
      </c>
    </row>
    <row r="197" spans="1:7" hidden="1" x14ac:dyDescent="0.55000000000000004">
      <c r="A197" s="5">
        <f t="shared" si="10"/>
        <v>47.75</v>
      </c>
      <c r="B197" s="4">
        <f t="shared" si="11"/>
        <v>0</v>
      </c>
      <c r="C197" s="14" t="e">
        <f>#REF!</f>
        <v>#REF!</v>
      </c>
      <c r="D197" s="14" t="e">
        <f>#REF!+1.5</f>
        <v>#REF!</v>
      </c>
      <c r="E197" s="14" t="e">
        <f>#REF!+1.5</f>
        <v>#REF!</v>
      </c>
      <c r="F197" s="14" t="e">
        <f>#REF!+1.5</f>
        <v>#REF!</v>
      </c>
      <c r="G197" s="14" t="e">
        <f>#REF!</f>
        <v>#REF!</v>
      </c>
    </row>
    <row r="198" spans="1:7" hidden="1" x14ac:dyDescent="0.55000000000000004">
      <c r="A198" s="5">
        <f t="shared" si="10"/>
        <v>48</v>
      </c>
      <c r="B198" s="4">
        <f t="shared" si="11"/>
        <v>0</v>
      </c>
      <c r="C198" s="14" t="e">
        <f>#REF!</f>
        <v>#REF!</v>
      </c>
      <c r="D198" s="14" t="e">
        <f>#REF!+1.5</f>
        <v>#REF!</v>
      </c>
      <c r="E198" s="14" t="e">
        <f>#REF!+1.5</f>
        <v>#REF!</v>
      </c>
      <c r="F198" s="14" t="e">
        <f>#REF!+1.5</f>
        <v>#REF!</v>
      </c>
      <c r="G198" s="14" t="e">
        <f>#REF!</f>
        <v>#REF!</v>
      </c>
    </row>
    <row r="199" spans="1:7" hidden="1" x14ac:dyDescent="0.55000000000000004">
      <c r="A199" s="5">
        <f t="shared" si="10"/>
        <v>48.25</v>
      </c>
      <c r="B199" s="4">
        <f t="shared" si="11"/>
        <v>0</v>
      </c>
      <c r="C199" s="14" t="e">
        <f>#REF!</f>
        <v>#REF!</v>
      </c>
      <c r="D199" s="14" t="e">
        <f>#REF!+1.5</f>
        <v>#REF!</v>
      </c>
      <c r="E199" s="14" t="e">
        <f>#REF!+1.5</f>
        <v>#REF!</v>
      </c>
      <c r="F199" s="14" t="e">
        <f>#REF!+1.5</f>
        <v>#REF!</v>
      </c>
      <c r="G199" s="14" t="e">
        <f>#REF!</f>
        <v>#REF!</v>
      </c>
    </row>
    <row r="200" spans="1:7" hidden="1" x14ac:dyDescent="0.55000000000000004">
      <c r="A200" s="5">
        <f t="shared" si="10"/>
        <v>48.5</v>
      </c>
      <c r="B200" s="4">
        <f t="shared" si="11"/>
        <v>0</v>
      </c>
      <c r="C200" s="14" t="e">
        <f>#REF!</f>
        <v>#REF!</v>
      </c>
      <c r="D200" s="14" t="e">
        <f>#REF!+1.5</f>
        <v>#REF!</v>
      </c>
      <c r="E200" s="14" t="e">
        <f>#REF!+1.5</f>
        <v>#REF!</v>
      </c>
      <c r="F200" s="14" t="e">
        <f>#REF!+1.5</f>
        <v>#REF!</v>
      </c>
      <c r="G200" s="14" t="e">
        <f>#REF!</f>
        <v>#REF!</v>
      </c>
    </row>
  </sheetData>
  <phoneticPr fontId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105-9517-42FE-8DE3-F363E8C5D230}">
  <sheetPr codeName="Sheet4">
    <tabColor theme="8" tint="0.79998168889431442"/>
  </sheetPr>
  <dimension ref="A1:J200"/>
  <sheetViews>
    <sheetView zoomScaleNormal="100"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G2" sqref="G2"/>
    </sheetView>
  </sheetViews>
  <sheetFormatPr defaultRowHeight="18" x14ac:dyDescent="0.55000000000000004"/>
  <cols>
    <col min="1" max="1" width="8.6640625" style="5"/>
    <col min="2" max="2" width="4.75" style="4" bestFit="1" customWidth="1"/>
    <col min="3" max="7" width="8.6640625" style="14"/>
    <col min="8" max="10" width="8.6640625" style="17"/>
  </cols>
  <sheetData>
    <row r="1" spans="1:10" s="1" customFormat="1" ht="33" x14ac:dyDescent="0.55000000000000004">
      <c r="A1" s="3" t="s">
        <v>15</v>
      </c>
      <c r="B1" s="3" t="s">
        <v>0</v>
      </c>
      <c r="C1" s="13" t="s">
        <v>10</v>
      </c>
      <c r="D1" s="13" t="s">
        <v>11</v>
      </c>
      <c r="E1" s="13" t="s">
        <v>12</v>
      </c>
      <c r="F1" s="13" t="s">
        <v>13</v>
      </c>
      <c r="G1" s="13" t="s">
        <v>14</v>
      </c>
      <c r="H1" s="15" t="s">
        <v>16</v>
      </c>
      <c r="I1" s="15" t="s">
        <v>17</v>
      </c>
      <c r="J1" s="15" t="s">
        <v>18</v>
      </c>
    </row>
    <row r="2" spans="1:10" x14ac:dyDescent="0.55000000000000004">
      <c r="A2" s="5">
        <v>-1</v>
      </c>
      <c r="B2" s="4">
        <v>0</v>
      </c>
      <c r="C2" s="14">
        <f>'25hike'!C2</f>
        <v>0</v>
      </c>
      <c r="D2" s="14">
        <f>'25hike'!D2</f>
        <v>1.5</v>
      </c>
      <c r="E2" s="14">
        <f>'25hike'!E2</f>
        <v>1.5</v>
      </c>
      <c r="F2" s="14">
        <f>'25hike'!F2</f>
        <v>1.5</v>
      </c>
      <c r="G2" s="14">
        <f>'25hike'!G2</f>
        <v>0</v>
      </c>
      <c r="H2" s="16">
        <v>2</v>
      </c>
      <c r="I2" s="16">
        <v>0.5</v>
      </c>
      <c r="J2" s="16">
        <v>-200</v>
      </c>
    </row>
    <row r="3" spans="1:10" ht="18" customHeight="1" x14ac:dyDescent="0.55000000000000004">
      <c r="A3" s="5">
        <f>A2+0.25</f>
        <v>-0.75</v>
      </c>
      <c r="B3" s="4">
        <f>B2</f>
        <v>0</v>
      </c>
      <c r="C3" s="14">
        <f>'25hike'!C3</f>
        <v>3.1117072709414391E-2</v>
      </c>
      <c r="D3" s="14">
        <f>'25hike'!D3</f>
        <v>1.6462433417342477</v>
      </c>
      <c r="E3" s="14">
        <f>'25hike'!E3</f>
        <v>1.610677470400173</v>
      </c>
      <c r="F3" s="14">
        <f>'25hike'!F3</f>
        <v>1.5131619007560824</v>
      </c>
      <c r="G3" s="14">
        <f>'25hike'!G3</f>
        <v>-9.9999999999997789E-6</v>
      </c>
      <c r="H3" s="16">
        <f>H2</f>
        <v>2</v>
      </c>
      <c r="I3" s="16">
        <f>I2</f>
        <v>0.5</v>
      </c>
      <c r="J3" s="16">
        <v>-200</v>
      </c>
    </row>
    <row r="4" spans="1:10" x14ac:dyDescent="0.55000000000000004">
      <c r="A4" s="5">
        <f t="shared" ref="A4:A67" si="0">A3+0.25</f>
        <v>-0.5</v>
      </c>
      <c r="B4" s="4">
        <f t="shared" ref="B4:B67" si="1">B3</f>
        <v>0</v>
      </c>
      <c r="C4" s="14">
        <f>'25hike'!C4</f>
        <v>8.3897235166905282E-2</v>
      </c>
      <c r="D4" s="14">
        <f>'25hike'!D4</f>
        <v>1.7657322218491545</v>
      </c>
      <c r="E4" s="14">
        <f>'25hike'!E4</f>
        <v>1.6866924362564863</v>
      </c>
      <c r="F4" s="14">
        <f>'25hike'!F4</f>
        <v>1.5358932296544587</v>
      </c>
      <c r="G4" s="14">
        <f>'25hike'!G4</f>
        <v>-9.9999999999977494E-6</v>
      </c>
      <c r="H4" s="16">
        <f t="shared" ref="H4:I19" si="2">H3</f>
        <v>2</v>
      </c>
      <c r="I4" s="16">
        <f t="shared" si="2"/>
        <v>0.5</v>
      </c>
      <c r="J4" s="16">
        <v>-200</v>
      </c>
    </row>
    <row r="5" spans="1:10" x14ac:dyDescent="0.55000000000000004">
      <c r="A5" s="5">
        <f t="shared" si="0"/>
        <v>-0.25</v>
      </c>
      <c r="B5" s="4">
        <f t="shared" si="1"/>
        <v>0</v>
      </c>
      <c r="C5" s="14">
        <f>'25hike'!C5</f>
        <v>0.15307479395180196</v>
      </c>
      <c r="D5" s="14">
        <f>'25hike'!D5</f>
        <v>1.8818733517853243</v>
      </c>
      <c r="E5" s="14">
        <f>'25hike'!E5</f>
        <v>1.7513251220551751</v>
      </c>
      <c r="F5" s="14">
        <f>'25hike'!F5</f>
        <v>1.5670314406462367</v>
      </c>
      <c r="G5" s="14">
        <f>'25hike'!G5</f>
        <v>-9.9999999999683675E-6</v>
      </c>
      <c r="H5" s="16">
        <f t="shared" si="2"/>
        <v>2</v>
      </c>
      <c r="I5" s="16">
        <f t="shared" si="2"/>
        <v>0.5</v>
      </c>
      <c r="J5" s="16">
        <v>-200</v>
      </c>
    </row>
    <row r="6" spans="1:10" x14ac:dyDescent="0.55000000000000004">
      <c r="A6" s="5">
        <f t="shared" si="0"/>
        <v>0</v>
      </c>
      <c r="B6" s="4">
        <f t="shared" si="1"/>
        <v>0</v>
      </c>
      <c r="C6" s="14">
        <f>'25hike'!C6</f>
        <v>0.19213376074924216</v>
      </c>
      <c r="D6" s="14">
        <f>'25hike'!D6</f>
        <v>1.9703615215428429</v>
      </c>
      <c r="E6" s="14">
        <f>'25hike'!E6</f>
        <v>1.8098180846363439</v>
      </c>
      <c r="F6" s="14">
        <f>'25hike'!F6</f>
        <v>1.6033311479269312</v>
      </c>
      <c r="G6" s="14">
        <f>'25hike'!G6</f>
        <v>0.24999999999999997</v>
      </c>
      <c r="H6" s="16">
        <f t="shared" si="2"/>
        <v>2</v>
      </c>
      <c r="I6" s="16">
        <f t="shared" si="2"/>
        <v>0.5</v>
      </c>
      <c r="J6" s="16">
        <v>100</v>
      </c>
    </row>
    <row r="7" spans="1:10" x14ac:dyDescent="0.55000000000000004">
      <c r="A7" s="5">
        <f t="shared" si="0"/>
        <v>0.25</v>
      </c>
      <c r="B7" s="4">
        <f t="shared" si="1"/>
        <v>0</v>
      </c>
      <c r="C7" s="19">
        <f>'25hike'!C7+IPI_plus!C2</f>
        <v>0.18592527686131427</v>
      </c>
      <c r="D7" s="19">
        <f>'25hike'!D7+IPI_plus!D2</f>
        <v>2.6928149193522475</v>
      </c>
      <c r="E7" s="19">
        <f>'25hike'!E7+IPI_plus!E2</f>
        <v>2.0250029711990183</v>
      </c>
      <c r="F7" s="19">
        <f>'25hike'!F7+IPI_plus!F2</f>
        <v>1.7013846873552096</v>
      </c>
      <c r="G7" s="19">
        <f>'25hike'!G7+IPI_plus!G2</f>
        <v>0.66111937595409964</v>
      </c>
      <c r="H7" s="16">
        <f t="shared" si="2"/>
        <v>2</v>
      </c>
      <c r="I7" s="16">
        <f t="shared" si="2"/>
        <v>0.5</v>
      </c>
      <c r="J7" s="16">
        <v>-200</v>
      </c>
    </row>
    <row r="8" spans="1:10" x14ac:dyDescent="0.55000000000000004">
      <c r="A8" s="5">
        <f t="shared" si="0"/>
        <v>0.5</v>
      </c>
      <c r="B8" s="4">
        <f t="shared" si="1"/>
        <v>0</v>
      </c>
      <c r="C8" s="19">
        <f>'25hike'!C8+IPI_plus!C3</f>
        <v>0.13132349118609163</v>
      </c>
      <c r="D8" s="19">
        <f>'25hike'!D8+IPI_plus!D3</f>
        <v>2.4835646826921187</v>
      </c>
      <c r="E8" s="19">
        <f>'25hike'!E8+IPI_plus!E3</f>
        <v>2.069398105263232</v>
      </c>
      <c r="F8" s="19">
        <f>'25hike'!F8+IPI_plus!F3</f>
        <v>1.7717808869355314</v>
      </c>
      <c r="G8" s="19">
        <f>'25hike'!G8+IPI_plus!G3</f>
        <v>0.78397563635575251</v>
      </c>
      <c r="H8" s="16">
        <f t="shared" si="2"/>
        <v>2</v>
      </c>
      <c r="I8" s="16">
        <f t="shared" si="2"/>
        <v>0.5</v>
      </c>
      <c r="J8" s="16">
        <v>-200</v>
      </c>
    </row>
    <row r="9" spans="1:10" x14ac:dyDescent="0.55000000000000004">
      <c r="A9" s="5">
        <f t="shared" si="0"/>
        <v>0.75</v>
      </c>
      <c r="B9" s="4">
        <f t="shared" si="1"/>
        <v>0</v>
      </c>
      <c r="C9" s="19">
        <f>'25hike'!C9+IPI_plus!C4</f>
        <v>7.3896602943031964E-2</v>
      </c>
      <c r="D9" s="19">
        <f>'25hike'!D9+IPI_plus!D4</f>
        <v>2.2279126179877835</v>
      </c>
      <c r="E9" s="19">
        <f>'25hike'!E9+IPI_plus!E4</f>
        <v>2.0039868154039286</v>
      </c>
      <c r="F9" s="19">
        <f>'25hike'!F9+IPI_plus!F4</f>
        <v>1.8128327427302342</v>
      </c>
      <c r="G9" s="19">
        <f>'25hike'!G9+IPI_plus!G4</f>
        <v>0.65186649159684373</v>
      </c>
      <c r="H9" s="16">
        <f t="shared" si="2"/>
        <v>2</v>
      </c>
      <c r="I9" s="16">
        <f t="shared" si="2"/>
        <v>0.5</v>
      </c>
      <c r="J9" s="16">
        <v>-200</v>
      </c>
    </row>
    <row r="10" spans="1:10" x14ac:dyDescent="0.55000000000000004">
      <c r="A10" s="5">
        <f t="shared" si="0"/>
        <v>1</v>
      </c>
      <c r="B10" s="4">
        <f t="shared" si="1"/>
        <v>0</v>
      </c>
      <c r="C10" s="19">
        <f>'25hike'!C10+IPI_plus!C5</f>
        <v>4.0880879284122956E-2</v>
      </c>
      <c r="D10" s="19">
        <f>'25hike'!D10+IPI_plus!D5</f>
        <v>2.0729534177996585</v>
      </c>
      <c r="E10" s="19">
        <f>'25hike'!E10+IPI_plus!E5</f>
        <v>1.9554354618914906</v>
      </c>
      <c r="F10" s="19">
        <f>'25hike'!F10+IPI_plus!F5</f>
        <v>1.8362436034864824</v>
      </c>
      <c r="G10" s="19">
        <f>'25hike'!G10+IPI_plus!G5</f>
        <v>0.48983930594596259</v>
      </c>
      <c r="H10" s="16">
        <f t="shared" si="2"/>
        <v>2</v>
      </c>
      <c r="I10" s="16">
        <f t="shared" si="2"/>
        <v>0.5</v>
      </c>
      <c r="J10" s="16">
        <v>-200</v>
      </c>
    </row>
    <row r="11" spans="1:10" x14ac:dyDescent="0.55000000000000004">
      <c r="A11" s="5">
        <f t="shared" si="0"/>
        <v>1.25</v>
      </c>
      <c r="B11" s="4">
        <f t="shared" si="1"/>
        <v>0</v>
      </c>
      <c r="C11" s="19">
        <f>'25hike'!C11+IPI_plus!C6</f>
        <v>3.4365778153044271E-2</v>
      </c>
      <c r="D11" s="19">
        <f>'25hike'!D11+IPI_plus!D6</f>
        <v>2.0057276715960786</v>
      </c>
      <c r="E11" s="19">
        <f>'25hike'!E11+IPI_plus!E6</f>
        <v>1.9359796577164303</v>
      </c>
      <c r="F11" s="19">
        <f>'25hike'!F11+IPI_plus!F6</f>
        <v>1.851497169616346</v>
      </c>
      <c r="G11" s="19">
        <f>'25hike'!G11+IPI_plus!G6</f>
        <v>0.39212842873603154</v>
      </c>
      <c r="H11" s="16">
        <f t="shared" si="2"/>
        <v>2</v>
      </c>
      <c r="I11" s="16">
        <f t="shared" si="2"/>
        <v>0.5</v>
      </c>
      <c r="J11" s="16">
        <v>-200</v>
      </c>
    </row>
    <row r="12" spans="1:10" x14ac:dyDescent="0.55000000000000004">
      <c r="A12" s="5">
        <f t="shared" si="0"/>
        <v>1.5</v>
      </c>
      <c r="B12" s="4">
        <f t="shared" si="1"/>
        <v>0</v>
      </c>
      <c r="C12" s="19">
        <f>'25hike'!C12+IPI_plus!C7</f>
        <v>4.3613600281949633E-2</v>
      </c>
      <c r="D12" s="19">
        <f>'25hike'!D12+IPI_plus!D7</f>
        <v>1.9904562855584431</v>
      </c>
      <c r="E12" s="19">
        <f>'25hike'!E12+IPI_plus!E7</f>
        <v>1.9356722301630143</v>
      </c>
      <c r="F12" s="19">
        <f>'25hike'!F12+IPI_plus!F7</f>
        <v>1.8640034900511346</v>
      </c>
      <c r="G12" s="19">
        <f>'25hike'!G12+IPI_plus!G7</f>
        <v>0.36748495321895275</v>
      </c>
      <c r="H12" s="16">
        <f t="shared" si="2"/>
        <v>2</v>
      </c>
      <c r="I12" s="16">
        <f t="shared" si="2"/>
        <v>0.5</v>
      </c>
      <c r="J12" s="16">
        <v>-200</v>
      </c>
    </row>
    <row r="13" spans="1:10" x14ac:dyDescent="0.55000000000000004">
      <c r="A13" s="5">
        <f t="shared" si="0"/>
        <v>1.75</v>
      </c>
      <c r="B13" s="4">
        <f t="shared" si="1"/>
        <v>0</v>
      </c>
      <c r="C13" s="19">
        <f>'25hike'!C13+IPI_plus!C8</f>
        <v>5.6543448010731551E-2</v>
      </c>
      <c r="D13" s="19">
        <f>'25hike'!D13+IPI_plus!D8</f>
        <v>1.9980529565304115</v>
      </c>
      <c r="E13" s="19">
        <f>'25hike'!E13+IPI_plus!E8</f>
        <v>1.9440121566387925</v>
      </c>
      <c r="F13" s="19">
        <f>'25hike'!F13+IPI_plus!F8</f>
        <v>1.8760679420342696</v>
      </c>
      <c r="G13" s="19">
        <f>'25hike'!G13+IPI_plus!G8</f>
        <v>0.38976583485297556</v>
      </c>
      <c r="H13" s="16">
        <f t="shared" si="2"/>
        <v>2</v>
      </c>
      <c r="I13" s="16">
        <f t="shared" si="2"/>
        <v>0.5</v>
      </c>
      <c r="J13" s="16">
        <v>-200</v>
      </c>
    </row>
    <row r="14" spans="1:10" x14ac:dyDescent="0.55000000000000004">
      <c r="A14" s="5">
        <f t="shared" si="0"/>
        <v>2</v>
      </c>
      <c r="B14" s="4">
        <f t="shared" si="1"/>
        <v>0</v>
      </c>
      <c r="C14" s="19">
        <f>'25hike'!C14+IPI_plus!C9</f>
        <v>6.5379565098690029E-2</v>
      </c>
      <c r="D14" s="19">
        <f>'25hike'!D14+IPI_plus!D9</f>
        <v>2.0105599060452803</v>
      </c>
      <c r="E14" s="19">
        <f>'25hike'!E14+IPI_plus!E9</f>
        <v>1.9541103348225137</v>
      </c>
      <c r="F14" s="19">
        <f>'25hike'!F14+IPI_plus!F9</f>
        <v>1.8881722187952605</v>
      </c>
      <c r="G14" s="19">
        <f>'25hike'!G14+IPI_plus!G9</f>
        <v>0.42888997448204702</v>
      </c>
      <c r="H14" s="16">
        <f t="shared" si="2"/>
        <v>2</v>
      </c>
      <c r="I14" s="16">
        <f t="shared" si="2"/>
        <v>0.5</v>
      </c>
      <c r="J14" s="16">
        <v>-200</v>
      </c>
    </row>
    <row r="15" spans="1:10" x14ac:dyDescent="0.55000000000000004">
      <c r="A15" s="5">
        <f t="shared" si="0"/>
        <v>2.25</v>
      </c>
      <c r="B15" s="4">
        <f t="shared" si="1"/>
        <v>0</v>
      </c>
      <c r="C15" s="19">
        <f>'25hike'!C15+IPI_plus!C10</f>
        <v>6.749396167756104E-2</v>
      </c>
      <c r="D15" s="19">
        <f>'25hike'!D15+IPI_plus!D10</f>
        <v>2.0195124573135561</v>
      </c>
      <c r="E15" s="19">
        <f>'25hike'!E15+IPI_plus!E10</f>
        <v>1.9626044448301065</v>
      </c>
      <c r="F15" s="19">
        <f>'25hike'!F15+IPI_plus!F10</f>
        <v>1.8999928402619071</v>
      </c>
      <c r="G15" s="19">
        <f>'25hike'!G15+IPI_plus!G10</f>
        <v>0.46426905845593314</v>
      </c>
      <c r="H15" s="16">
        <f t="shared" si="2"/>
        <v>2</v>
      </c>
      <c r="I15" s="16">
        <f t="shared" si="2"/>
        <v>0.5</v>
      </c>
      <c r="J15" s="16">
        <v>-200</v>
      </c>
    </row>
    <row r="16" spans="1:10" x14ac:dyDescent="0.55000000000000004">
      <c r="A16" s="5">
        <f t="shared" si="0"/>
        <v>2.5</v>
      </c>
      <c r="B16" s="4">
        <f t="shared" si="1"/>
        <v>0</v>
      </c>
      <c r="C16" s="19">
        <f>'25hike'!C16+IPI_plus!C11</f>
        <v>6.3832449401534486E-2</v>
      </c>
      <c r="D16" s="19">
        <f>'25hike'!D16+IPI_plus!D11</f>
        <v>2.0228038465199738</v>
      </c>
      <c r="E16" s="19">
        <f>'25hike'!E16+IPI_plus!E11</f>
        <v>1.9685774126863782</v>
      </c>
      <c r="F16" s="19">
        <f>'25hike'!F16+IPI_plus!F11</f>
        <v>1.9110458308251332</v>
      </c>
      <c r="G16" s="19">
        <f>'25hike'!G16+IPI_plus!G11</f>
        <v>0.48705470140133228</v>
      </c>
      <c r="H16" s="16">
        <f t="shared" si="2"/>
        <v>2</v>
      </c>
      <c r="I16" s="16">
        <f t="shared" si="2"/>
        <v>0.5</v>
      </c>
      <c r="J16" s="16">
        <v>-200</v>
      </c>
    </row>
    <row r="17" spans="1:10" x14ac:dyDescent="0.55000000000000004">
      <c r="A17" s="5">
        <f t="shared" si="0"/>
        <v>2.75</v>
      </c>
      <c r="B17" s="4">
        <f t="shared" si="1"/>
        <v>0</v>
      </c>
      <c r="C17" s="19">
        <f>'25hike'!C17+IPI_plus!C12</f>
        <v>5.6843791024977899E-2</v>
      </c>
      <c r="D17" s="19">
        <f>'25hike'!D17+IPI_plus!D12</f>
        <v>2.0216174017666457</v>
      </c>
      <c r="E17" s="19">
        <f>'25hike'!E17+IPI_plus!E12</f>
        <v>1.9724137166473081</v>
      </c>
      <c r="F17" s="19">
        <f>'25hike'!F17+IPI_plus!F12</f>
        <v>1.9209972722098694</v>
      </c>
      <c r="G17" s="19">
        <f>'25hike'!G17+IPI_plus!G12</f>
        <v>0.4970221430603633</v>
      </c>
      <c r="H17" s="16">
        <f t="shared" si="2"/>
        <v>2</v>
      </c>
      <c r="I17" s="16">
        <f t="shared" si="2"/>
        <v>0.5</v>
      </c>
      <c r="J17" s="16">
        <v>-200</v>
      </c>
    </row>
    <row r="18" spans="1:10" x14ac:dyDescent="0.55000000000000004">
      <c r="A18" s="5">
        <f t="shared" si="0"/>
        <v>3</v>
      </c>
      <c r="B18" s="4">
        <f t="shared" si="1"/>
        <v>0</v>
      </c>
      <c r="C18" s="19">
        <f>'25hike'!C18+IPI_plus!C13</f>
        <v>4.8930680980735414E-2</v>
      </c>
      <c r="D18" s="19">
        <f>'25hike'!D18+IPI_plus!D13</f>
        <v>2.0181387082991997</v>
      </c>
      <c r="E18" s="19">
        <f>'25hike'!E18+IPI_plus!E13</f>
        <v>1.9749282816826403</v>
      </c>
      <c r="F18" s="19">
        <f>'25hike'!F18+IPI_plus!F13</f>
        <v>1.9297400014579091</v>
      </c>
      <c r="G18" s="19">
        <f>'25hike'!G18+IPI_plus!G13</f>
        <v>0.49816890083845716</v>
      </c>
      <c r="H18" s="16">
        <f t="shared" si="2"/>
        <v>2</v>
      </c>
      <c r="I18" s="16">
        <f t="shared" si="2"/>
        <v>0.5</v>
      </c>
      <c r="J18" s="16">
        <v>-200</v>
      </c>
    </row>
    <row r="19" spans="1:10" x14ac:dyDescent="0.55000000000000004">
      <c r="A19" s="5">
        <f t="shared" si="0"/>
        <v>3.25</v>
      </c>
      <c r="B19" s="4">
        <f t="shared" si="1"/>
        <v>0</v>
      </c>
      <c r="C19" s="19">
        <f>'25hike'!C19+IPI_plus!C14</f>
        <v>4.1695595059153073E-2</v>
      </c>
      <c r="D19" s="19">
        <f>'25hike'!D19+IPI_plus!D14</f>
        <v>2.0142457476942739</v>
      </c>
      <c r="E19" s="19">
        <f>'25hike'!E19+IPI_plus!E14</f>
        <v>1.9768562640560472</v>
      </c>
      <c r="F19" s="19">
        <f>'25hike'!F19+IPI_plus!F14</f>
        <v>1.9373455186191821</v>
      </c>
      <c r="G19" s="19">
        <f>'25hike'!G19+IPI_plus!G14</f>
        <v>0.49521524164211317</v>
      </c>
      <c r="H19" s="16">
        <f t="shared" si="2"/>
        <v>2</v>
      </c>
      <c r="I19" s="16">
        <f t="shared" si="2"/>
        <v>0.5</v>
      </c>
      <c r="J19" s="16">
        <v>-200</v>
      </c>
    </row>
    <row r="20" spans="1:10" x14ac:dyDescent="0.55000000000000004">
      <c r="A20" s="5">
        <f t="shared" si="0"/>
        <v>3.5</v>
      </c>
      <c r="B20" s="4">
        <f t="shared" si="1"/>
        <v>0</v>
      </c>
      <c r="C20" s="19">
        <f>'25hike'!C20+IPI_plus!C15</f>
        <v>3.5829815315125232E-2</v>
      </c>
      <c r="D20" s="19">
        <f>'25hike'!D20+IPI_plus!D15</f>
        <v>2.0110280124349669</v>
      </c>
      <c r="E20" s="19">
        <f>'25hike'!E20+IPI_plus!E15</f>
        <v>1.9786541395900243</v>
      </c>
      <c r="F20" s="19">
        <f>'25hike'!F20+IPI_plus!F15</f>
        <v>1.9439769430626026</v>
      </c>
      <c r="G20" s="19">
        <f>'25hike'!G20+IPI_plus!G15</f>
        <v>0.49169562555857838</v>
      </c>
      <c r="H20" s="16">
        <f t="shared" ref="H20:I35" si="3">H19</f>
        <v>2</v>
      </c>
      <c r="I20" s="16">
        <f t="shared" si="3"/>
        <v>0.5</v>
      </c>
      <c r="J20" s="16">
        <v>-200</v>
      </c>
    </row>
    <row r="21" spans="1:10" x14ac:dyDescent="0.55000000000000004">
      <c r="A21" s="5">
        <f t="shared" si="0"/>
        <v>3.75</v>
      </c>
      <c r="B21" s="4">
        <f t="shared" si="1"/>
        <v>0</v>
      </c>
      <c r="C21" s="19">
        <f>'25hike'!C21+IPI_plus!C16</f>
        <v>3.1353096132255176E-2</v>
      </c>
      <c r="D21" s="19">
        <f>'25hike'!D21+IPI_plus!D16</f>
        <v>2.0088307205629481</v>
      </c>
      <c r="E21" s="19">
        <f>'25hike'!E21+IPI_plus!E16</f>
        <v>1.9805021501062665</v>
      </c>
      <c r="F21" s="19">
        <f>'25hike'!F21+IPI_plus!F16</f>
        <v>1.9498137830376336</v>
      </c>
      <c r="G21" s="19">
        <f>'25hike'!G21+IPI_plus!G16</f>
        <v>0.48943418095754032</v>
      </c>
      <c r="H21" s="16">
        <f t="shared" si="3"/>
        <v>2</v>
      </c>
      <c r="I21" s="16">
        <f t="shared" si="3"/>
        <v>0.5</v>
      </c>
      <c r="J21" s="16">
        <v>-200</v>
      </c>
    </row>
    <row r="22" spans="1:10" x14ac:dyDescent="0.55000000000000004">
      <c r="A22" s="5">
        <f t="shared" si="0"/>
        <v>4</v>
      </c>
      <c r="B22" s="4">
        <f t="shared" si="1"/>
        <v>0</v>
      </c>
      <c r="C22" s="19">
        <f>'25hike'!C22+IPI_plus!C17</f>
        <v>2.7945685489625179E-2</v>
      </c>
      <c r="D22" s="19">
        <f>'25hike'!D22+IPI_plus!D17</f>
        <v>2.0075244740057223</v>
      </c>
      <c r="E22" s="19">
        <f>'25hike'!E22+IPI_plus!E17</f>
        <v>1.982397210433426</v>
      </c>
      <c r="F22" s="19">
        <f>'25hike'!F22+IPI_plus!F17</f>
        <v>1.9550077452247616</v>
      </c>
      <c r="G22" s="19">
        <f>'25hike'!G22+IPI_plus!G17</f>
        <v>0.48885092459876162</v>
      </c>
      <c r="H22" s="16">
        <f t="shared" si="3"/>
        <v>2</v>
      </c>
      <c r="I22" s="16">
        <f t="shared" si="3"/>
        <v>0.5</v>
      </c>
      <c r="J22" s="16">
        <v>-200</v>
      </c>
    </row>
    <row r="23" spans="1:10" x14ac:dyDescent="0.55000000000000004">
      <c r="A23" s="5">
        <f t="shared" si="0"/>
        <v>4.25</v>
      </c>
      <c r="B23" s="4">
        <f t="shared" si="1"/>
        <v>0</v>
      </c>
      <c r="C23" s="19">
        <f>'25hike'!C23+IPI_plus!C18</f>
        <v>2.5217576143328244E-2</v>
      </c>
      <c r="D23" s="19">
        <f>'25hike'!D23+IPI_plus!D18</f>
        <v>2.0067907020460249</v>
      </c>
      <c r="E23" s="19">
        <f>'25hike'!E23+IPI_plus!E18</f>
        <v>1.9842569377837314</v>
      </c>
      <c r="F23" s="19">
        <f>'25hike'!F23+IPI_plus!F18</f>
        <v>1.9596682113386754</v>
      </c>
      <c r="G23" s="19">
        <f>'25hike'!G23+IPI_plus!G18</f>
        <v>0.48956409377778931</v>
      </c>
      <c r="H23" s="16">
        <f t="shared" si="3"/>
        <v>2</v>
      </c>
      <c r="I23" s="16">
        <f t="shared" si="3"/>
        <v>0.5</v>
      </c>
      <c r="J23" s="16">
        <v>-200</v>
      </c>
    </row>
    <row r="24" spans="1:10" x14ac:dyDescent="0.55000000000000004">
      <c r="A24" s="5">
        <f t="shared" si="0"/>
        <v>4.5</v>
      </c>
      <c r="B24" s="4">
        <f t="shared" si="1"/>
        <v>0</v>
      </c>
      <c r="C24" s="19">
        <f>'25hike'!C24+IPI_plus!C19</f>
        <v>2.2860673643270914E-2</v>
      </c>
      <c r="D24" s="19">
        <f>'25hike'!D24+IPI_plus!D19</f>
        <v>2.0063203100310654</v>
      </c>
      <c r="E24" s="19">
        <f>'25hike'!E24+IPI_plus!E19</f>
        <v>1.9859945573533366</v>
      </c>
      <c r="F24" s="19">
        <f>'25hike'!F24+IPI_plus!F19</f>
        <v>1.9638669002209905</v>
      </c>
      <c r="G24" s="19">
        <f>'25hike'!G24+IPI_plus!G19</f>
        <v>0.49093753212267094</v>
      </c>
      <c r="H24" s="16">
        <f t="shared" si="3"/>
        <v>2</v>
      </c>
      <c r="I24" s="16">
        <f t="shared" si="3"/>
        <v>0.5</v>
      </c>
      <c r="J24" s="16">
        <v>-200</v>
      </c>
    </row>
    <row r="25" spans="1:10" x14ac:dyDescent="0.55000000000000004">
      <c r="A25" s="5">
        <f t="shared" si="0"/>
        <v>4.75</v>
      </c>
      <c r="B25" s="4">
        <f t="shared" si="1"/>
        <v>0</v>
      </c>
      <c r="C25" s="19">
        <f>'25hike'!C25+IPI_plus!C20</f>
        <v>2.0695766792369286E-2</v>
      </c>
      <c r="D25" s="19">
        <f>'25hike'!D25+IPI_plus!D20</f>
        <v>2.0059058401707492</v>
      </c>
      <c r="E25" s="19">
        <f>'25hike'!E25+IPI_plus!E20</f>
        <v>1.9875553701376831</v>
      </c>
      <c r="F25" s="19">
        <f>'25hike'!F25+IPI_plus!F20</f>
        <v>1.9676504048164689</v>
      </c>
      <c r="G25" s="19">
        <f>'25hike'!G25+IPI_plus!G20</f>
        <v>0.49242384191883015</v>
      </c>
      <c r="H25" s="16">
        <f t="shared" si="3"/>
        <v>2</v>
      </c>
      <c r="I25" s="16">
        <f t="shared" si="3"/>
        <v>0.5</v>
      </c>
      <c r="J25" s="16">
        <v>-200</v>
      </c>
    </row>
    <row r="26" spans="1:10" x14ac:dyDescent="0.55000000000000004">
      <c r="A26" s="5">
        <f t="shared" si="0"/>
        <v>5</v>
      </c>
      <c r="B26" s="4">
        <f t="shared" si="1"/>
        <v>0</v>
      </c>
      <c r="C26" s="19">
        <f>'25hike'!C26+IPI_plus!C21</f>
        <v>1.8654049020861235E-2</v>
      </c>
      <c r="D26" s="19">
        <f>'25hike'!D26+IPI_plus!D21</f>
        <v>2.0054526347832504</v>
      </c>
      <c r="E26" s="19">
        <f>'25hike'!E26+IPI_plus!E21</f>
        <v>1.9889230597693397</v>
      </c>
      <c r="F26" s="19">
        <f>'25hike'!F26+IPI_plus!F21</f>
        <v>1.9710526055134792</v>
      </c>
      <c r="G26" s="19">
        <f>'25hike'!G26+IPI_plus!G21</f>
        <v>0.49369858197599492</v>
      </c>
      <c r="H26" s="16">
        <f t="shared" si="3"/>
        <v>2</v>
      </c>
      <c r="I26" s="16">
        <f t="shared" si="3"/>
        <v>0.5</v>
      </c>
      <c r="J26" s="16">
        <v>-200</v>
      </c>
    </row>
    <row r="27" spans="1:10" x14ac:dyDescent="0.55000000000000004">
      <c r="A27" s="5">
        <f t="shared" si="0"/>
        <v>5.25</v>
      </c>
      <c r="B27" s="4">
        <f t="shared" si="1"/>
        <v>0</v>
      </c>
      <c r="C27" s="19">
        <f>'25hike'!C27+IPI_plus!C22</f>
        <v>1.6733386983697342E-2</v>
      </c>
      <c r="D27" s="19">
        <f>'25hike'!D27+IPI_plus!D22</f>
        <v>2.0049477389094554</v>
      </c>
      <c r="E27" s="19">
        <f>'25hike'!E27+IPI_plus!E22</f>
        <v>1.9901095009896288</v>
      </c>
      <c r="F27" s="19">
        <f>'25hike'!F27+IPI_plus!F22</f>
        <v>1.974103167519117</v>
      </c>
      <c r="G27" s="19">
        <f>'25hike'!G27+IPI_plus!G22</f>
        <v>0.49465130803562529</v>
      </c>
      <c r="H27" s="16">
        <f t="shared" si="3"/>
        <v>2</v>
      </c>
      <c r="I27" s="16">
        <f t="shared" si="3"/>
        <v>0.5</v>
      </c>
      <c r="J27" s="16">
        <v>-200</v>
      </c>
    </row>
    <row r="28" spans="1:10" x14ac:dyDescent="0.55000000000000004">
      <c r="A28" s="5">
        <f t="shared" si="0"/>
        <v>5.5</v>
      </c>
      <c r="B28" s="4">
        <f t="shared" si="1"/>
        <v>0</v>
      </c>
      <c r="C28" s="19">
        <f>'25hike'!C28+IPI_plus!C23</f>
        <v>1.495666750716771E-2</v>
      </c>
      <c r="D28" s="19">
        <f>'25hike'!D28+IPI_plus!D23</f>
        <v>2.0044184904731046</v>
      </c>
      <c r="E28" s="19">
        <f>'25hike'!E28+IPI_plus!E23</f>
        <v>1.9911401811554352</v>
      </c>
      <c r="F28" s="19">
        <f>'25hike'!F28+IPI_plus!F23</f>
        <v>1.976831546584976</v>
      </c>
      <c r="G28" s="19">
        <f>'25hike'!G28+IPI_plus!G23</f>
        <v>0.49531116509169026</v>
      </c>
      <c r="H28" s="16">
        <f t="shared" si="3"/>
        <v>2</v>
      </c>
      <c r="I28" s="16">
        <f t="shared" si="3"/>
        <v>0.5</v>
      </c>
      <c r="J28" s="16">
        <v>-200</v>
      </c>
    </row>
    <row r="29" spans="1:10" x14ac:dyDescent="0.55000000000000004">
      <c r="A29" s="5">
        <f t="shared" si="0"/>
        <v>5.75</v>
      </c>
      <c r="B29" s="4">
        <f t="shared" si="1"/>
        <v>0</v>
      </c>
      <c r="C29" s="19">
        <f>'25hike'!C29+IPI_plus!C24</f>
        <v>1.3344618689405639E-2</v>
      </c>
      <c r="D29" s="19">
        <f>'25hike'!D29+IPI_plus!D24</f>
        <v>2.0038998732280429</v>
      </c>
      <c r="E29" s="19">
        <f>'25hike'!E29+IPI_plus!E24</f>
        <v>1.9920419673343117</v>
      </c>
      <c r="F29" s="19">
        <f>'25hike'!F29+IPI_plus!F24</f>
        <v>1.9792676959828519</v>
      </c>
      <c r="G29" s="19">
        <f>'25hike'!G29+IPI_plus!G24</f>
        <v>0.4957656283836408</v>
      </c>
      <c r="H29" s="16">
        <f t="shared" si="3"/>
        <v>2</v>
      </c>
      <c r="I29" s="16">
        <f t="shared" si="3"/>
        <v>0.5</v>
      </c>
      <c r="J29" s="16">
        <v>-200</v>
      </c>
    </row>
    <row r="30" spans="1:10" x14ac:dyDescent="0.55000000000000004">
      <c r="A30" s="5">
        <f t="shared" si="0"/>
        <v>6</v>
      </c>
      <c r="B30" s="4">
        <f t="shared" si="1"/>
        <v>0</v>
      </c>
      <c r="C30" s="19">
        <f>'25hike'!C30+IPI_plus!C25</f>
        <v>1.1904227389997609E-2</v>
      </c>
      <c r="D30" s="19">
        <f>'25hike'!D30+IPI_plus!D25</f>
        <v>2.0034158903211501</v>
      </c>
      <c r="E30" s="19">
        <f>'25hike'!E30+IPI_plus!E25</f>
        <v>1.9928364560348459</v>
      </c>
      <c r="F30" s="19">
        <f>'25hike'!F30+IPI_plus!F25</f>
        <v>1.9814410334732988</v>
      </c>
      <c r="G30" s="19">
        <f>'25hike'!G30+IPI_plus!G25</f>
        <v>0.49610189188744236</v>
      </c>
      <c r="H30" s="16">
        <f t="shared" si="3"/>
        <v>2</v>
      </c>
      <c r="I30" s="16">
        <f t="shared" si="3"/>
        <v>0.5</v>
      </c>
      <c r="J30" s="16">
        <v>-200</v>
      </c>
    </row>
    <row r="31" spans="1:10" x14ac:dyDescent="0.55000000000000004">
      <c r="A31" s="5">
        <f t="shared" si="0"/>
        <v>6.25</v>
      </c>
      <c r="B31" s="4">
        <f t="shared" si="1"/>
        <v>0</v>
      </c>
      <c r="C31" s="19">
        <f>'25hike'!C31+IPI_plus!C26</f>
        <v>1.0628383249983626E-2</v>
      </c>
      <c r="D31" s="19">
        <f>'25hike'!D31+IPI_plus!D26</f>
        <v>2.0029746190686035</v>
      </c>
      <c r="E31" s="19">
        <f>'25hike'!E31+IPI_plus!E26</f>
        <v>1.9935370467595848</v>
      </c>
      <c r="F31" s="19">
        <f>'25hike'!F31+IPI_plus!F26</f>
        <v>1.9833790561768763</v>
      </c>
      <c r="G31" s="19">
        <f>'25hike'!G31+IPI_plus!G26</f>
        <v>0.49637864427299572</v>
      </c>
      <c r="H31" s="16">
        <f t="shared" si="3"/>
        <v>2</v>
      </c>
      <c r="I31" s="16">
        <f t="shared" si="3"/>
        <v>0.5</v>
      </c>
      <c r="J31" s="16">
        <v>-200</v>
      </c>
    </row>
    <row r="32" spans="1:10" x14ac:dyDescent="0.55000000000000004">
      <c r="A32" s="5">
        <f t="shared" si="0"/>
        <v>6.5</v>
      </c>
      <c r="B32" s="4">
        <f t="shared" si="1"/>
        <v>0</v>
      </c>
      <c r="C32" s="19">
        <f>'25hike'!C32+IPI_plus!C27</f>
        <v>9.5007305932143689E-3</v>
      </c>
      <c r="D32" s="19">
        <f>'25hike'!D32+IPI_plus!D27</f>
        <v>2.0025689680689971</v>
      </c>
      <c r="E32" s="19">
        <f>'25hike'!E32+IPI_plus!E27</f>
        <v>1.9941504325257617</v>
      </c>
      <c r="F32" s="19">
        <f>'25hike'!F32+IPI_plus!F27</f>
        <v>1.9851061482471672</v>
      </c>
      <c r="G32" s="19">
        <f>'25hike'!G32+IPI_plus!G27</f>
        <v>0.49661986350962095</v>
      </c>
      <c r="H32" s="16">
        <f t="shared" si="3"/>
        <v>2</v>
      </c>
      <c r="I32" s="16">
        <f t="shared" si="3"/>
        <v>0.5</v>
      </c>
      <c r="J32" s="16">
        <v>-200</v>
      </c>
    </row>
    <row r="33" spans="1:10" x14ac:dyDescent="0.55000000000000004">
      <c r="A33" s="5">
        <f t="shared" si="0"/>
        <v>6.75</v>
      </c>
      <c r="B33" s="4">
        <f t="shared" si="1"/>
        <v>0</v>
      </c>
      <c r="C33" s="19">
        <f>'25hike'!C33+IPI_plus!C28</f>
        <v>8.5017225487717726E-3</v>
      </c>
      <c r="D33" s="19">
        <f>'25hike'!D33+IPI_plus!D28</f>
        <v>2.0021834785421255</v>
      </c>
      <c r="E33" s="19">
        <f>'25hike'!E33+IPI_plus!E28</f>
        <v>1.9946759811932344</v>
      </c>
      <c r="F33" s="19">
        <f>'25hike'!F33+IPI_plus!F28</f>
        <v>1.9866431079737135</v>
      </c>
      <c r="G33" s="19">
        <f>'25hike'!G33+IPI_plus!G28</f>
        <v>0.49682320756136339</v>
      </c>
      <c r="H33" s="16">
        <f t="shared" si="3"/>
        <v>2</v>
      </c>
      <c r="I33" s="16">
        <f t="shared" si="3"/>
        <v>0.5</v>
      </c>
      <c r="J33" s="16">
        <v>-200</v>
      </c>
    </row>
    <row r="34" spans="1:10" x14ac:dyDescent="0.55000000000000004">
      <c r="A34" s="5">
        <f t="shared" si="0"/>
        <v>7</v>
      </c>
      <c r="B34" s="4">
        <f t="shared" si="1"/>
        <v>0</v>
      </c>
      <c r="C34" s="19">
        <f>'25hike'!C34+IPI_plus!C29</f>
        <v>7.6125655643600985E-3</v>
      </c>
      <c r="D34" s="19">
        <f>'25hike'!D34+IPI_plus!D29</f>
        <v>2.0017938072454693</v>
      </c>
      <c r="E34" s="19">
        <f>'25hike'!E34+IPI_plus!E29</f>
        <v>1.9951103388589204</v>
      </c>
      <c r="F34" s="19">
        <f>'25hike'!F34+IPI_plus!F29</f>
        <v>1.9880066709081714</v>
      </c>
      <c r="G34" s="19">
        <f>'25hike'!G34+IPI_plus!G29</f>
        <v>0.49696731695723062</v>
      </c>
      <c r="H34" s="16">
        <f t="shared" si="3"/>
        <v>2</v>
      </c>
      <c r="I34" s="16">
        <f t="shared" si="3"/>
        <v>0.5</v>
      </c>
      <c r="J34" s="16">
        <v>-200</v>
      </c>
    </row>
    <row r="35" spans="1:10" x14ac:dyDescent="0.55000000000000004">
      <c r="A35" s="5">
        <f t="shared" si="0"/>
        <v>7.25</v>
      </c>
      <c r="B35" s="4">
        <f t="shared" si="1"/>
        <v>0</v>
      </c>
      <c r="C35" s="19">
        <f>'25hike'!C35+IPI_plus!C30</f>
        <v>6.8180650625772349E-3</v>
      </c>
      <c r="D35" s="19">
        <f>'25hike'!D35+IPI_plus!D30</f>
        <v>2.0013758217791038</v>
      </c>
      <c r="E35" s="19">
        <f>'25hike'!E35+IPI_plus!E30</f>
        <v>1.9954404234508685</v>
      </c>
      <c r="F35" s="19">
        <f>'25hike'!F35+IPI_plus!F30</f>
        <v>1.9892098944865555</v>
      </c>
      <c r="G35" s="19">
        <f>'25hike'!G35+IPI_plus!G30</f>
        <v>0.49702399241200279</v>
      </c>
      <c r="H35" s="16">
        <f t="shared" si="3"/>
        <v>2</v>
      </c>
      <c r="I35" s="16">
        <f t="shared" si="3"/>
        <v>0.5</v>
      </c>
      <c r="J35" s="16">
        <v>-200</v>
      </c>
    </row>
    <row r="36" spans="1:10" x14ac:dyDescent="0.55000000000000004">
      <c r="A36" s="5">
        <f t="shared" si="0"/>
        <v>7.5</v>
      </c>
      <c r="B36" s="4">
        <f t="shared" si="1"/>
        <v>0</v>
      </c>
      <c r="C36" s="19">
        <f>'25hike'!C36+IPI_plus!C31</f>
        <v>6.1056886261097601E-3</v>
      </c>
      <c r="D36" s="19">
        <f>'25hike'!D36+IPI_plus!D31</f>
        <v>2.0008894610452725</v>
      </c>
      <c r="E36" s="19">
        <f>'25hike'!E36+IPI_plus!E31</f>
        <v>1.9956545291273489</v>
      </c>
      <c r="F36" s="19">
        <f>'25hike'!F36+IPI_plus!F31</f>
        <v>1.9902610554768401</v>
      </c>
      <c r="G36" s="19">
        <f>'25hike'!G36+IPI_plus!G31</f>
        <v>0.4969511554201364</v>
      </c>
      <c r="H36" s="16">
        <f t="shared" ref="H36:I51" si="4">H35</f>
        <v>2</v>
      </c>
      <c r="I36" s="16">
        <f t="shared" si="4"/>
        <v>0.5</v>
      </c>
      <c r="J36" s="16">
        <v>-200</v>
      </c>
    </row>
    <row r="37" spans="1:10" x14ac:dyDescent="0.55000000000000004">
      <c r="A37" s="5">
        <f t="shared" si="0"/>
        <v>7.75</v>
      </c>
      <c r="B37" s="4">
        <f t="shared" si="1"/>
        <v>0</v>
      </c>
      <c r="C37" s="19">
        <f>'25hike'!C37+IPI_plus!C32</f>
        <v>5.4673691400878585E-3</v>
      </c>
      <c r="D37" s="19">
        <f>'25hike'!D37+IPI_plus!D32</f>
        <v>2.0003017205295595</v>
      </c>
      <c r="E37" s="19">
        <f>'25hike'!E37+IPI_plus!E32</f>
        <v>1.9957156096566604</v>
      </c>
      <c r="F37" s="19">
        <f>'25hike'!F37+IPI_plus!F32</f>
        <v>1.9911647153315848</v>
      </c>
      <c r="G37" s="19">
        <f>'25hike'!G37+IPI_plus!G32</f>
        <v>0.49670705278548077</v>
      </c>
      <c r="H37" s="16">
        <f t="shared" si="4"/>
        <v>2</v>
      </c>
      <c r="I37" s="16">
        <f t="shared" si="4"/>
        <v>0.5</v>
      </c>
      <c r="J37" s="16">
        <v>-200</v>
      </c>
    </row>
    <row r="38" spans="1:10" x14ac:dyDescent="0.55000000000000004">
      <c r="A38" s="5">
        <f t="shared" si="0"/>
        <v>8</v>
      </c>
      <c r="B38" s="4">
        <f t="shared" si="1"/>
        <v>0</v>
      </c>
      <c r="C38" s="19">
        <f>'25hike'!C38+IPI_plus!C33</f>
        <v>4.8940556765576628E-3</v>
      </c>
      <c r="D38" s="19">
        <f>'25hike'!D38+IPI_plus!D33</f>
        <v>1.9995294668683299</v>
      </c>
      <c r="E38" s="19">
        <f>'25hike'!E38+IPI_plus!E33</f>
        <v>1.9956003780971949</v>
      </c>
      <c r="F38" s="19">
        <f>'25hike'!F38+IPI_plus!F33</f>
        <v>1.9919175429698919</v>
      </c>
      <c r="G38" s="19">
        <f>'25hike'!G38+IPI_plus!G33</f>
        <v>0.49621091101695158</v>
      </c>
      <c r="H38" s="16">
        <f t="shared" si="4"/>
        <v>2</v>
      </c>
      <c r="I38" s="16">
        <f t="shared" si="4"/>
        <v>0.5</v>
      </c>
      <c r="J38" s="16">
        <v>-200</v>
      </c>
    </row>
    <row r="39" spans="1:10" x14ac:dyDescent="0.55000000000000004">
      <c r="A39" s="5">
        <f t="shared" si="0"/>
        <v>8.25</v>
      </c>
      <c r="B39" s="4">
        <f t="shared" si="1"/>
        <v>0</v>
      </c>
      <c r="C39" s="19">
        <f>'25hike'!C39+IPI_plus!C34</f>
        <v>4.3833441407062738E-3</v>
      </c>
      <c r="D39" s="19">
        <f>'25hike'!D39+IPI_plus!D34</f>
        <v>1.9985239277827587</v>
      </c>
      <c r="E39" s="19">
        <f>'25hike'!E39+IPI_plus!E34</f>
        <v>1.9952105251091161</v>
      </c>
      <c r="F39" s="19">
        <f>'25hike'!F39+IPI_plus!F34</f>
        <v>1.9925121176030498</v>
      </c>
      <c r="G39" s="19">
        <f>'25hike'!G39+IPI_plus!G34</f>
        <v>0.49539085164833369</v>
      </c>
      <c r="H39" s="16">
        <f t="shared" si="4"/>
        <v>2</v>
      </c>
      <c r="I39" s="16">
        <f t="shared" si="4"/>
        <v>0.5</v>
      </c>
      <c r="J39" s="16">
        <v>-200</v>
      </c>
    </row>
    <row r="40" spans="1:10" x14ac:dyDescent="0.55000000000000004">
      <c r="A40" s="5">
        <f t="shared" si="0"/>
        <v>8.5</v>
      </c>
      <c r="B40" s="4">
        <f t="shared" si="1"/>
        <v>0</v>
      </c>
      <c r="C40" s="19">
        <f>'25hike'!C40+IPI_plus!C35</f>
        <v>3.9233427195897938E-3</v>
      </c>
      <c r="D40" s="19">
        <f>'25hike'!D40+IPI_plus!D35</f>
        <v>1.9970824734727934</v>
      </c>
      <c r="E40" s="19">
        <f>'25hike'!E40+IPI_plus!E35</f>
        <v>1.9945146671518545</v>
      </c>
      <c r="F40" s="19">
        <f>'25hike'!F40+IPI_plus!F35</f>
        <v>1.9929234496313268</v>
      </c>
      <c r="G40" s="19">
        <f>'25hike'!G40+IPI_plus!G35</f>
        <v>0.4940572856378444</v>
      </c>
      <c r="H40" s="16">
        <f t="shared" si="4"/>
        <v>2</v>
      </c>
      <c r="I40" s="16">
        <f t="shared" si="4"/>
        <v>0.5</v>
      </c>
      <c r="J40" s="16">
        <v>-200</v>
      </c>
    </row>
    <row r="41" spans="1:10" x14ac:dyDescent="0.55000000000000004">
      <c r="A41" s="5">
        <f t="shared" si="0"/>
        <v>8.75</v>
      </c>
      <c r="B41" s="4">
        <f t="shared" si="1"/>
        <v>0</v>
      </c>
      <c r="C41" s="19">
        <f>'25hike'!C41+IPI_plus!C36</f>
        <v>3.5216353723838065E-3</v>
      </c>
      <c r="D41" s="19">
        <f>'25hike'!D41+IPI_plus!D36</f>
        <v>1.9951550420252546</v>
      </c>
      <c r="E41" s="19">
        <f>'25hike'!E41+IPI_plus!E36</f>
        <v>1.9932507013582139</v>
      </c>
      <c r="F41" s="19">
        <f>'25hike'!F41+IPI_plus!F36</f>
        <v>1.9931242929467805</v>
      </c>
      <c r="G41" s="19">
        <f>'25hike'!G41+IPI_plus!G36</f>
        <v>0.49208619486393163</v>
      </c>
      <c r="H41" s="16">
        <f t="shared" si="4"/>
        <v>2</v>
      </c>
      <c r="I41" s="16">
        <f t="shared" si="4"/>
        <v>0.5</v>
      </c>
      <c r="J41" s="16">
        <v>-200</v>
      </c>
    </row>
    <row r="42" spans="1:10" x14ac:dyDescent="0.55000000000000004">
      <c r="A42" s="5">
        <f t="shared" si="0"/>
        <v>9</v>
      </c>
      <c r="B42" s="4">
        <f t="shared" si="1"/>
        <v>0</v>
      </c>
      <c r="C42" s="19">
        <f>'25hike'!C42+IPI_plus!C37</f>
        <v>3.1511092085740908E-3</v>
      </c>
      <c r="D42" s="19">
        <f>'25hike'!D42+IPI_plus!D37</f>
        <v>1.9922113203412117</v>
      </c>
      <c r="E42" s="19">
        <f>'25hike'!E42+IPI_plus!E37</f>
        <v>1.9914309557103675</v>
      </c>
      <c r="F42" s="19">
        <f>'25hike'!F42+IPI_plus!F37</f>
        <v>1.9930421254122792</v>
      </c>
      <c r="G42" s="19">
        <f>'25hike'!G42+IPI_plus!G37</f>
        <v>0.48900472661286781</v>
      </c>
      <c r="H42" s="16">
        <f t="shared" si="4"/>
        <v>2</v>
      </c>
      <c r="I42" s="16">
        <f t="shared" si="4"/>
        <v>0.5</v>
      </c>
      <c r="J42" s="16">
        <v>-200</v>
      </c>
    </row>
    <row r="43" spans="1:10" x14ac:dyDescent="0.55000000000000004">
      <c r="A43" s="5">
        <f t="shared" si="0"/>
        <v>9.25</v>
      </c>
      <c r="B43" s="4">
        <f t="shared" si="1"/>
        <v>0</v>
      </c>
      <c r="C43" s="19">
        <f>'25hike'!C43+IPI_plus!C38</f>
        <v>2.8509801213401518E-3</v>
      </c>
      <c r="D43" s="19">
        <f>'25hike'!D43+IPI_plus!D38</f>
        <v>1.9883272951120048</v>
      </c>
      <c r="E43" s="19">
        <f>'25hike'!E43+IPI_plus!E38</f>
        <v>1.9883313567486682</v>
      </c>
      <c r="F43" s="19">
        <f>'25hike'!F43+IPI_plus!F38</f>
        <v>1.9926177906852545</v>
      </c>
      <c r="G43" s="19">
        <f>'25hike'!G43+IPI_plus!G38</f>
        <v>0.48465723454321286</v>
      </c>
      <c r="H43" s="16">
        <f t="shared" si="4"/>
        <v>2</v>
      </c>
      <c r="I43" s="16">
        <f t="shared" si="4"/>
        <v>0.5</v>
      </c>
      <c r="J43" s="16">
        <v>-200</v>
      </c>
    </row>
    <row r="44" spans="1:10" x14ac:dyDescent="0.55000000000000004">
      <c r="A44" s="5">
        <f t="shared" si="0"/>
        <v>9.5</v>
      </c>
      <c r="B44" s="4">
        <f t="shared" si="1"/>
        <v>0</v>
      </c>
      <c r="C44" s="19">
        <f>'25hike'!C44+IPI_plus!C39</f>
        <v>2.539337369571354E-3</v>
      </c>
      <c r="D44" s="19">
        <f>'25hike'!D44+IPI_plus!D39</f>
        <v>1.9820309659814253</v>
      </c>
      <c r="E44" s="19">
        <f>'25hike'!E44+IPI_plus!E39</f>
        <v>1.9842684593308386</v>
      </c>
      <c r="F44" s="19">
        <f>'25hike'!F44+IPI_plus!F39</f>
        <v>1.9916649764619099</v>
      </c>
      <c r="G44" s="19">
        <f>'25hike'!G44+IPI_plus!G39</f>
        <v>0.47781365471153581</v>
      </c>
      <c r="H44" s="16">
        <f t="shared" si="4"/>
        <v>2</v>
      </c>
      <c r="I44" s="16">
        <f t="shared" si="4"/>
        <v>0.5</v>
      </c>
      <c r="J44" s="16">
        <v>-200</v>
      </c>
    </row>
    <row r="45" spans="1:10" x14ac:dyDescent="0.55000000000000004">
      <c r="A45" s="5">
        <f t="shared" si="0"/>
        <v>9.75</v>
      </c>
      <c r="B45" s="4">
        <f t="shared" si="1"/>
        <v>0</v>
      </c>
      <c r="C45" s="19">
        <f>'25hike'!C45+IPI_plus!C40</f>
        <v>2.3626013995645774E-3</v>
      </c>
      <c r="D45" s="19">
        <f>'25hike'!D45+IPI_plus!D40</f>
        <v>1.9741165733540942</v>
      </c>
      <c r="E45" s="19">
        <f>'25hike'!E45+IPI_plus!E40</f>
        <v>1.9771412689416576</v>
      </c>
      <c r="F45" s="19">
        <f>'25hike'!F45+IPI_plus!F40</f>
        <v>1.9900856201822064</v>
      </c>
      <c r="G45" s="19">
        <f>'25hike'!G45+IPI_plus!G40</f>
        <v>0.46853614775875485</v>
      </c>
      <c r="H45" s="16">
        <f t="shared" si="4"/>
        <v>2</v>
      </c>
      <c r="I45" s="16">
        <f t="shared" si="4"/>
        <v>0.5</v>
      </c>
      <c r="J45" s="16">
        <v>-200</v>
      </c>
    </row>
    <row r="46" spans="1:10" x14ac:dyDescent="0.55000000000000004">
      <c r="A46" s="5">
        <f t="shared" si="0"/>
        <v>10</v>
      </c>
      <c r="B46" s="4">
        <f t="shared" si="1"/>
        <v>0</v>
      </c>
      <c r="C46" s="19">
        <f>'25hike'!C46+IPI_plus!C41</f>
        <v>2.0461655198245189E-3</v>
      </c>
      <c r="D46" s="19">
        <f>'25hike'!D46+IPI_plus!D41</f>
        <v>1.9602637617003746</v>
      </c>
      <c r="E46" s="19">
        <f>'25hike'!E46+IPI_plus!E41</f>
        <v>1.9686433581392699</v>
      </c>
      <c r="F46" s="19">
        <f>'25hike'!F46+IPI_plus!F41</f>
        <v>1.9874016529188416</v>
      </c>
      <c r="G46" s="19">
        <f>'25hike'!G46+IPI_plus!G41</f>
        <v>0.45344976766635786</v>
      </c>
      <c r="H46" s="16">
        <f t="shared" si="4"/>
        <v>2</v>
      </c>
      <c r="I46" s="16">
        <f t="shared" si="4"/>
        <v>0.5</v>
      </c>
      <c r="J46" s="16">
        <v>-200</v>
      </c>
    </row>
    <row r="47" spans="1:10" x14ac:dyDescent="0.55000000000000004">
      <c r="A47" s="5">
        <f t="shared" si="0"/>
        <v>10.25</v>
      </c>
      <c r="B47" s="4">
        <f t="shared" si="1"/>
        <v>0</v>
      </c>
      <c r="C47" s="19">
        <f>'25hike'!C47+IPI_plus!C42</f>
        <v>2.1037321376468276E-3</v>
      </c>
      <c r="D47" s="19">
        <f>'25hike'!D47+IPI_plus!D42</f>
        <v>1.9443547557915228</v>
      </c>
      <c r="E47" s="19">
        <f>'25hike'!E47+IPI_plus!E42</f>
        <v>1.9523793786514547</v>
      </c>
      <c r="F47" s="19">
        <f>'25hike'!F47+IPI_plus!F42</f>
        <v>1.9835274321773828</v>
      </c>
      <c r="G47" s="19">
        <f>'25hike'!G47+IPI_plus!G42</f>
        <v>0.43406467128401616</v>
      </c>
      <c r="H47" s="16">
        <f t="shared" si="4"/>
        <v>2</v>
      </c>
      <c r="I47" s="16">
        <f t="shared" si="4"/>
        <v>0.5</v>
      </c>
      <c r="J47" s="16">
        <v>-200</v>
      </c>
    </row>
    <row r="48" spans="1:10" x14ac:dyDescent="0.55000000000000004">
      <c r="A48" s="5">
        <f t="shared" si="0"/>
        <v>10.5</v>
      </c>
      <c r="B48" s="4">
        <f t="shared" si="1"/>
        <v>0</v>
      </c>
      <c r="C48" s="19">
        <f>'25hike'!C48+IPI_plus!C43</f>
        <v>1.5888375485264982E-3</v>
      </c>
      <c r="D48" s="19">
        <f>'25hike'!D48+IPI_plus!D43</f>
        <v>1.9130881100986328</v>
      </c>
      <c r="E48" s="19">
        <f>'25hike'!E48+IPI_plus!E43</f>
        <v>1.9354998545903257</v>
      </c>
      <c r="F48" s="19">
        <f>'25hike'!F48+IPI_plus!F43</f>
        <v>1.9771878931902955</v>
      </c>
      <c r="G48" s="19">
        <f>'25hike'!G48+IPI_plus!G43</f>
        <v>0.40059323282131354</v>
      </c>
      <c r="H48" s="16">
        <f t="shared" si="4"/>
        <v>2</v>
      </c>
      <c r="I48" s="16">
        <f t="shared" si="4"/>
        <v>0.5</v>
      </c>
      <c r="J48" s="16">
        <v>-200</v>
      </c>
    </row>
    <row r="49" spans="1:10" x14ac:dyDescent="0.55000000000000004">
      <c r="A49" s="5">
        <f t="shared" si="0"/>
        <v>10.75</v>
      </c>
      <c r="B49" s="4">
        <f t="shared" si="1"/>
        <v>0</v>
      </c>
      <c r="C49" s="19">
        <f>'25hike'!C49+IPI_plus!C44</f>
        <v>2.2808029920957209E-3</v>
      </c>
      <c r="D49" s="19">
        <f>'25hike'!D49+IPI_plus!D44</f>
        <v>1.8823229276655504</v>
      </c>
      <c r="E49" s="19">
        <f>'25hike'!E49+IPI_plus!E44</f>
        <v>1.8977512851827332</v>
      </c>
      <c r="F49" s="19">
        <f>'25hike'!F49+IPI_plus!F44</f>
        <v>1.9686500462930683</v>
      </c>
      <c r="G49" s="19">
        <f>'25hike'!G49+IPI_plus!G44</f>
        <v>0.36103805961143914</v>
      </c>
      <c r="H49" s="16">
        <f t="shared" si="4"/>
        <v>2</v>
      </c>
      <c r="I49" s="16">
        <f t="shared" si="4"/>
        <v>0.5</v>
      </c>
      <c r="J49" s="16">
        <v>-200</v>
      </c>
    </row>
    <row r="50" spans="1:10" x14ac:dyDescent="0.55000000000000004">
      <c r="A50" s="5">
        <f t="shared" si="0"/>
        <v>11</v>
      </c>
      <c r="B50" s="4">
        <f t="shared" si="1"/>
        <v>0</v>
      </c>
      <c r="C50" s="19">
        <f>'25hike'!C50+IPI_plus!C45</f>
        <v>8.9991705062589797E-4</v>
      </c>
      <c r="D50" s="19">
        <f>'25hike'!D50+IPI_plus!D45</f>
        <v>1.8095489002879834</v>
      </c>
      <c r="E50" s="19">
        <f>'25hike'!E50+IPI_plus!E45</f>
        <v>1.8666498026947838</v>
      </c>
      <c r="F50" s="19">
        <f>'25hike'!F50+IPI_plus!F45</f>
        <v>1.9543309431526108</v>
      </c>
      <c r="G50" s="19">
        <f>'25hike'!G50+IPI_plus!G45</f>
        <v>0.28557540763072775</v>
      </c>
      <c r="H50" s="16">
        <f t="shared" si="4"/>
        <v>2</v>
      </c>
      <c r="I50" s="16">
        <f t="shared" si="4"/>
        <v>0.5</v>
      </c>
      <c r="J50" s="16">
        <v>-200</v>
      </c>
    </row>
    <row r="51" spans="1:10" x14ac:dyDescent="0.55000000000000004">
      <c r="A51" s="5">
        <f t="shared" si="0"/>
        <v>11.25</v>
      </c>
      <c r="B51" s="4">
        <f t="shared" si="1"/>
        <v>0</v>
      </c>
      <c r="C51" s="19">
        <f>'25hike'!C51+IPI_plus!C46</f>
        <v>3.5972998362684872E-3</v>
      </c>
      <c r="D51" s="19">
        <f>'25hike'!D51+IPI_plus!D46</f>
        <v>1.7548417010249842</v>
      </c>
      <c r="E51" s="19">
        <f>'25hike'!E51+IPI_plus!E46</f>
        <v>1.7761229553091482</v>
      </c>
      <c r="F51" s="19">
        <f>'25hike'!F51+IPI_plus!F46</f>
        <v>1.9363769113611244</v>
      </c>
      <c r="G51" s="19">
        <f>'25hike'!G51+IPI_plus!G46</f>
        <v>0.20784885483192833</v>
      </c>
      <c r="H51" s="16">
        <f t="shared" si="4"/>
        <v>2</v>
      </c>
      <c r="I51" s="16">
        <f t="shared" si="4"/>
        <v>0.5</v>
      </c>
      <c r="J51" s="16">
        <v>-200</v>
      </c>
    </row>
    <row r="52" spans="1:10" x14ac:dyDescent="0.55000000000000004">
      <c r="A52" s="5">
        <f t="shared" si="0"/>
        <v>11.5</v>
      </c>
      <c r="B52" s="4">
        <f t="shared" si="1"/>
        <v>0</v>
      </c>
      <c r="C52" s="19">
        <f>'25hike'!C52+IPI_plus!C47</f>
        <v>-9.9717695788736319E-4</v>
      </c>
      <c r="D52" s="19">
        <f>'25hike'!D52+IPI_plus!D47</f>
        <v>1.5786030165889409</v>
      </c>
      <c r="E52" s="19">
        <f>'25hike'!E52+IPI_plus!E47</f>
        <v>1.7273435565614479</v>
      </c>
      <c r="F52" s="19">
        <f>'25hike'!F52+IPI_plus!F47</f>
        <v>1.9041772608316279</v>
      </c>
      <c r="G52" s="19">
        <f>'25hike'!G52+IPI_plus!G47</f>
        <v>3.3302000368299216E-2</v>
      </c>
      <c r="H52" s="16">
        <f t="shared" ref="H52:I53" si="5">H51</f>
        <v>2</v>
      </c>
      <c r="I52" s="16">
        <f t="shared" si="5"/>
        <v>0.5</v>
      </c>
      <c r="J52" s="16">
        <v>-200</v>
      </c>
    </row>
    <row r="53" spans="1:10" x14ac:dyDescent="0.55000000000000004">
      <c r="A53" s="5">
        <f t="shared" si="0"/>
        <v>11.75</v>
      </c>
      <c r="B53" s="4">
        <f t="shared" si="1"/>
        <v>0</v>
      </c>
      <c r="C53" s="19">
        <f>'25hike'!C53+IPI_plus!C48</f>
        <v>-4.2171020358262358E-4</v>
      </c>
      <c r="D53" s="19">
        <f>'25hike'!D53+IPI_plus!D48</f>
        <v>1.4998749347722753</v>
      </c>
      <c r="E53" s="19">
        <f>'25hike'!E53+IPI_plus!E48</f>
        <v>1.5002326208226273</v>
      </c>
      <c r="F53" s="19">
        <f>'25hike'!F53+IPI_plus!F48</f>
        <v>1.5006564374944815</v>
      </c>
      <c r="G53" s="19">
        <f>'25hike'!G53+IPI_plus!G48</f>
        <v>1.3212218743541867E-4</v>
      </c>
      <c r="H53" s="16">
        <f t="shared" si="5"/>
        <v>2</v>
      </c>
      <c r="I53" s="16">
        <f t="shared" si="5"/>
        <v>0.5</v>
      </c>
      <c r="J53" s="16">
        <v>-200</v>
      </c>
    </row>
    <row r="54" spans="1:10" hidden="1" x14ac:dyDescent="0.55000000000000004">
      <c r="A54" s="5">
        <f t="shared" si="0"/>
        <v>12</v>
      </c>
      <c r="B54" s="4">
        <f t="shared" si="1"/>
        <v>0</v>
      </c>
      <c r="C54" s="19" t="e">
        <f>'25hike'!C54+IPI_plus!C49</f>
        <v>#REF!</v>
      </c>
      <c r="D54" s="19" t="e">
        <f>'25hike'!D54+IPI_plus!D49</f>
        <v>#REF!</v>
      </c>
      <c r="E54" s="19" t="e">
        <f>'25hike'!E54+IPI_plus!E49</f>
        <v>#REF!</v>
      </c>
      <c r="F54" s="19" t="e">
        <f>'25hike'!F54+IPI_plus!F49</f>
        <v>#REF!</v>
      </c>
      <c r="G54" s="19" t="e">
        <f>'25hike'!G54+IPI_plus!G49</f>
        <v>#REF!</v>
      </c>
    </row>
    <row r="55" spans="1:10" hidden="1" x14ac:dyDescent="0.55000000000000004">
      <c r="A55" s="5">
        <f t="shared" si="0"/>
        <v>12.25</v>
      </c>
      <c r="B55" s="4">
        <f t="shared" si="1"/>
        <v>0</v>
      </c>
      <c r="C55" s="19" t="e">
        <f>'25hike'!C55+IPI_plus!C50</f>
        <v>#REF!</v>
      </c>
      <c r="D55" s="19" t="e">
        <f>'25hike'!D55+IPI_plus!D50</f>
        <v>#REF!</v>
      </c>
      <c r="E55" s="19" t="e">
        <f>'25hike'!E55+IPI_plus!E50</f>
        <v>#REF!</v>
      </c>
      <c r="F55" s="19" t="e">
        <f>'25hike'!F55+IPI_plus!F50</f>
        <v>#REF!</v>
      </c>
      <c r="G55" s="19" t="e">
        <f>'25hike'!G55+IPI_plus!G50</f>
        <v>#REF!</v>
      </c>
    </row>
    <row r="56" spans="1:10" hidden="1" x14ac:dyDescent="0.55000000000000004">
      <c r="A56" s="5">
        <f t="shared" si="0"/>
        <v>12.5</v>
      </c>
      <c r="B56" s="4">
        <f t="shared" si="1"/>
        <v>0</v>
      </c>
      <c r="C56" s="19" t="e">
        <f>'25hike'!C56+IPI_plus!C51</f>
        <v>#REF!</v>
      </c>
      <c r="D56" s="19" t="e">
        <f>'25hike'!D56+IPI_plus!D51</f>
        <v>#REF!</v>
      </c>
      <c r="E56" s="19" t="e">
        <f>'25hike'!E56+IPI_plus!E51</f>
        <v>#REF!</v>
      </c>
      <c r="F56" s="19" t="e">
        <f>'25hike'!F56+IPI_plus!F51</f>
        <v>#REF!</v>
      </c>
      <c r="G56" s="19" t="e">
        <f>'25hike'!G56+IPI_plus!G51</f>
        <v>#REF!</v>
      </c>
    </row>
    <row r="57" spans="1:10" hidden="1" x14ac:dyDescent="0.55000000000000004">
      <c r="A57" s="5">
        <f t="shared" si="0"/>
        <v>12.75</v>
      </c>
      <c r="B57" s="4">
        <f t="shared" si="1"/>
        <v>0</v>
      </c>
      <c r="C57" s="19" t="e">
        <f>'25hike'!C57+IPI_plus!C52</f>
        <v>#REF!</v>
      </c>
      <c r="D57" s="19" t="e">
        <f>'25hike'!D57+IPI_plus!D52</f>
        <v>#REF!</v>
      </c>
      <c r="E57" s="19" t="e">
        <f>'25hike'!E57+IPI_plus!E52</f>
        <v>#REF!</v>
      </c>
      <c r="F57" s="19" t="e">
        <f>'25hike'!F57+IPI_plus!F52</f>
        <v>#REF!</v>
      </c>
      <c r="G57" s="19" t="e">
        <f>'25hike'!G57+IPI_plus!G52</f>
        <v>#REF!</v>
      </c>
    </row>
    <row r="58" spans="1:10" hidden="1" x14ac:dyDescent="0.55000000000000004">
      <c r="A58" s="5">
        <f t="shared" si="0"/>
        <v>13</v>
      </c>
      <c r="B58" s="4">
        <f t="shared" si="1"/>
        <v>0</v>
      </c>
      <c r="C58" s="19" t="e">
        <f>'25hike'!C58+IPI_plus!C53</f>
        <v>#REF!</v>
      </c>
      <c r="D58" s="19" t="e">
        <f>'25hike'!D58+IPI_plus!D53</f>
        <v>#REF!</v>
      </c>
      <c r="E58" s="19" t="e">
        <f>'25hike'!E58+IPI_plus!E53</f>
        <v>#REF!</v>
      </c>
      <c r="F58" s="19" t="e">
        <f>'25hike'!F58+IPI_plus!F53</f>
        <v>#REF!</v>
      </c>
      <c r="G58" s="19" t="e">
        <f>'25hike'!G58+IPI_plus!G53</f>
        <v>#REF!</v>
      </c>
    </row>
    <row r="59" spans="1:10" hidden="1" x14ac:dyDescent="0.55000000000000004">
      <c r="A59" s="5">
        <f t="shared" si="0"/>
        <v>13.25</v>
      </c>
      <c r="B59" s="4">
        <f t="shared" si="1"/>
        <v>0</v>
      </c>
      <c r="C59" s="19" t="e">
        <f>'25hike'!C59+IPI_plus!C54</f>
        <v>#REF!</v>
      </c>
      <c r="D59" s="19" t="e">
        <f>'25hike'!D59+IPI_plus!D54</f>
        <v>#REF!</v>
      </c>
      <c r="E59" s="19" t="e">
        <f>'25hike'!E59+IPI_plus!E54</f>
        <v>#REF!</v>
      </c>
      <c r="F59" s="19" t="e">
        <f>'25hike'!F59+IPI_plus!F54</f>
        <v>#REF!</v>
      </c>
      <c r="G59" s="19" t="e">
        <f>'25hike'!G59+IPI_plus!G54</f>
        <v>#REF!</v>
      </c>
    </row>
    <row r="60" spans="1:10" hidden="1" x14ac:dyDescent="0.55000000000000004">
      <c r="A60" s="5">
        <f t="shared" si="0"/>
        <v>13.5</v>
      </c>
      <c r="B60" s="4">
        <f t="shared" si="1"/>
        <v>0</v>
      </c>
      <c r="C60" s="19" t="e">
        <f>'25hike'!C60+IPI_plus!C55</f>
        <v>#REF!</v>
      </c>
      <c r="D60" s="19" t="e">
        <f>'25hike'!D60+IPI_plus!D55</f>
        <v>#REF!</v>
      </c>
      <c r="E60" s="19" t="e">
        <f>'25hike'!E60+IPI_plus!E55</f>
        <v>#REF!</v>
      </c>
      <c r="F60" s="19" t="e">
        <f>'25hike'!F60+IPI_plus!F55</f>
        <v>#REF!</v>
      </c>
      <c r="G60" s="19" t="e">
        <f>'25hike'!G60+IPI_plus!G55</f>
        <v>#REF!</v>
      </c>
    </row>
    <row r="61" spans="1:10" hidden="1" x14ac:dyDescent="0.55000000000000004">
      <c r="A61" s="5">
        <f t="shared" si="0"/>
        <v>13.75</v>
      </c>
      <c r="B61" s="4">
        <f t="shared" si="1"/>
        <v>0</v>
      </c>
      <c r="C61" s="19" t="e">
        <f>'25hike'!C61+IPI_plus!C56</f>
        <v>#REF!</v>
      </c>
      <c r="D61" s="19" t="e">
        <f>'25hike'!D61+IPI_plus!D56</f>
        <v>#REF!</v>
      </c>
      <c r="E61" s="19" t="e">
        <f>'25hike'!E61+IPI_plus!E56</f>
        <v>#REF!</v>
      </c>
      <c r="F61" s="19" t="e">
        <f>'25hike'!F61+IPI_plus!F56</f>
        <v>#REF!</v>
      </c>
      <c r="G61" s="19" t="e">
        <f>'25hike'!G61+IPI_plus!G56</f>
        <v>#REF!</v>
      </c>
    </row>
    <row r="62" spans="1:10" hidden="1" x14ac:dyDescent="0.55000000000000004">
      <c r="A62" s="5">
        <f t="shared" si="0"/>
        <v>14</v>
      </c>
      <c r="B62" s="4">
        <f t="shared" si="1"/>
        <v>0</v>
      </c>
      <c r="C62" s="19" t="e">
        <f>'25hike'!C62+IPI_plus!C57</f>
        <v>#REF!</v>
      </c>
      <c r="D62" s="19" t="e">
        <f>'25hike'!D62+IPI_plus!D57</f>
        <v>#REF!</v>
      </c>
      <c r="E62" s="19" t="e">
        <f>'25hike'!E62+IPI_plus!E57</f>
        <v>#REF!</v>
      </c>
      <c r="F62" s="19" t="e">
        <f>'25hike'!F62+IPI_plus!F57</f>
        <v>#REF!</v>
      </c>
      <c r="G62" s="19" t="e">
        <f>'25hike'!G62+IPI_plus!G57</f>
        <v>#REF!</v>
      </c>
    </row>
    <row r="63" spans="1:10" hidden="1" x14ac:dyDescent="0.55000000000000004">
      <c r="A63" s="5">
        <f t="shared" si="0"/>
        <v>14.25</v>
      </c>
      <c r="B63" s="4">
        <f t="shared" si="1"/>
        <v>0</v>
      </c>
      <c r="C63" s="19" t="e">
        <f>'25hike'!C63+IPI_plus!C58</f>
        <v>#REF!</v>
      </c>
      <c r="D63" s="19" t="e">
        <f>'25hike'!D63+IPI_plus!D58</f>
        <v>#REF!</v>
      </c>
      <c r="E63" s="19" t="e">
        <f>'25hike'!E63+IPI_plus!E58</f>
        <v>#REF!</v>
      </c>
      <c r="F63" s="19" t="e">
        <f>'25hike'!F63+IPI_plus!F58</f>
        <v>#REF!</v>
      </c>
      <c r="G63" s="19" t="e">
        <f>'25hike'!G63+IPI_plus!G58</f>
        <v>#REF!</v>
      </c>
    </row>
    <row r="64" spans="1:10" hidden="1" x14ac:dyDescent="0.55000000000000004">
      <c r="A64" s="5">
        <f t="shared" si="0"/>
        <v>14.5</v>
      </c>
      <c r="B64" s="4">
        <f t="shared" si="1"/>
        <v>0</v>
      </c>
      <c r="C64" s="19" t="e">
        <f>'25hike'!C64+IPI_plus!C59</f>
        <v>#REF!</v>
      </c>
      <c r="D64" s="19" t="e">
        <f>'25hike'!D64+IPI_plus!D59</f>
        <v>#REF!</v>
      </c>
      <c r="E64" s="19" t="e">
        <f>'25hike'!E64+IPI_plus!E59</f>
        <v>#REF!</v>
      </c>
      <c r="F64" s="19" t="e">
        <f>'25hike'!F64+IPI_plus!F59</f>
        <v>#REF!</v>
      </c>
      <c r="G64" s="19" t="e">
        <f>'25hike'!G64+IPI_plus!G59</f>
        <v>#REF!</v>
      </c>
    </row>
    <row r="65" spans="1:7" hidden="1" x14ac:dyDescent="0.55000000000000004">
      <c r="A65" s="5">
        <f t="shared" si="0"/>
        <v>14.75</v>
      </c>
      <c r="B65" s="4">
        <f t="shared" si="1"/>
        <v>0</v>
      </c>
      <c r="C65" s="19" t="e">
        <f>'25hike'!C65+IPI_plus!C60</f>
        <v>#REF!</v>
      </c>
      <c r="D65" s="19" t="e">
        <f>'25hike'!D65+IPI_plus!D60</f>
        <v>#REF!</v>
      </c>
      <c r="E65" s="19" t="e">
        <f>'25hike'!E65+IPI_plus!E60</f>
        <v>#REF!</v>
      </c>
      <c r="F65" s="19" t="e">
        <f>'25hike'!F65+IPI_plus!F60</f>
        <v>#REF!</v>
      </c>
      <c r="G65" s="19" t="e">
        <f>'25hike'!G65+IPI_plus!G60</f>
        <v>#REF!</v>
      </c>
    </row>
    <row r="66" spans="1:7" hidden="1" x14ac:dyDescent="0.55000000000000004">
      <c r="A66" s="5">
        <f t="shared" si="0"/>
        <v>15</v>
      </c>
      <c r="B66" s="4">
        <f t="shared" si="1"/>
        <v>0</v>
      </c>
      <c r="C66" s="19" t="e">
        <f>'25hike'!C66+IPI_plus!C61</f>
        <v>#REF!</v>
      </c>
      <c r="D66" s="19" t="e">
        <f>'25hike'!D66+IPI_plus!D61</f>
        <v>#REF!</v>
      </c>
      <c r="E66" s="19" t="e">
        <f>'25hike'!E66+IPI_plus!E61</f>
        <v>#REF!</v>
      </c>
      <c r="F66" s="19" t="e">
        <f>'25hike'!F66+IPI_plus!F61</f>
        <v>#REF!</v>
      </c>
      <c r="G66" s="19" t="e">
        <f>'25hike'!G66+IPI_plus!G61</f>
        <v>#REF!</v>
      </c>
    </row>
    <row r="67" spans="1:7" hidden="1" x14ac:dyDescent="0.55000000000000004">
      <c r="A67" s="5">
        <f t="shared" si="0"/>
        <v>15.25</v>
      </c>
      <c r="B67" s="4">
        <f t="shared" si="1"/>
        <v>0</v>
      </c>
      <c r="C67" s="19" t="e">
        <f>'25hike'!C67+IPI_plus!C62</f>
        <v>#REF!</v>
      </c>
      <c r="D67" s="19" t="e">
        <f>'25hike'!D67+IPI_plus!D62</f>
        <v>#REF!</v>
      </c>
      <c r="E67" s="19" t="e">
        <f>'25hike'!E67+IPI_plus!E62</f>
        <v>#REF!</v>
      </c>
      <c r="F67" s="19" t="e">
        <f>'25hike'!F67+IPI_plus!F62</f>
        <v>#REF!</v>
      </c>
      <c r="G67" s="19" t="e">
        <f>'25hike'!G67+IPI_plus!G62</f>
        <v>#REF!</v>
      </c>
    </row>
    <row r="68" spans="1:7" hidden="1" x14ac:dyDescent="0.55000000000000004">
      <c r="A68" s="5">
        <f t="shared" ref="A68:A131" si="6">A67+0.25</f>
        <v>15.5</v>
      </c>
      <c r="B68" s="4">
        <f t="shared" ref="B68:B131" si="7">B67</f>
        <v>0</v>
      </c>
      <c r="C68" s="19" t="e">
        <f>'25hike'!C68+IPI_plus!C63</f>
        <v>#REF!</v>
      </c>
      <c r="D68" s="19" t="e">
        <f>'25hike'!D68+IPI_plus!D63</f>
        <v>#REF!</v>
      </c>
      <c r="E68" s="19" t="e">
        <f>'25hike'!E68+IPI_plus!E63</f>
        <v>#REF!</v>
      </c>
      <c r="F68" s="19" t="e">
        <f>'25hike'!F68+IPI_plus!F63</f>
        <v>#REF!</v>
      </c>
      <c r="G68" s="19" t="e">
        <f>'25hike'!G68+IPI_plus!G63</f>
        <v>#REF!</v>
      </c>
    </row>
    <row r="69" spans="1:7" hidden="1" x14ac:dyDescent="0.55000000000000004">
      <c r="A69" s="5">
        <f t="shared" si="6"/>
        <v>15.75</v>
      </c>
      <c r="B69" s="4">
        <f t="shared" si="7"/>
        <v>0</v>
      </c>
      <c r="C69" s="19" t="e">
        <f>'25hike'!C69+IPI_plus!C64</f>
        <v>#REF!</v>
      </c>
      <c r="D69" s="19" t="e">
        <f>'25hike'!D69+IPI_plus!D64</f>
        <v>#REF!</v>
      </c>
      <c r="E69" s="19" t="e">
        <f>'25hike'!E69+IPI_plus!E64</f>
        <v>#REF!</v>
      </c>
      <c r="F69" s="19" t="e">
        <f>'25hike'!F69+IPI_plus!F64</f>
        <v>#REF!</v>
      </c>
      <c r="G69" s="19" t="e">
        <f>'25hike'!G69+IPI_plus!G64</f>
        <v>#REF!</v>
      </c>
    </row>
    <row r="70" spans="1:7" hidden="1" x14ac:dyDescent="0.55000000000000004">
      <c r="A70" s="5">
        <f t="shared" si="6"/>
        <v>16</v>
      </c>
      <c r="B70" s="4">
        <f t="shared" si="7"/>
        <v>0</v>
      </c>
      <c r="C70" s="19" t="e">
        <f>'25hike'!C70+IPI_plus!C65</f>
        <v>#REF!</v>
      </c>
      <c r="D70" s="19" t="e">
        <f>'25hike'!D70+IPI_plus!D65</f>
        <v>#REF!</v>
      </c>
      <c r="E70" s="19" t="e">
        <f>'25hike'!E70+IPI_plus!E65</f>
        <v>#REF!</v>
      </c>
      <c r="F70" s="19" t="e">
        <f>'25hike'!F70+IPI_plus!F65</f>
        <v>#REF!</v>
      </c>
      <c r="G70" s="19" t="e">
        <f>'25hike'!G70+IPI_plus!G65</f>
        <v>#REF!</v>
      </c>
    </row>
    <row r="71" spans="1:7" hidden="1" x14ac:dyDescent="0.55000000000000004">
      <c r="A71" s="5">
        <f t="shared" si="6"/>
        <v>16.25</v>
      </c>
      <c r="B71" s="4">
        <f t="shared" si="7"/>
        <v>0</v>
      </c>
      <c r="C71" s="19" t="e">
        <f>'25hike'!C71+IPI_plus!C66</f>
        <v>#REF!</v>
      </c>
      <c r="D71" s="19" t="e">
        <f>'25hike'!D71+IPI_plus!D66</f>
        <v>#REF!</v>
      </c>
      <c r="E71" s="19" t="e">
        <f>'25hike'!E71+IPI_plus!E66</f>
        <v>#REF!</v>
      </c>
      <c r="F71" s="19" t="e">
        <f>'25hike'!F71+IPI_plus!F66</f>
        <v>#REF!</v>
      </c>
      <c r="G71" s="19" t="e">
        <f>'25hike'!G71+IPI_plus!G66</f>
        <v>#REF!</v>
      </c>
    </row>
    <row r="72" spans="1:7" hidden="1" x14ac:dyDescent="0.55000000000000004">
      <c r="A72" s="5">
        <f t="shared" si="6"/>
        <v>16.5</v>
      </c>
      <c r="B72" s="4">
        <f t="shared" si="7"/>
        <v>0</v>
      </c>
      <c r="C72" s="19" t="e">
        <f>'25hike'!C72+IPI_plus!C67</f>
        <v>#REF!</v>
      </c>
      <c r="D72" s="19" t="e">
        <f>'25hike'!D72+IPI_plus!D67</f>
        <v>#REF!</v>
      </c>
      <c r="E72" s="19" t="e">
        <f>'25hike'!E72+IPI_plus!E67</f>
        <v>#REF!</v>
      </c>
      <c r="F72" s="19" t="e">
        <f>'25hike'!F72+IPI_plus!F67</f>
        <v>#REF!</v>
      </c>
      <c r="G72" s="19" t="e">
        <f>'25hike'!G72+IPI_plus!G67</f>
        <v>#REF!</v>
      </c>
    </row>
    <row r="73" spans="1:7" hidden="1" x14ac:dyDescent="0.55000000000000004">
      <c r="A73" s="5">
        <f t="shared" si="6"/>
        <v>16.75</v>
      </c>
      <c r="B73" s="4">
        <f t="shared" si="7"/>
        <v>0</v>
      </c>
      <c r="C73" s="19" t="e">
        <f>'25hike'!C73+IPI_plus!C68</f>
        <v>#REF!</v>
      </c>
      <c r="D73" s="19" t="e">
        <f>'25hike'!D73+IPI_plus!D68</f>
        <v>#REF!</v>
      </c>
      <c r="E73" s="19" t="e">
        <f>'25hike'!E73+IPI_plus!E68</f>
        <v>#REF!</v>
      </c>
      <c r="F73" s="19" t="e">
        <f>'25hike'!F73+IPI_plus!F68</f>
        <v>#REF!</v>
      </c>
      <c r="G73" s="19" t="e">
        <f>'25hike'!G73+IPI_plus!G68</f>
        <v>#REF!</v>
      </c>
    </row>
    <row r="74" spans="1:7" hidden="1" x14ac:dyDescent="0.55000000000000004">
      <c r="A74" s="5">
        <f t="shared" si="6"/>
        <v>17</v>
      </c>
      <c r="B74" s="4">
        <f t="shared" si="7"/>
        <v>0</v>
      </c>
      <c r="C74" s="19" t="e">
        <f>'25hike'!C74+IPI_plus!C69</f>
        <v>#REF!</v>
      </c>
      <c r="D74" s="19" t="e">
        <f>'25hike'!D74+IPI_plus!D69</f>
        <v>#REF!</v>
      </c>
      <c r="E74" s="19" t="e">
        <f>'25hike'!E74+IPI_plus!E69</f>
        <v>#REF!</v>
      </c>
      <c r="F74" s="19" t="e">
        <f>'25hike'!F74+IPI_plus!F69</f>
        <v>#REF!</v>
      </c>
      <c r="G74" s="19" t="e">
        <f>'25hike'!G74+IPI_plus!G69</f>
        <v>#REF!</v>
      </c>
    </row>
    <row r="75" spans="1:7" hidden="1" x14ac:dyDescent="0.55000000000000004">
      <c r="A75" s="5">
        <f t="shared" si="6"/>
        <v>17.25</v>
      </c>
      <c r="B75" s="4">
        <f t="shared" si="7"/>
        <v>0</v>
      </c>
      <c r="C75" s="19" t="e">
        <f>'25hike'!C75+IPI_plus!C70</f>
        <v>#REF!</v>
      </c>
      <c r="D75" s="19" t="e">
        <f>'25hike'!D75+IPI_plus!D70</f>
        <v>#REF!</v>
      </c>
      <c r="E75" s="19" t="e">
        <f>'25hike'!E75+IPI_plus!E70</f>
        <v>#REF!</v>
      </c>
      <c r="F75" s="19" t="e">
        <f>'25hike'!F75+IPI_plus!F70</f>
        <v>#REF!</v>
      </c>
      <c r="G75" s="19" t="e">
        <f>'25hike'!G75+IPI_plus!G70</f>
        <v>#REF!</v>
      </c>
    </row>
    <row r="76" spans="1:7" hidden="1" x14ac:dyDescent="0.55000000000000004">
      <c r="A76" s="5">
        <f t="shared" si="6"/>
        <v>17.5</v>
      </c>
      <c r="B76" s="4">
        <f t="shared" si="7"/>
        <v>0</v>
      </c>
      <c r="C76" s="19" t="e">
        <f>'25hike'!C76+IPI_plus!C71</f>
        <v>#REF!</v>
      </c>
      <c r="D76" s="19" t="e">
        <f>'25hike'!D76+IPI_plus!D71</f>
        <v>#REF!</v>
      </c>
      <c r="E76" s="19" t="e">
        <f>'25hike'!E76+IPI_plus!E71</f>
        <v>#REF!</v>
      </c>
      <c r="F76" s="19" t="e">
        <f>'25hike'!F76+IPI_plus!F71</f>
        <v>#REF!</v>
      </c>
      <c r="G76" s="19" t="e">
        <f>'25hike'!G76+IPI_plus!G71</f>
        <v>#REF!</v>
      </c>
    </row>
    <row r="77" spans="1:7" hidden="1" x14ac:dyDescent="0.55000000000000004">
      <c r="A77" s="5">
        <f t="shared" si="6"/>
        <v>17.75</v>
      </c>
      <c r="B77" s="4">
        <f t="shared" si="7"/>
        <v>0</v>
      </c>
      <c r="C77" s="19" t="e">
        <f>'25hike'!C77+IPI_plus!C72</f>
        <v>#REF!</v>
      </c>
      <c r="D77" s="19" t="e">
        <f>'25hike'!D77+IPI_plus!D72</f>
        <v>#REF!</v>
      </c>
      <c r="E77" s="19" t="e">
        <f>'25hike'!E77+IPI_plus!E72</f>
        <v>#REF!</v>
      </c>
      <c r="F77" s="19" t="e">
        <f>'25hike'!F77+IPI_plus!F72</f>
        <v>#REF!</v>
      </c>
      <c r="G77" s="19" t="e">
        <f>'25hike'!G77+IPI_plus!G72</f>
        <v>#REF!</v>
      </c>
    </row>
    <row r="78" spans="1:7" hidden="1" x14ac:dyDescent="0.55000000000000004">
      <c r="A78" s="5">
        <f t="shared" si="6"/>
        <v>18</v>
      </c>
      <c r="B78" s="4">
        <f t="shared" si="7"/>
        <v>0</v>
      </c>
      <c r="C78" s="19" t="e">
        <f>'25hike'!C78+IPI_plus!C73</f>
        <v>#REF!</v>
      </c>
      <c r="D78" s="19" t="e">
        <f>'25hike'!D78+IPI_plus!D73</f>
        <v>#REF!</v>
      </c>
      <c r="E78" s="19" t="e">
        <f>'25hike'!E78+IPI_plus!E73</f>
        <v>#REF!</v>
      </c>
      <c r="F78" s="19" t="e">
        <f>'25hike'!F78+IPI_plus!F73</f>
        <v>#REF!</v>
      </c>
      <c r="G78" s="19" t="e">
        <f>'25hike'!G78+IPI_plus!G73</f>
        <v>#REF!</v>
      </c>
    </row>
    <row r="79" spans="1:7" hidden="1" x14ac:dyDescent="0.55000000000000004">
      <c r="A79" s="5">
        <f t="shared" si="6"/>
        <v>18.25</v>
      </c>
      <c r="B79" s="4">
        <f t="shared" si="7"/>
        <v>0</v>
      </c>
      <c r="C79" s="19" t="e">
        <f>'25hike'!C79+IPI_plus!C74</f>
        <v>#REF!</v>
      </c>
      <c r="D79" s="19" t="e">
        <f>'25hike'!D79+IPI_plus!D74</f>
        <v>#REF!</v>
      </c>
      <c r="E79" s="19" t="e">
        <f>'25hike'!E79+IPI_plus!E74</f>
        <v>#REF!</v>
      </c>
      <c r="F79" s="19" t="e">
        <f>'25hike'!F79+IPI_plus!F74</f>
        <v>#REF!</v>
      </c>
      <c r="G79" s="19" t="e">
        <f>'25hike'!G79+IPI_plus!G74</f>
        <v>#REF!</v>
      </c>
    </row>
    <row r="80" spans="1:7" hidden="1" x14ac:dyDescent="0.55000000000000004">
      <c r="A80" s="5">
        <f t="shared" si="6"/>
        <v>18.5</v>
      </c>
      <c r="B80" s="4">
        <f t="shared" si="7"/>
        <v>0</v>
      </c>
      <c r="C80" s="19" t="e">
        <f>'25hike'!C80+IPI_plus!C75</f>
        <v>#REF!</v>
      </c>
      <c r="D80" s="19" t="e">
        <f>'25hike'!D80+IPI_plus!D75</f>
        <v>#REF!</v>
      </c>
      <c r="E80" s="19" t="e">
        <f>'25hike'!E80+IPI_plus!E75</f>
        <v>#REF!</v>
      </c>
      <c r="F80" s="19" t="e">
        <f>'25hike'!F80+IPI_plus!F75</f>
        <v>#REF!</v>
      </c>
      <c r="G80" s="19" t="e">
        <f>'25hike'!G80+IPI_plus!G75</f>
        <v>#REF!</v>
      </c>
    </row>
    <row r="81" spans="1:7" hidden="1" x14ac:dyDescent="0.55000000000000004">
      <c r="A81" s="5">
        <f t="shared" si="6"/>
        <v>18.75</v>
      </c>
      <c r="B81" s="4">
        <f t="shared" si="7"/>
        <v>0</v>
      </c>
      <c r="C81" s="19" t="e">
        <f>'25hike'!C81+IPI_plus!C76</f>
        <v>#REF!</v>
      </c>
      <c r="D81" s="19" t="e">
        <f>'25hike'!D81+IPI_plus!D76</f>
        <v>#REF!</v>
      </c>
      <c r="E81" s="19" t="e">
        <f>'25hike'!E81+IPI_plus!E76</f>
        <v>#REF!</v>
      </c>
      <c r="F81" s="19" t="e">
        <f>'25hike'!F81+IPI_plus!F76</f>
        <v>#REF!</v>
      </c>
      <c r="G81" s="19" t="e">
        <f>'25hike'!G81+IPI_plus!G76</f>
        <v>#REF!</v>
      </c>
    </row>
    <row r="82" spans="1:7" hidden="1" x14ac:dyDescent="0.55000000000000004">
      <c r="A82" s="5">
        <f t="shared" si="6"/>
        <v>19</v>
      </c>
      <c r="B82" s="4">
        <f t="shared" si="7"/>
        <v>0</v>
      </c>
      <c r="C82" s="19" t="e">
        <f>'25hike'!C82+IPI_plus!C77</f>
        <v>#REF!</v>
      </c>
      <c r="D82" s="19" t="e">
        <f>'25hike'!D82+IPI_plus!D77</f>
        <v>#REF!</v>
      </c>
      <c r="E82" s="19" t="e">
        <f>'25hike'!E82+IPI_plus!E77</f>
        <v>#REF!</v>
      </c>
      <c r="F82" s="19" t="e">
        <f>'25hike'!F82+IPI_plus!F77</f>
        <v>#REF!</v>
      </c>
      <c r="G82" s="19" t="e">
        <f>'25hike'!G82+IPI_plus!G77</f>
        <v>#REF!</v>
      </c>
    </row>
    <row r="83" spans="1:7" hidden="1" x14ac:dyDescent="0.55000000000000004">
      <c r="A83" s="5">
        <f t="shared" si="6"/>
        <v>19.25</v>
      </c>
      <c r="B83" s="4">
        <f t="shared" si="7"/>
        <v>0</v>
      </c>
      <c r="C83" s="19" t="e">
        <f>'25hike'!C83+IPI_plus!C78</f>
        <v>#REF!</v>
      </c>
      <c r="D83" s="19" t="e">
        <f>'25hike'!D83+IPI_plus!D78</f>
        <v>#REF!</v>
      </c>
      <c r="E83" s="19" t="e">
        <f>'25hike'!E83+IPI_plus!E78</f>
        <v>#REF!</v>
      </c>
      <c r="F83" s="19" t="e">
        <f>'25hike'!F83+IPI_plus!F78</f>
        <v>#REF!</v>
      </c>
      <c r="G83" s="19" t="e">
        <f>'25hike'!G83+IPI_plus!G78</f>
        <v>#REF!</v>
      </c>
    </row>
    <row r="84" spans="1:7" hidden="1" x14ac:dyDescent="0.55000000000000004">
      <c r="A84" s="5">
        <f t="shared" si="6"/>
        <v>19.5</v>
      </c>
      <c r="B84" s="4">
        <f t="shared" si="7"/>
        <v>0</v>
      </c>
      <c r="C84" s="19" t="e">
        <f>'25hike'!C84+IPI_plus!C79</f>
        <v>#REF!</v>
      </c>
      <c r="D84" s="19" t="e">
        <f>'25hike'!D84+IPI_plus!D79</f>
        <v>#REF!</v>
      </c>
      <c r="E84" s="19" t="e">
        <f>'25hike'!E84+IPI_plus!E79</f>
        <v>#REF!</v>
      </c>
      <c r="F84" s="19" t="e">
        <f>'25hike'!F84+IPI_plus!F79</f>
        <v>#REF!</v>
      </c>
      <c r="G84" s="19" t="e">
        <f>'25hike'!G84+IPI_plus!G79</f>
        <v>#REF!</v>
      </c>
    </row>
    <row r="85" spans="1:7" hidden="1" x14ac:dyDescent="0.55000000000000004">
      <c r="A85" s="5">
        <f t="shared" si="6"/>
        <v>19.75</v>
      </c>
      <c r="B85" s="4">
        <f t="shared" si="7"/>
        <v>0</v>
      </c>
      <c r="C85" s="19" t="e">
        <f>'25hike'!C85+IPI_plus!C80</f>
        <v>#REF!</v>
      </c>
      <c r="D85" s="19" t="e">
        <f>'25hike'!D85+IPI_plus!D80</f>
        <v>#REF!</v>
      </c>
      <c r="E85" s="19" t="e">
        <f>'25hike'!E85+IPI_plus!E80</f>
        <v>#REF!</v>
      </c>
      <c r="F85" s="19" t="e">
        <f>'25hike'!F85+IPI_plus!F80</f>
        <v>#REF!</v>
      </c>
      <c r="G85" s="19" t="e">
        <f>'25hike'!G85+IPI_plus!G80</f>
        <v>#REF!</v>
      </c>
    </row>
    <row r="86" spans="1:7" hidden="1" x14ac:dyDescent="0.55000000000000004">
      <c r="A86" s="5">
        <f t="shared" si="6"/>
        <v>20</v>
      </c>
      <c r="B86" s="4">
        <f t="shared" si="7"/>
        <v>0</v>
      </c>
      <c r="C86" s="19" t="e">
        <f>'25hike'!C86+IPI_plus!C81</f>
        <v>#REF!</v>
      </c>
      <c r="D86" s="19" t="e">
        <f>'25hike'!D86+IPI_plus!D81</f>
        <v>#REF!</v>
      </c>
      <c r="E86" s="19" t="e">
        <f>'25hike'!E86+IPI_plus!E81</f>
        <v>#REF!</v>
      </c>
      <c r="F86" s="19" t="e">
        <f>'25hike'!F86+IPI_plus!F81</f>
        <v>#REF!</v>
      </c>
      <c r="G86" s="19" t="e">
        <f>'25hike'!G86+IPI_plus!G81</f>
        <v>#REF!</v>
      </c>
    </row>
    <row r="87" spans="1:7" hidden="1" x14ac:dyDescent="0.55000000000000004">
      <c r="A87" s="5">
        <f t="shared" si="6"/>
        <v>20.25</v>
      </c>
      <c r="B87" s="4">
        <f t="shared" si="7"/>
        <v>0</v>
      </c>
      <c r="C87" s="19" t="e">
        <f>'25hike'!C87+IPI_plus!C82</f>
        <v>#REF!</v>
      </c>
      <c r="D87" s="19" t="e">
        <f>'25hike'!D87+IPI_plus!D82</f>
        <v>#REF!</v>
      </c>
      <c r="E87" s="19" t="e">
        <f>'25hike'!E87+IPI_plus!E82</f>
        <v>#REF!</v>
      </c>
      <c r="F87" s="19" t="e">
        <f>'25hike'!F87+IPI_plus!F82</f>
        <v>#REF!</v>
      </c>
      <c r="G87" s="19" t="e">
        <f>'25hike'!G87+IPI_plus!G82</f>
        <v>#REF!</v>
      </c>
    </row>
    <row r="88" spans="1:7" hidden="1" x14ac:dyDescent="0.55000000000000004">
      <c r="A88" s="5">
        <f t="shared" si="6"/>
        <v>20.5</v>
      </c>
      <c r="B88" s="4">
        <f t="shared" si="7"/>
        <v>0</v>
      </c>
      <c r="C88" s="19" t="e">
        <f>'25hike'!C88+IPI_plus!C83</f>
        <v>#REF!</v>
      </c>
      <c r="D88" s="19" t="e">
        <f>'25hike'!D88+IPI_plus!D83</f>
        <v>#REF!</v>
      </c>
      <c r="E88" s="19" t="e">
        <f>'25hike'!E88+IPI_plus!E83</f>
        <v>#REF!</v>
      </c>
      <c r="F88" s="19" t="e">
        <f>'25hike'!F88+IPI_plus!F83</f>
        <v>#REF!</v>
      </c>
      <c r="G88" s="19" t="e">
        <f>'25hike'!G88+IPI_plus!G83</f>
        <v>#REF!</v>
      </c>
    </row>
    <row r="89" spans="1:7" hidden="1" x14ac:dyDescent="0.55000000000000004">
      <c r="A89" s="5">
        <f t="shared" si="6"/>
        <v>20.75</v>
      </c>
      <c r="B89" s="4">
        <f t="shared" si="7"/>
        <v>0</v>
      </c>
      <c r="C89" s="19" t="e">
        <f>'25hike'!C89+IPI_plus!C84</f>
        <v>#REF!</v>
      </c>
      <c r="D89" s="19" t="e">
        <f>'25hike'!D89+IPI_plus!D84</f>
        <v>#REF!</v>
      </c>
      <c r="E89" s="19" t="e">
        <f>'25hike'!E89+IPI_plus!E84</f>
        <v>#REF!</v>
      </c>
      <c r="F89" s="19" t="e">
        <f>'25hike'!F89+IPI_plus!F84</f>
        <v>#REF!</v>
      </c>
      <c r="G89" s="19" t="e">
        <f>'25hike'!G89+IPI_plus!G84</f>
        <v>#REF!</v>
      </c>
    </row>
    <row r="90" spans="1:7" hidden="1" x14ac:dyDescent="0.55000000000000004">
      <c r="A90" s="5">
        <f t="shared" si="6"/>
        <v>21</v>
      </c>
      <c r="B90" s="4">
        <f t="shared" si="7"/>
        <v>0</v>
      </c>
      <c r="C90" s="19" t="e">
        <f>'25hike'!C90+IPI_plus!C85</f>
        <v>#REF!</v>
      </c>
      <c r="D90" s="19" t="e">
        <f>'25hike'!D90+IPI_plus!D85</f>
        <v>#REF!</v>
      </c>
      <c r="E90" s="19" t="e">
        <f>'25hike'!E90+IPI_plus!E85</f>
        <v>#REF!</v>
      </c>
      <c r="F90" s="19" t="e">
        <f>'25hike'!F90+IPI_plus!F85</f>
        <v>#REF!</v>
      </c>
      <c r="G90" s="19" t="e">
        <f>'25hike'!G90+IPI_plus!G85</f>
        <v>#REF!</v>
      </c>
    </row>
    <row r="91" spans="1:7" hidden="1" x14ac:dyDescent="0.55000000000000004">
      <c r="A91" s="5">
        <f t="shared" si="6"/>
        <v>21.25</v>
      </c>
      <c r="B91" s="4">
        <f t="shared" si="7"/>
        <v>0</v>
      </c>
      <c r="C91" s="19" t="e">
        <f>'25hike'!C91+IPI_plus!C86</f>
        <v>#REF!</v>
      </c>
      <c r="D91" s="19" t="e">
        <f>'25hike'!D91+IPI_plus!D86</f>
        <v>#REF!</v>
      </c>
      <c r="E91" s="19" t="e">
        <f>'25hike'!E91+IPI_plus!E86</f>
        <v>#REF!</v>
      </c>
      <c r="F91" s="19" t="e">
        <f>'25hike'!F91+IPI_plus!F86</f>
        <v>#REF!</v>
      </c>
      <c r="G91" s="19" t="e">
        <f>'25hike'!G91+IPI_plus!G86</f>
        <v>#REF!</v>
      </c>
    </row>
    <row r="92" spans="1:7" hidden="1" x14ac:dyDescent="0.55000000000000004">
      <c r="A92" s="5">
        <f t="shared" si="6"/>
        <v>21.5</v>
      </c>
      <c r="B92" s="4">
        <f t="shared" si="7"/>
        <v>0</v>
      </c>
      <c r="C92" s="19" t="e">
        <f>'25hike'!C92+IPI_plus!C87</f>
        <v>#REF!</v>
      </c>
      <c r="D92" s="19" t="e">
        <f>'25hike'!D92+IPI_plus!D87</f>
        <v>#REF!</v>
      </c>
      <c r="E92" s="19" t="e">
        <f>'25hike'!E92+IPI_plus!E87</f>
        <v>#REF!</v>
      </c>
      <c r="F92" s="19" t="e">
        <f>'25hike'!F92+IPI_plus!F87</f>
        <v>#REF!</v>
      </c>
      <c r="G92" s="19" t="e">
        <f>'25hike'!G92+IPI_plus!G87</f>
        <v>#REF!</v>
      </c>
    </row>
    <row r="93" spans="1:7" hidden="1" x14ac:dyDescent="0.55000000000000004">
      <c r="A93" s="5">
        <f t="shared" si="6"/>
        <v>21.75</v>
      </c>
      <c r="B93" s="4">
        <f t="shared" si="7"/>
        <v>0</v>
      </c>
      <c r="C93" s="19" t="e">
        <f>'25hike'!C93+IPI_plus!C88</f>
        <v>#REF!</v>
      </c>
      <c r="D93" s="19" t="e">
        <f>'25hike'!D93+IPI_plus!D88</f>
        <v>#REF!</v>
      </c>
      <c r="E93" s="19" t="e">
        <f>'25hike'!E93+IPI_plus!E88</f>
        <v>#REF!</v>
      </c>
      <c r="F93" s="19" t="e">
        <f>'25hike'!F93+IPI_plus!F88</f>
        <v>#REF!</v>
      </c>
      <c r="G93" s="19" t="e">
        <f>'25hike'!G93+IPI_plus!G88</f>
        <v>#REF!</v>
      </c>
    </row>
    <row r="94" spans="1:7" hidden="1" x14ac:dyDescent="0.55000000000000004">
      <c r="A94" s="5">
        <f t="shared" si="6"/>
        <v>22</v>
      </c>
      <c r="B94" s="4">
        <f t="shared" si="7"/>
        <v>0</v>
      </c>
      <c r="C94" s="19" t="e">
        <f>'25hike'!C94+IPI_plus!C89</f>
        <v>#REF!</v>
      </c>
      <c r="D94" s="19" t="e">
        <f>'25hike'!D94+IPI_plus!D89</f>
        <v>#REF!</v>
      </c>
      <c r="E94" s="19" t="e">
        <f>'25hike'!E94+IPI_plus!E89</f>
        <v>#REF!</v>
      </c>
      <c r="F94" s="19" t="e">
        <f>'25hike'!F94+IPI_plus!F89</f>
        <v>#REF!</v>
      </c>
      <c r="G94" s="19" t="e">
        <f>'25hike'!G94+IPI_plus!G89</f>
        <v>#REF!</v>
      </c>
    </row>
    <row r="95" spans="1:7" hidden="1" x14ac:dyDescent="0.55000000000000004">
      <c r="A95" s="5">
        <f t="shared" si="6"/>
        <v>22.25</v>
      </c>
      <c r="B95" s="4">
        <f t="shared" si="7"/>
        <v>0</v>
      </c>
      <c r="C95" s="19" t="e">
        <f>'25hike'!C95+IPI_plus!C90</f>
        <v>#REF!</v>
      </c>
      <c r="D95" s="19" t="e">
        <f>'25hike'!D95+IPI_plus!D90</f>
        <v>#REF!</v>
      </c>
      <c r="E95" s="19" t="e">
        <f>'25hike'!E95+IPI_plus!E90</f>
        <v>#REF!</v>
      </c>
      <c r="F95" s="19" t="e">
        <f>'25hike'!F95+IPI_plus!F90</f>
        <v>#REF!</v>
      </c>
      <c r="G95" s="19" t="e">
        <f>'25hike'!G95+IPI_plus!G90</f>
        <v>#REF!</v>
      </c>
    </row>
    <row r="96" spans="1:7" hidden="1" x14ac:dyDescent="0.55000000000000004">
      <c r="A96" s="5">
        <f t="shared" si="6"/>
        <v>22.5</v>
      </c>
      <c r="B96" s="4">
        <f t="shared" si="7"/>
        <v>0</v>
      </c>
      <c r="C96" s="19" t="e">
        <f>'25hike'!C96+IPI_plus!C91</f>
        <v>#REF!</v>
      </c>
      <c r="D96" s="19" t="e">
        <f>'25hike'!D96+IPI_plus!D91</f>
        <v>#REF!</v>
      </c>
      <c r="E96" s="19" t="e">
        <f>'25hike'!E96+IPI_plus!E91</f>
        <v>#REF!</v>
      </c>
      <c r="F96" s="19" t="e">
        <f>'25hike'!F96+IPI_plus!F91</f>
        <v>#REF!</v>
      </c>
      <c r="G96" s="19" t="e">
        <f>'25hike'!G96+IPI_plus!G91</f>
        <v>#REF!</v>
      </c>
    </row>
    <row r="97" spans="1:7" hidden="1" x14ac:dyDescent="0.55000000000000004">
      <c r="A97" s="5">
        <f t="shared" si="6"/>
        <v>22.75</v>
      </c>
      <c r="B97" s="4">
        <f t="shared" si="7"/>
        <v>0</v>
      </c>
      <c r="C97" s="19" t="e">
        <f>'25hike'!C97+IPI_plus!C92</f>
        <v>#REF!</v>
      </c>
      <c r="D97" s="19" t="e">
        <f>'25hike'!D97+IPI_plus!D92</f>
        <v>#REF!</v>
      </c>
      <c r="E97" s="19" t="e">
        <f>'25hike'!E97+IPI_plus!E92</f>
        <v>#REF!</v>
      </c>
      <c r="F97" s="19" t="e">
        <f>'25hike'!F97+IPI_plus!F92</f>
        <v>#REF!</v>
      </c>
      <c r="G97" s="19" t="e">
        <f>'25hike'!G97+IPI_plus!G92</f>
        <v>#REF!</v>
      </c>
    </row>
    <row r="98" spans="1:7" hidden="1" x14ac:dyDescent="0.55000000000000004">
      <c r="A98" s="5">
        <f t="shared" si="6"/>
        <v>23</v>
      </c>
      <c r="B98" s="4">
        <f t="shared" si="7"/>
        <v>0</v>
      </c>
      <c r="C98" s="19" t="e">
        <f>'25hike'!C98+IPI_plus!C93</f>
        <v>#REF!</v>
      </c>
      <c r="D98" s="19" t="e">
        <f>'25hike'!D98+IPI_plus!D93</f>
        <v>#REF!</v>
      </c>
      <c r="E98" s="19" t="e">
        <f>'25hike'!E98+IPI_plus!E93</f>
        <v>#REF!</v>
      </c>
      <c r="F98" s="19" t="e">
        <f>'25hike'!F98+IPI_plus!F93</f>
        <v>#REF!</v>
      </c>
      <c r="G98" s="19" t="e">
        <f>'25hike'!G98+IPI_plus!G93</f>
        <v>#REF!</v>
      </c>
    </row>
    <row r="99" spans="1:7" hidden="1" x14ac:dyDescent="0.55000000000000004">
      <c r="A99" s="5">
        <f t="shared" si="6"/>
        <v>23.25</v>
      </c>
      <c r="B99" s="4">
        <f t="shared" si="7"/>
        <v>0</v>
      </c>
      <c r="C99" s="19" t="e">
        <f>'25hike'!C99+IPI_plus!C94</f>
        <v>#REF!</v>
      </c>
      <c r="D99" s="19" t="e">
        <f>'25hike'!D99+IPI_plus!D94</f>
        <v>#REF!</v>
      </c>
      <c r="E99" s="19" t="e">
        <f>'25hike'!E99+IPI_plus!E94</f>
        <v>#REF!</v>
      </c>
      <c r="F99" s="19" t="e">
        <f>'25hike'!F99+IPI_plus!F94</f>
        <v>#REF!</v>
      </c>
      <c r="G99" s="19" t="e">
        <f>'25hike'!G99+IPI_plus!G94</f>
        <v>#REF!</v>
      </c>
    </row>
    <row r="100" spans="1:7" hidden="1" x14ac:dyDescent="0.55000000000000004">
      <c r="A100" s="5">
        <f t="shared" si="6"/>
        <v>23.5</v>
      </c>
      <c r="B100" s="4">
        <f t="shared" si="7"/>
        <v>0</v>
      </c>
      <c r="C100" s="19" t="e">
        <f>'25hike'!C100+IPI_plus!C95</f>
        <v>#REF!</v>
      </c>
      <c r="D100" s="19" t="e">
        <f>'25hike'!D100+IPI_plus!D95</f>
        <v>#REF!</v>
      </c>
      <c r="E100" s="19" t="e">
        <f>'25hike'!E100+IPI_plus!E95</f>
        <v>#REF!</v>
      </c>
      <c r="F100" s="19" t="e">
        <f>'25hike'!F100+IPI_plus!F95</f>
        <v>#REF!</v>
      </c>
      <c r="G100" s="19" t="e">
        <f>'25hike'!G100+IPI_plus!G95</f>
        <v>#REF!</v>
      </c>
    </row>
    <row r="101" spans="1:7" hidden="1" x14ac:dyDescent="0.55000000000000004">
      <c r="A101" s="5">
        <f t="shared" si="6"/>
        <v>23.75</v>
      </c>
      <c r="B101" s="4">
        <f t="shared" si="7"/>
        <v>0</v>
      </c>
      <c r="C101" s="19" t="e">
        <f>'25hike'!C101+IPI_plus!C96</f>
        <v>#REF!</v>
      </c>
      <c r="D101" s="19" t="e">
        <f>'25hike'!D101+IPI_plus!D96</f>
        <v>#REF!</v>
      </c>
      <c r="E101" s="19" t="e">
        <f>'25hike'!E101+IPI_plus!E96</f>
        <v>#REF!</v>
      </c>
      <c r="F101" s="19" t="e">
        <f>'25hike'!F101+IPI_plus!F96</f>
        <v>#REF!</v>
      </c>
      <c r="G101" s="19" t="e">
        <f>'25hike'!G101+IPI_plus!G96</f>
        <v>#REF!</v>
      </c>
    </row>
    <row r="102" spans="1:7" hidden="1" x14ac:dyDescent="0.55000000000000004">
      <c r="A102" s="5">
        <f t="shared" si="6"/>
        <v>24</v>
      </c>
      <c r="B102" s="4">
        <f t="shared" si="7"/>
        <v>0</v>
      </c>
      <c r="C102" s="19" t="e">
        <f>'25hike'!C102+IPI_plus!C97</f>
        <v>#REF!</v>
      </c>
      <c r="D102" s="19" t="e">
        <f>'25hike'!D102+IPI_plus!D97</f>
        <v>#REF!</v>
      </c>
      <c r="E102" s="19" t="e">
        <f>'25hike'!E102+IPI_plus!E97</f>
        <v>#REF!</v>
      </c>
      <c r="F102" s="19" t="e">
        <f>'25hike'!F102+IPI_plus!F97</f>
        <v>#REF!</v>
      </c>
      <c r="G102" s="19" t="e">
        <f>'25hike'!G102+IPI_plus!G97</f>
        <v>#REF!</v>
      </c>
    </row>
    <row r="103" spans="1:7" hidden="1" x14ac:dyDescent="0.55000000000000004">
      <c r="A103" s="5">
        <f t="shared" si="6"/>
        <v>24.25</v>
      </c>
      <c r="B103" s="4">
        <f t="shared" si="7"/>
        <v>0</v>
      </c>
      <c r="C103" s="19" t="e">
        <f>'25hike'!C103+IPI_plus!C98</f>
        <v>#REF!</v>
      </c>
      <c r="D103" s="19" t="e">
        <f>'25hike'!D103+IPI_plus!D98</f>
        <v>#REF!</v>
      </c>
      <c r="E103" s="19" t="e">
        <f>'25hike'!E103+IPI_plus!E98</f>
        <v>#REF!</v>
      </c>
      <c r="F103" s="19" t="e">
        <f>'25hike'!F103+IPI_plus!F98</f>
        <v>#REF!</v>
      </c>
      <c r="G103" s="19" t="e">
        <f>'25hike'!G103+IPI_plus!G98</f>
        <v>#REF!</v>
      </c>
    </row>
    <row r="104" spans="1:7" hidden="1" x14ac:dyDescent="0.55000000000000004">
      <c r="A104" s="5">
        <f t="shared" si="6"/>
        <v>24.5</v>
      </c>
      <c r="B104" s="4">
        <f t="shared" si="7"/>
        <v>0</v>
      </c>
      <c r="C104" s="19" t="e">
        <f>'25hike'!C104+IPI_plus!C99</f>
        <v>#REF!</v>
      </c>
      <c r="D104" s="19" t="e">
        <f>'25hike'!D104+IPI_plus!D99</f>
        <v>#REF!</v>
      </c>
      <c r="E104" s="19" t="e">
        <f>'25hike'!E104+IPI_plus!E99</f>
        <v>#REF!</v>
      </c>
      <c r="F104" s="19" t="e">
        <f>'25hike'!F104+IPI_plus!F99</f>
        <v>#REF!</v>
      </c>
      <c r="G104" s="19" t="e">
        <f>'25hike'!G104+IPI_plus!G99</f>
        <v>#REF!</v>
      </c>
    </row>
    <row r="105" spans="1:7" hidden="1" x14ac:dyDescent="0.55000000000000004">
      <c r="A105" s="5">
        <f t="shared" si="6"/>
        <v>24.75</v>
      </c>
      <c r="B105" s="4">
        <f t="shared" si="7"/>
        <v>0</v>
      </c>
      <c r="C105" s="19" t="e">
        <f>'25hike'!C105+IPI_plus!C100</f>
        <v>#REF!</v>
      </c>
      <c r="D105" s="19" t="e">
        <f>'25hike'!D105+IPI_plus!D100</f>
        <v>#REF!</v>
      </c>
      <c r="E105" s="19" t="e">
        <f>'25hike'!E105+IPI_plus!E100</f>
        <v>#REF!</v>
      </c>
      <c r="F105" s="19" t="e">
        <f>'25hike'!F105+IPI_plus!F100</f>
        <v>#REF!</v>
      </c>
      <c r="G105" s="19" t="e">
        <f>'25hike'!G105+IPI_plus!G100</f>
        <v>#REF!</v>
      </c>
    </row>
    <row r="106" spans="1:7" hidden="1" x14ac:dyDescent="0.55000000000000004">
      <c r="A106" s="5">
        <f t="shared" si="6"/>
        <v>25</v>
      </c>
      <c r="B106" s="4">
        <f t="shared" si="7"/>
        <v>0</v>
      </c>
      <c r="C106" s="19" t="e">
        <f>'25hike'!C106+IPI_plus!C101</f>
        <v>#REF!</v>
      </c>
      <c r="D106" s="19" t="e">
        <f>'25hike'!D106+IPI_plus!D101</f>
        <v>#REF!</v>
      </c>
      <c r="E106" s="19" t="e">
        <f>'25hike'!E106+IPI_plus!E101</f>
        <v>#REF!</v>
      </c>
      <c r="F106" s="19" t="e">
        <f>'25hike'!F106+IPI_plus!F101</f>
        <v>#REF!</v>
      </c>
      <c r="G106" s="19" t="e">
        <f>'25hike'!G106+IPI_plus!G101</f>
        <v>#REF!</v>
      </c>
    </row>
    <row r="107" spans="1:7" hidden="1" x14ac:dyDescent="0.55000000000000004">
      <c r="A107" s="5">
        <f t="shared" si="6"/>
        <v>25.25</v>
      </c>
      <c r="B107" s="4">
        <f t="shared" si="7"/>
        <v>0</v>
      </c>
      <c r="C107" s="19" t="e">
        <f>'25hike'!C107+IPI_plus!C102</f>
        <v>#REF!</v>
      </c>
      <c r="D107" s="19" t="e">
        <f>'25hike'!D107+IPI_plus!D102</f>
        <v>#REF!</v>
      </c>
      <c r="E107" s="19" t="e">
        <f>'25hike'!E107+IPI_plus!E102</f>
        <v>#REF!</v>
      </c>
      <c r="F107" s="19" t="e">
        <f>'25hike'!F107+IPI_plus!F102</f>
        <v>#REF!</v>
      </c>
      <c r="G107" s="19" t="e">
        <f>'25hike'!G107+IPI_plus!G102</f>
        <v>#REF!</v>
      </c>
    </row>
    <row r="108" spans="1:7" hidden="1" x14ac:dyDescent="0.55000000000000004">
      <c r="A108" s="5">
        <f t="shared" si="6"/>
        <v>25.5</v>
      </c>
      <c r="B108" s="4">
        <f t="shared" si="7"/>
        <v>0</v>
      </c>
      <c r="C108" s="19" t="e">
        <f>'25hike'!C108+IPI_plus!C103</f>
        <v>#REF!</v>
      </c>
      <c r="D108" s="19" t="e">
        <f>'25hike'!D108+IPI_plus!D103</f>
        <v>#REF!</v>
      </c>
      <c r="E108" s="19" t="e">
        <f>'25hike'!E108+IPI_plus!E103</f>
        <v>#REF!</v>
      </c>
      <c r="F108" s="19" t="e">
        <f>'25hike'!F108+IPI_plus!F103</f>
        <v>#REF!</v>
      </c>
      <c r="G108" s="19" t="e">
        <f>'25hike'!G108+IPI_plus!G103</f>
        <v>#REF!</v>
      </c>
    </row>
    <row r="109" spans="1:7" hidden="1" x14ac:dyDescent="0.55000000000000004">
      <c r="A109" s="5">
        <f t="shared" si="6"/>
        <v>25.75</v>
      </c>
      <c r="B109" s="4">
        <f t="shared" si="7"/>
        <v>0</v>
      </c>
      <c r="C109" s="19" t="e">
        <f>'25hike'!C109+IPI_plus!C104</f>
        <v>#REF!</v>
      </c>
      <c r="D109" s="19" t="e">
        <f>'25hike'!D109+IPI_plus!D104</f>
        <v>#REF!</v>
      </c>
      <c r="E109" s="19" t="e">
        <f>'25hike'!E109+IPI_plus!E104</f>
        <v>#REF!</v>
      </c>
      <c r="F109" s="19" t="e">
        <f>'25hike'!F109+IPI_plus!F104</f>
        <v>#REF!</v>
      </c>
      <c r="G109" s="19" t="e">
        <f>'25hike'!G109+IPI_plus!G104</f>
        <v>#REF!</v>
      </c>
    </row>
    <row r="110" spans="1:7" hidden="1" x14ac:dyDescent="0.55000000000000004">
      <c r="A110" s="5">
        <f t="shared" si="6"/>
        <v>26</v>
      </c>
      <c r="B110" s="4">
        <f t="shared" si="7"/>
        <v>0</v>
      </c>
      <c r="C110" s="19" t="e">
        <f>'25hike'!C110+IPI_plus!C105</f>
        <v>#REF!</v>
      </c>
      <c r="D110" s="19" t="e">
        <f>'25hike'!D110+IPI_plus!D105</f>
        <v>#REF!</v>
      </c>
      <c r="E110" s="19" t="e">
        <f>'25hike'!E110+IPI_plus!E105</f>
        <v>#REF!</v>
      </c>
      <c r="F110" s="19" t="e">
        <f>'25hike'!F110+IPI_plus!F105</f>
        <v>#REF!</v>
      </c>
      <c r="G110" s="19" t="e">
        <f>'25hike'!G110+IPI_plus!G105</f>
        <v>#REF!</v>
      </c>
    </row>
    <row r="111" spans="1:7" hidden="1" x14ac:dyDescent="0.55000000000000004">
      <c r="A111" s="5">
        <f t="shared" si="6"/>
        <v>26.25</v>
      </c>
      <c r="B111" s="4">
        <f t="shared" si="7"/>
        <v>0</v>
      </c>
      <c r="C111" s="19" t="e">
        <f>'25hike'!C111+IPI_plus!C106</f>
        <v>#REF!</v>
      </c>
      <c r="D111" s="19" t="e">
        <f>'25hike'!D111+IPI_plus!D106</f>
        <v>#REF!</v>
      </c>
      <c r="E111" s="19" t="e">
        <f>'25hike'!E111+IPI_plus!E106</f>
        <v>#REF!</v>
      </c>
      <c r="F111" s="19" t="e">
        <f>'25hike'!F111+IPI_plus!F106</f>
        <v>#REF!</v>
      </c>
      <c r="G111" s="19" t="e">
        <f>'25hike'!G111+IPI_plus!G106</f>
        <v>#REF!</v>
      </c>
    </row>
    <row r="112" spans="1:7" hidden="1" x14ac:dyDescent="0.55000000000000004">
      <c r="A112" s="5">
        <f t="shared" si="6"/>
        <v>26.5</v>
      </c>
      <c r="B112" s="4">
        <f t="shared" si="7"/>
        <v>0</v>
      </c>
      <c r="C112" s="19" t="e">
        <f>'25hike'!C112+IPI_plus!C107</f>
        <v>#REF!</v>
      </c>
      <c r="D112" s="19" t="e">
        <f>'25hike'!D112+IPI_plus!D107</f>
        <v>#REF!</v>
      </c>
      <c r="E112" s="19" t="e">
        <f>'25hike'!E112+IPI_plus!E107</f>
        <v>#REF!</v>
      </c>
      <c r="F112" s="19" t="e">
        <f>'25hike'!F112+IPI_plus!F107</f>
        <v>#REF!</v>
      </c>
      <c r="G112" s="19" t="e">
        <f>'25hike'!G112+IPI_plus!G107</f>
        <v>#REF!</v>
      </c>
    </row>
    <row r="113" spans="1:7" hidden="1" x14ac:dyDescent="0.55000000000000004">
      <c r="A113" s="5">
        <f t="shared" si="6"/>
        <v>26.75</v>
      </c>
      <c r="B113" s="4">
        <f t="shared" si="7"/>
        <v>0</v>
      </c>
      <c r="C113" s="19" t="e">
        <f>'25hike'!C113+IPI_plus!C108</f>
        <v>#REF!</v>
      </c>
      <c r="D113" s="19" t="e">
        <f>'25hike'!D113+IPI_plus!D108</f>
        <v>#REF!</v>
      </c>
      <c r="E113" s="19" t="e">
        <f>'25hike'!E113+IPI_plus!E108</f>
        <v>#REF!</v>
      </c>
      <c r="F113" s="19" t="e">
        <f>'25hike'!F113+IPI_plus!F108</f>
        <v>#REF!</v>
      </c>
      <c r="G113" s="19" t="e">
        <f>'25hike'!G113+IPI_plus!G108</f>
        <v>#REF!</v>
      </c>
    </row>
    <row r="114" spans="1:7" hidden="1" x14ac:dyDescent="0.55000000000000004">
      <c r="A114" s="5">
        <f t="shared" si="6"/>
        <v>27</v>
      </c>
      <c r="B114" s="4">
        <f t="shared" si="7"/>
        <v>0</v>
      </c>
      <c r="C114" s="19" t="e">
        <f>'25hike'!C114+IPI_plus!C109</f>
        <v>#REF!</v>
      </c>
      <c r="D114" s="19" t="e">
        <f>'25hike'!D114+IPI_plus!D109</f>
        <v>#REF!</v>
      </c>
      <c r="E114" s="19" t="e">
        <f>'25hike'!E114+IPI_plus!E109</f>
        <v>#REF!</v>
      </c>
      <c r="F114" s="19" t="e">
        <f>'25hike'!F114+IPI_plus!F109</f>
        <v>#REF!</v>
      </c>
      <c r="G114" s="19" t="e">
        <f>'25hike'!G114+IPI_plus!G109</f>
        <v>#REF!</v>
      </c>
    </row>
    <row r="115" spans="1:7" hidden="1" x14ac:dyDescent="0.55000000000000004">
      <c r="A115" s="5">
        <f t="shared" si="6"/>
        <v>27.25</v>
      </c>
      <c r="B115" s="4">
        <f t="shared" si="7"/>
        <v>0</v>
      </c>
      <c r="C115" s="19" t="e">
        <f>'25hike'!C115+IPI_plus!C110</f>
        <v>#REF!</v>
      </c>
      <c r="D115" s="19" t="e">
        <f>'25hike'!D115+IPI_plus!D110</f>
        <v>#REF!</v>
      </c>
      <c r="E115" s="19" t="e">
        <f>'25hike'!E115+IPI_plus!E110</f>
        <v>#REF!</v>
      </c>
      <c r="F115" s="19" t="e">
        <f>'25hike'!F115+IPI_plus!F110</f>
        <v>#REF!</v>
      </c>
      <c r="G115" s="19" t="e">
        <f>'25hike'!G115+IPI_plus!G110</f>
        <v>#REF!</v>
      </c>
    </row>
    <row r="116" spans="1:7" hidden="1" x14ac:dyDescent="0.55000000000000004">
      <c r="A116" s="5">
        <f t="shared" si="6"/>
        <v>27.5</v>
      </c>
      <c r="B116" s="4">
        <f t="shared" si="7"/>
        <v>0</v>
      </c>
      <c r="C116" s="19" t="e">
        <f>'25hike'!C116+IPI_plus!C111</f>
        <v>#REF!</v>
      </c>
      <c r="D116" s="19" t="e">
        <f>'25hike'!D116+IPI_plus!D111</f>
        <v>#REF!</v>
      </c>
      <c r="E116" s="19" t="e">
        <f>'25hike'!E116+IPI_plus!E111</f>
        <v>#REF!</v>
      </c>
      <c r="F116" s="19" t="e">
        <f>'25hike'!F116+IPI_plus!F111</f>
        <v>#REF!</v>
      </c>
      <c r="G116" s="19" t="e">
        <f>'25hike'!G116+IPI_plus!G111</f>
        <v>#REF!</v>
      </c>
    </row>
    <row r="117" spans="1:7" hidden="1" x14ac:dyDescent="0.55000000000000004">
      <c r="A117" s="5">
        <f t="shared" si="6"/>
        <v>27.75</v>
      </c>
      <c r="B117" s="4">
        <f t="shared" si="7"/>
        <v>0</v>
      </c>
      <c r="C117" s="19" t="e">
        <f>'25hike'!C117+IPI_plus!C112</f>
        <v>#REF!</v>
      </c>
      <c r="D117" s="19" t="e">
        <f>'25hike'!D117+IPI_plus!D112</f>
        <v>#REF!</v>
      </c>
      <c r="E117" s="19" t="e">
        <f>'25hike'!E117+IPI_plus!E112</f>
        <v>#REF!</v>
      </c>
      <c r="F117" s="19" t="e">
        <f>'25hike'!F117+IPI_plus!F112</f>
        <v>#REF!</v>
      </c>
      <c r="G117" s="19" t="e">
        <f>'25hike'!G117+IPI_plus!G112</f>
        <v>#REF!</v>
      </c>
    </row>
    <row r="118" spans="1:7" hidden="1" x14ac:dyDescent="0.55000000000000004">
      <c r="A118" s="5">
        <f t="shared" si="6"/>
        <v>28</v>
      </c>
      <c r="B118" s="4">
        <f t="shared" si="7"/>
        <v>0</v>
      </c>
      <c r="C118" s="19" t="e">
        <f>'25hike'!C118+IPI_plus!C113</f>
        <v>#REF!</v>
      </c>
      <c r="D118" s="19" t="e">
        <f>'25hike'!D118+IPI_plus!D113</f>
        <v>#REF!</v>
      </c>
      <c r="E118" s="19" t="e">
        <f>'25hike'!E118+IPI_plus!E113</f>
        <v>#REF!</v>
      </c>
      <c r="F118" s="19" t="e">
        <f>'25hike'!F118+IPI_plus!F113</f>
        <v>#REF!</v>
      </c>
      <c r="G118" s="19" t="e">
        <f>'25hike'!G118+IPI_plus!G113</f>
        <v>#REF!</v>
      </c>
    </row>
    <row r="119" spans="1:7" hidden="1" x14ac:dyDescent="0.55000000000000004">
      <c r="A119" s="5">
        <f t="shared" si="6"/>
        <v>28.25</v>
      </c>
      <c r="B119" s="4">
        <f t="shared" si="7"/>
        <v>0</v>
      </c>
      <c r="C119" s="19" t="e">
        <f>'25hike'!C119+IPI_plus!C114</f>
        <v>#REF!</v>
      </c>
      <c r="D119" s="19" t="e">
        <f>'25hike'!D119+IPI_plus!D114</f>
        <v>#REF!</v>
      </c>
      <c r="E119" s="19" t="e">
        <f>'25hike'!E119+IPI_plus!E114</f>
        <v>#REF!</v>
      </c>
      <c r="F119" s="19" t="e">
        <f>'25hike'!F119+IPI_plus!F114</f>
        <v>#REF!</v>
      </c>
      <c r="G119" s="19" t="e">
        <f>'25hike'!G119+IPI_plus!G114</f>
        <v>#REF!</v>
      </c>
    </row>
    <row r="120" spans="1:7" hidden="1" x14ac:dyDescent="0.55000000000000004">
      <c r="A120" s="5">
        <f t="shared" si="6"/>
        <v>28.5</v>
      </c>
      <c r="B120" s="4">
        <f t="shared" si="7"/>
        <v>0</v>
      </c>
      <c r="C120" s="19" t="e">
        <f>'25hike'!C120+IPI_plus!C115</f>
        <v>#REF!</v>
      </c>
      <c r="D120" s="19" t="e">
        <f>'25hike'!D120+IPI_plus!D115</f>
        <v>#REF!</v>
      </c>
      <c r="E120" s="19" t="e">
        <f>'25hike'!E120+IPI_plus!E115</f>
        <v>#REF!</v>
      </c>
      <c r="F120" s="19" t="e">
        <f>'25hike'!F120+IPI_plus!F115</f>
        <v>#REF!</v>
      </c>
      <c r="G120" s="19" t="e">
        <f>'25hike'!G120+IPI_plus!G115</f>
        <v>#REF!</v>
      </c>
    </row>
    <row r="121" spans="1:7" hidden="1" x14ac:dyDescent="0.55000000000000004">
      <c r="A121" s="5">
        <f t="shared" si="6"/>
        <v>28.75</v>
      </c>
      <c r="B121" s="4">
        <f t="shared" si="7"/>
        <v>0</v>
      </c>
      <c r="C121" s="19" t="e">
        <f>'25hike'!C121+IPI_plus!C116</f>
        <v>#REF!</v>
      </c>
      <c r="D121" s="19" t="e">
        <f>'25hike'!D121+IPI_plus!D116</f>
        <v>#REF!</v>
      </c>
      <c r="E121" s="19" t="e">
        <f>'25hike'!E121+IPI_plus!E116</f>
        <v>#REF!</v>
      </c>
      <c r="F121" s="19" t="e">
        <f>'25hike'!F121+IPI_plus!F116</f>
        <v>#REF!</v>
      </c>
      <c r="G121" s="19" t="e">
        <f>'25hike'!G121+IPI_plus!G116</f>
        <v>#REF!</v>
      </c>
    </row>
    <row r="122" spans="1:7" hidden="1" x14ac:dyDescent="0.55000000000000004">
      <c r="A122" s="5">
        <f t="shared" si="6"/>
        <v>29</v>
      </c>
      <c r="B122" s="4">
        <f t="shared" si="7"/>
        <v>0</v>
      </c>
      <c r="C122" s="19" t="e">
        <f>'25hike'!C122+IPI_plus!C117</f>
        <v>#REF!</v>
      </c>
      <c r="D122" s="19" t="e">
        <f>'25hike'!D122+IPI_plus!D117</f>
        <v>#REF!</v>
      </c>
      <c r="E122" s="19" t="e">
        <f>'25hike'!E122+IPI_plus!E117</f>
        <v>#REF!</v>
      </c>
      <c r="F122" s="19" t="e">
        <f>'25hike'!F122+IPI_plus!F117</f>
        <v>#REF!</v>
      </c>
      <c r="G122" s="19" t="e">
        <f>'25hike'!G122+IPI_plus!G117</f>
        <v>#REF!</v>
      </c>
    </row>
    <row r="123" spans="1:7" hidden="1" x14ac:dyDescent="0.55000000000000004">
      <c r="A123" s="5">
        <f t="shared" si="6"/>
        <v>29.25</v>
      </c>
      <c r="B123" s="4">
        <f t="shared" si="7"/>
        <v>0</v>
      </c>
      <c r="C123" s="19" t="e">
        <f>'25hike'!C123+IPI_plus!C118</f>
        <v>#REF!</v>
      </c>
      <c r="D123" s="19" t="e">
        <f>'25hike'!D123+IPI_plus!D118</f>
        <v>#REF!</v>
      </c>
      <c r="E123" s="19" t="e">
        <f>'25hike'!E123+IPI_plus!E118</f>
        <v>#REF!</v>
      </c>
      <c r="F123" s="19" t="e">
        <f>'25hike'!F123+IPI_plus!F118</f>
        <v>#REF!</v>
      </c>
      <c r="G123" s="19" t="e">
        <f>'25hike'!G123+IPI_plus!G118</f>
        <v>#REF!</v>
      </c>
    </row>
    <row r="124" spans="1:7" hidden="1" x14ac:dyDescent="0.55000000000000004">
      <c r="A124" s="5">
        <f t="shared" si="6"/>
        <v>29.5</v>
      </c>
      <c r="B124" s="4">
        <f t="shared" si="7"/>
        <v>0</v>
      </c>
      <c r="C124" s="19" t="e">
        <f>'25hike'!C124+IPI_plus!C119</f>
        <v>#REF!</v>
      </c>
      <c r="D124" s="19" t="e">
        <f>'25hike'!D124+IPI_plus!D119</f>
        <v>#REF!</v>
      </c>
      <c r="E124" s="19" t="e">
        <f>'25hike'!E124+IPI_plus!E119</f>
        <v>#REF!</v>
      </c>
      <c r="F124" s="19" t="e">
        <f>'25hike'!F124+IPI_plus!F119</f>
        <v>#REF!</v>
      </c>
      <c r="G124" s="19" t="e">
        <f>'25hike'!G124+IPI_plus!G119</f>
        <v>#REF!</v>
      </c>
    </row>
    <row r="125" spans="1:7" hidden="1" x14ac:dyDescent="0.55000000000000004">
      <c r="A125" s="5">
        <f t="shared" si="6"/>
        <v>29.75</v>
      </c>
      <c r="B125" s="4">
        <f t="shared" si="7"/>
        <v>0</v>
      </c>
      <c r="C125" s="19" t="e">
        <f>'25hike'!C125+IPI_plus!C120</f>
        <v>#REF!</v>
      </c>
      <c r="D125" s="19" t="e">
        <f>'25hike'!D125+IPI_plus!D120</f>
        <v>#REF!</v>
      </c>
      <c r="E125" s="19" t="e">
        <f>'25hike'!E125+IPI_plus!E120</f>
        <v>#REF!</v>
      </c>
      <c r="F125" s="19" t="e">
        <f>'25hike'!F125+IPI_plus!F120</f>
        <v>#REF!</v>
      </c>
      <c r="G125" s="19" t="e">
        <f>'25hike'!G125+IPI_plus!G120</f>
        <v>#REF!</v>
      </c>
    </row>
    <row r="126" spans="1:7" hidden="1" x14ac:dyDescent="0.55000000000000004">
      <c r="A126" s="5">
        <f t="shared" si="6"/>
        <v>30</v>
      </c>
      <c r="B126" s="4">
        <f t="shared" si="7"/>
        <v>0</v>
      </c>
      <c r="C126" s="19" t="e">
        <f>'25hike'!C126+IPI_plus!C121</f>
        <v>#REF!</v>
      </c>
      <c r="D126" s="19" t="e">
        <f>'25hike'!D126+IPI_plus!D121</f>
        <v>#REF!</v>
      </c>
      <c r="E126" s="19" t="e">
        <f>'25hike'!E126+IPI_plus!E121</f>
        <v>#REF!</v>
      </c>
      <c r="F126" s="19" t="e">
        <f>'25hike'!F126+IPI_plus!F121</f>
        <v>#REF!</v>
      </c>
      <c r="G126" s="19" t="e">
        <f>'25hike'!G126+IPI_plus!G121</f>
        <v>#REF!</v>
      </c>
    </row>
    <row r="127" spans="1:7" hidden="1" x14ac:dyDescent="0.55000000000000004">
      <c r="A127" s="5">
        <f t="shared" si="6"/>
        <v>30.25</v>
      </c>
      <c r="B127" s="4">
        <f t="shared" si="7"/>
        <v>0</v>
      </c>
      <c r="C127" s="19" t="e">
        <f>'25hike'!C127+IPI_plus!C122</f>
        <v>#REF!</v>
      </c>
      <c r="D127" s="19" t="e">
        <f>'25hike'!D127+IPI_plus!D122</f>
        <v>#REF!</v>
      </c>
      <c r="E127" s="19" t="e">
        <f>'25hike'!E127+IPI_plus!E122</f>
        <v>#REF!</v>
      </c>
      <c r="F127" s="19" t="e">
        <f>'25hike'!F127+IPI_plus!F122</f>
        <v>#REF!</v>
      </c>
      <c r="G127" s="19" t="e">
        <f>'25hike'!G127+IPI_plus!G122</f>
        <v>#REF!</v>
      </c>
    </row>
    <row r="128" spans="1:7" hidden="1" x14ac:dyDescent="0.55000000000000004">
      <c r="A128" s="5">
        <f t="shared" si="6"/>
        <v>30.5</v>
      </c>
      <c r="B128" s="4">
        <f t="shared" si="7"/>
        <v>0</v>
      </c>
      <c r="C128" s="19" t="e">
        <f>'25hike'!C128+IPI_plus!C123</f>
        <v>#REF!</v>
      </c>
      <c r="D128" s="19" t="e">
        <f>'25hike'!D128+IPI_plus!D123</f>
        <v>#REF!</v>
      </c>
      <c r="E128" s="19" t="e">
        <f>'25hike'!E128+IPI_plus!E123</f>
        <v>#REF!</v>
      </c>
      <c r="F128" s="19" t="e">
        <f>'25hike'!F128+IPI_plus!F123</f>
        <v>#REF!</v>
      </c>
      <c r="G128" s="19" t="e">
        <f>'25hike'!G128+IPI_plus!G123</f>
        <v>#REF!</v>
      </c>
    </row>
    <row r="129" spans="1:7" hidden="1" x14ac:dyDescent="0.55000000000000004">
      <c r="A129" s="5">
        <f t="shared" si="6"/>
        <v>30.75</v>
      </c>
      <c r="B129" s="4">
        <f t="shared" si="7"/>
        <v>0</v>
      </c>
      <c r="C129" s="19" t="e">
        <f>'25hike'!C129+IPI_plus!C124</f>
        <v>#REF!</v>
      </c>
      <c r="D129" s="19" t="e">
        <f>'25hike'!D129+IPI_plus!D124</f>
        <v>#REF!</v>
      </c>
      <c r="E129" s="19" t="e">
        <f>'25hike'!E129+IPI_plus!E124</f>
        <v>#REF!</v>
      </c>
      <c r="F129" s="19" t="e">
        <f>'25hike'!F129+IPI_plus!F124</f>
        <v>#REF!</v>
      </c>
      <c r="G129" s="19" t="e">
        <f>'25hike'!G129+IPI_plus!G124</f>
        <v>#REF!</v>
      </c>
    </row>
    <row r="130" spans="1:7" hidden="1" x14ac:dyDescent="0.55000000000000004">
      <c r="A130" s="5">
        <f t="shared" si="6"/>
        <v>31</v>
      </c>
      <c r="B130" s="4">
        <f t="shared" si="7"/>
        <v>0</v>
      </c>
      <c r="C130" s="19" t="e">
        <f>'25hike'!C130+IPI_plus!C125</f>
        <v>#REF!</v>
      </c>
      <c r="D130" s="19" t="e">
        <f>'25hike'!D130+IPI_plus!D125</f>
        <v>#REF!</v>
      </c>
      <c r="E130" s="19" t="e">
        <f>'25hike'!E130+IPI_plus!E125</f>
        <v>#REF!</v>
      </c>
      <c r="F130" s="19" t="e">
        <f>'25hike'!F130+IPI_plus!F125</f>
        <v>#REF!</v>
      </c>
      <c r="G130" s="19" t="e">
        <f>'25hike'!G130+IPI_plus!G125</f>
        <v>#REF!</v>
      </c>
    </row>
    <row r="131" spans="1:7" hidden="1" x14ac:dyDescent="0.55000000000000004">
      <c r="A131" s="5">
        <f t="shared" si="6"/>
        <v>31.25</v>
      </c>
      <c r="B131" s="4">
        <f t="shared" si="7"/>
        <v>0</v>
      </c>
      <c r="C131" s="19" t="e">
        <f>'25hike'!C131+IPI_plus!C126</f>
        <v>#REF!</v>
      </c>
      <c r="D131" s="19" t="e">
        <f>'25hike'!D131+IPI_plus!D126</f>
        <v>#REF!</v>
      </c>
      <c r="E131" s="19" t="e">
        <f>'25hike'!E131+IPI_plus!E126</f>
        <v>#REF!</v>
      </c>
      <c r="F131" s="19" t="e">
        <f>'25hike'!F131+IPI_plus!F126</f>
        <v>#REF!</v>
      </c>
      <c r="G131" s="19" t="e">
        <f>'25hike'!G131+IPI_plus!G126</f>
        <v>#REF!</v>
      </c>
    </row>
    <row r="132" spans="1:7" hidden="1" x14ac:dyDescent="0.55000000000000004">
      <c r="A132" s="5">
        <f t="shared" ref="A132:A195" si="8">A131+0.25</f>
        <v>31.5</v>
      </c>
      <c r="B132" s="4">
        <f t="shared" ref="B132:B195" si="9">B131</f>
        <v>0</v>
      </c>
      <c r="C132" s="19" t="e">
        <f>'25hike'!C132+IPI_plus!C127</f>
        <v>#REF!</v>
      </c>
      <c r="D132" s="19" t="e">
        <f>'25hike'!D132+IPI_plus!D127</f>
        <v>#REF!</v>
      </c>
      <c r="E132" s="19" t="e">
        <f>'25hike'!E132+IPI_plus!E127</f>
        <v>#REF!</v>
      </c>
      <c r="F132" s="19" t="e">
        <f>'25hike'!F132+IPI_plus!F127</f>
        <v>#REF!</v>
      </c>
      <c r="G132" s="19" t="e">
        <f>'25hike'!G132+IPI_plus!G127</f>
        <v>#REF!</v>
      </c>
    </row>
    <row r="133" spans="1:7" hidden="1" x14ac:dyDescent="0.55000000000000004">
      <c r="A133" s="5">
        <f t="shared" si="8"/>
        <v>31.75</v>
      </c>
      <c r="B133" s="4">
        <f t="shared" si="9"/>
        <v>0</v>
      </c>
      <c r="C133" s="19" t="e">
        <f>'25hike'!C133+IPI_plus!C128</f>
        <v>#REF!</v>
      </c>
      <c r="D133" s="19" t="e">
        <f>'25hike'!D133+IPI_plus!D128</f>
        <v>#REF!</v>
      </c>
      <c r="E133" s="19" t="e">
        <f>'25hike'!E133+IPI_plus!E128</f>
        <v>#REF!</v>
      </c>
      <c r="F133" s="19" t="e">
        <f>'25hike'!F133+IPI_plus!F128</f>
        <v>#REF!</v>
      </c>
      <c r="G133" s="19" t="e">
        <f>'25hike'!G133+IPI_plus!G128</f>
        <v>#REF!</v>
      </c>
    </row>
    <row r="134" spans="1:7" hidden="1" x14ac:dyDescent="0.55000000000000004">
      <c r="A134" s="5">
        <f t="shared" si="8"/>
        <v>32</v>
      </c>
      <c r="B134" s="4">
        <f t="shared" si="9"/>
        <v>0</v>
      </c>
      <c r="C134" s="19" t="e">
        <f>'25hike'!C134+IPI_plus!C129</f>
        <v>#REF!</v>
      </c>
      <c r="D134" s="19" t="e">
        <f>'25hike'!D134+IPI_plus!D129</f>
        <v>#REF!</v>
      </c>
      <c r="E134" s="19" t="e">
        <f>'25hike'!E134+IPI_plus!E129</f>
        <v>#REF!</v>
      </c>
      <c r="F134" s="19" t="e">
        <f>'25hike'!F134+IPI_plus!F129</f>
        <v>#REF!</v>
      </c>
      <c r="G134" s="19" t="e">
        <f>'25hike'!G134+IPI_plus!G129</f>
        <v>#REF!</v>
      </c>
    </row>
    <row r="135" spans="1:7" hidden="1" x14ac:dyDescent="0.55000000000000004">
      <c r="A135" s="5">
        <f t="shared" si="8"/>
        <v>32.25</v>
      </c>
      <c r="B135" s="4">
        <f t="shared" si="9"/>
        <v>0</v>
      </c>
      <c r="C135" s="19" t="e">
        <f>'25hike'!C135+IPI_plus!C130</f>
        <v>#REF!</v>
      </c>
      <c r="D135" s="19" t="e">
        <f>'25hike'!D135+IPI_plus!D130</f>
        <v>#REF!</v>
      </c>
      <c r="E135" s="19" t="e">
        <f>'25hike'!E135+IPI_plus!E130</f>
        <v>#REF!</v>
      </c>
      <c r="F135" s="19" t="e">
        <f>'25hike'!F135+IPI_plus!F130</f>
        <v>#REF!</v>
      </c>
      <c r="G135" s="19" t="e">
        <f>'25hike'!G135+IPI_plus!G130</f>
        <v>#REF!</v>
      </c>
    </row>
    <row r="136" spans="1:7" hidden="1" x14ac:dyDescent="0.55000000000000004">
      <c r="A136" s="5">
        <f t="shared" si="8"/>
        <v>32.5</v>
      </c>
      <c r="B136" s="4">
        <f t="shared" si="9"/>
        <v>0</v>
      </c>
      <c r="C136" s="19" t="e">
        <f>'25hike'!C136+IPI_plus!C131</f>
        <v>#REF!</v>
      </c>
      <c r="D136" s="19" t="e">
        <f>'25hike'!D136+IPI_plus!D131</f>
        <v>#REF!</v>
      </c>
      <c r="E136" s="19" t="e">
        <f>'25hike'!E136+IPI_plus!E131</f>
        <v>#REF!</v>
      </c>
      <c r="F136" s="19" t="e">
        <f>'25hike'!F136+IPI_plus!F131</f>
        <v>#REF!</v>
      </c>
      <c r="G136" s="19" t="e">
        <f>'25hike'!G136+IPI_plus!G131</f>
        <v>#REF!</v>
      </c>
    </row>
    <row r="137" spans="1:7" hidden="1" x14ac:dyDescent="0.55000000000000004">
      <c r="A137" s="5">
        <f t="shared" si="8"/>
        <v>32.75</v>
      </c>
      <c r="B137" s="4">
        <f t="shared" si="9"/>
        <v>0</v>
      </c>
      <c r="C137" s="19" t="e">
        <f>'25hike'!C137+IPI_plus!C132</f>
        <v>#REF!</v>
      </c>
      <c r="D137" s="19" t="e">
        <f>'25hike'!D137+IPI_plus!D132</f>
        <v>#REF!</v>
      </c>
      <c r="E137" s="19" t="e">
        <f>'25hike'!E137+IPI_plus!E132</f>
        <v>#REF!</v>
      </c>
      <c r="F137" s="19" t="e">
        <f>'25hike'!F137+IPI_plus!F132</f>
        <v>#REF!</v>
      </c>
      <c r="G137" s="19" t="e">
        <f>'25hike'!G137+IPI_plus!G132</f>
        <v>#REF!</v>
      </c>
    </row>
    <row r="138" spans="1:7" hidden="1" x14ac:dyDescent="0.55000000000000004">
      <c r="A138" s="5">
        <f t="shared" si="8"/>
        <v>33</v>
      </c>
      <c r="B138" s="4">
        <f t="shared" si="9"/>
        <v>0</v>
      </c>
      <c r="C138" s="19" t="e">
        <f>'25hike'!C138+IPI_plus!C133</f>
        <v>#REF!</v>
      </c>
      <c r="D138" s="19" t="e">
        <f>'25hike'!D138+IPI_plus!D133</f>
        <v>#REF!</v>
      </c>
      <c r="E138" s="19" t="e">
        <f>'25hike'!E138+IPI_plus!E133</f>
        <v>#REF!</v>
      </c>
      <c r="F138" s="19" t="e">
        <f>'25hike'!F138+IPI_plus!F133</f>
        <v>#REF!</v>
      </c>
      <c r="G138" s="19" t="e">
        <f>'25hike'!G138+IPI_plus!G133</f>
        <v>#REF!</v>
      </c>
    </row>
    <row r="139" spans="1:7" hidden="1" x14ac:dyDescent="0.55000000000000004">
      <c r="A139" s="5">
        <f t="shared" si="8"/>
        <v>33.25</v>
      </c>
      <c r="B139" s="4">
        <f t="shared" si="9"/>
        <v>0</v>
      </c>
      <c r="C139" s="19" t="e">
        <f>'25hike'!C139+IPI_plus!C134</f>
        <v>#REF!</v>
      </c>
      <c r="D139" s="19" t="e">
        <f>'25hike'!D139+IPI_plus!D134</f>
        <v>#REF!</v>
      </c>
      <c r="E139" s="19" t="e">
        <f>'25hike'!E139+IPI_plus!E134</f>
        <v>#REF!</v>
      </c>
      <c r="F139" s="19" t="e">
        <f>'25hike'!F139+IPI_plus!F134</f>
        <v>#REF!</v>
      </c>
      <c r="G139" s="19" t="e">
        <f>'25hike'!G139+IPI_plus!G134</f>
        <v>#REF!</v>
      </c>
    </row>
    <row r="140" spans="1:7" hidden="1" x14ac:dyDescent="0.55000000000000004">
      <c r="A140" s="5">
        <f t="shared" si="8"/>
        <v>33.5</v>
      </c>
      <c r="B140" s="4">
        <f t="shared" si="9"/>
        <v>0</v>
      </c>
      <c r="C140" s="19" t="e">
        <f>'25hike'!C140+IPI_plus!C135</f>
        <v>#REF!</v>
      </c>
      <c r="D140" s="19" t="e">
        <f>'25hike'!D140+IPI_plus!D135</f>
        <v>#REF!</v>
      </c>
      <c r="E140" s="19" t="e">
        <f>'25hike'!E140+IPI_plus!E135</f>
        <v>#REF!</v>
      </c>
      <c r="F140" s="19" t="e">
        <f>'25hike'!F140+IPI_plus!F135</f>
        <v>#REF!</v>
      </c>
      <c r="G140" s="19" t="e">
        <f>'25hike'!G140+IPI_plus!G135</f>
        <v>#REF!</v>
      </c>
    </row>
    <row r="141" spans="1:7" hidden="1" x14ac:dyDescent="0.55000000000000004">
      <c r="A141" s="5">
        <f t="shared" si="8"/>
        <v>33.75</v>
      </c>
      <c r="B141" s="4">
        <f t="shared" si="9"/>
        <v>0</v>
      </c>
      <c r="C141" s="19" t="e">
        <f>'25hike'!C141+IPI_plus!C136</f>
        <v>#REF!</v>
      </c>
      <c r="D141" s="19" t="e">
        <f>'25hike'!D141+IPI_plus!D136</f>
        <v>#REF!</v>
      </c>
      <c r="E141" s="19" t="e">
        <f>'25hike'!E141+IPI_plus!E136</f>
        <v>#REF!</v>
      </c>
      <c r="F141" s="19" t="e">
        <f>'25hike'!F141+IPI_plus!F136</f>
        <v>#REF!</v>
      </c>
      <c r="G141" s="19" t="e">
        <f>'25hike'!G141+IPI_plus!G136</f>
        <v>#REF!</v>
      </c>
    </row>
    <row r="142" spans="1:7" hidden="1" x14ac:dyDescent="0.55000000000000004">
      <c r="A142" s="5">
        <f t="shared" si="8"/>
        <v>34</v>
      </c>
      <c r="B142" s="4">
        <f t="shared" si="9"/>
        <v>0</v>
      </c>
      <c r="C142" s="19" t="e">
        <f>'25hike'!C142+IPI_plus!C137</f>
        <v>#REF!</v>
      </c>
      <c r="D142" s="19" t="e">
        <f>'25hike'!D142+IPI_plus!D137</f>
        <v>#REF!</v>
      </c>
      <c r="E142" s="19" t="e">
        <f>'25hike'!E142+IPI_plus!E137</f>
        <v>#REF!</v>
      </c>
      <c r="F142" s="19" t="e">
        <f>'25hike'!F142+IPI_plus!F137</f>
        <v>#REF!</v>
      </c>
      <c r="G142" s="19" t="e">
        <f>'25hike'!G142+IPI_plus!G137</f>
        <v>#REF!</v>
      </c>
    </row>
    <row r="143" spans="1:7" hidden="1" x14ac:dyDescent="0.55000000000000004">
      <c r="A143" s="5">
        <f t="shared" si="8"/>
        <v>34.25</v>
      </c>
      <c r="B143" s="4">
        <f t="shared" si="9"/>
        <v>0</v>
      </c>
      <c r="C143" s="19" t="e">
        <f>'25hike'!C143+IPI_plus!C138</f>
        <v>#REF!</v>
      </c>
      <c r="D143" s="19" t="e">
        <f>'25hike'!D143+IPI_plus!D138</f>
        <v>#REF!</v>
      </c>
      <c r="E143" s="19" t="e">
        <f>'25hike'!E143+IPI_plus!E138</f>
        <v>#REF!</v>
      </c>
      <c r="F143" s="19" t="e">
        <f>'25hike'!F143+IPI_plus!F138</f>
        <v>#REF!</v>
      </c>
      <c r="G143" s="19" t="e">
        <f>'25hike'!G143+IPI_plus!G138</f>
        <v>#REF!</v>
      </c>
    </row>
    <row r="144" spans="1:7" hidden="1" x14ac:dyDescent="0.55000000000000004">
      <c r="A144" s="5">
        <f t="shared" si="8"/>
        <v>34.5</v>
      </c>
      <c r="B144" s="4">
        <f t="shared" si="9"/>
        <v>0</v>
      </c>
      <c r="C144" s="19" t="e">
        <f>'25hike'!C144+IPI_plus!C139</f>
        <v>#REF!</v>
      </c>
      <c r="D144" s="19" t="e">
        <f>'25hike'!D144+IPI_plus!D139</f>
        <v>#REF!</v>
      </c>
      <c r="E144" s="19" t="e">
        <f>'25hike'!E144+IPI_plus!E139</f>
        <v>#REF!</v>
      </c>
      <c r="F144" s="19" t="e">
        <f>'25hike'!F144+IPI_plus!F139</f>
        <v>#REF!</v>
      </c>
      <c r="G144" s="19" t="e">
        <f>'25hike'!G144+IPI_plus!G139</f>
        <v>#REF!</v>
      </c>
    </row>
    <row r="145" spans="1:7" hidden="1" x14ac:dyDescent="0.55000000000000004">
      <c r="A145" s="5">
        <f t="shared" si="8"/>
        <v>34.75</v>
      </c>
      <c r="B145" s="4">
        <f t="shared" si="9"/>
        <v>0</v>
      </c>
      <c r="C145" s="19" t="e">
        <f>'25hike'!C145+IPI_plus!C140</f>
        <v>#REF!</v>
      </c>
      <c r="D145" s="19" t="e">
        <f>'25hike'!D145+IPI_plus!D140</f>
        <v>#REF!</v>
      </c>
      <c r="E145" s="19" t="e">
        <f>'25hike'!E145+IPI_plus!E140</f>
        <v>#REF!</v>
      </c>
      <c r="F145" s="19" t="e">
        <f>'25hike'!F145+IPI_plus!F140</f>
        <v>#REF!</v>
      </c>
      <c r="G145" s="19" t="e">
        <f>'25hike'!G145+IPI_plus!G140</f>
        <v>#REF!</v>
      </c>
    </row>
    <row r="146" spans="1:7" hidden="1" x14ac:dyDescent="0.55000000000000004">
      <c r="A146" s="5">
        <f t="shared" si="8"/>
        <v>35</v>
      </c>
      <c r="B146" s="4">
        <f t="shared" si="9"/>
        <v>0</v>
      </c>
      <c r="C146" s="19" t="e">
        <f>'25hike'!C146+IPI_plus!C141</f>
        <v>#REF!</v>
      </c>
      <c r="D146" s="19" t="e">
        <f>'25hike'!D146+IPI_plus!D141</f>
        <v>#REF!</v>
      </c>
      <c r="E146" s="19" t="e">
        <f>'25hike'!E146+IPI_plus!E141</f>
        <v>#REF!</v>
      </c>
      <c r="F146" s="19" t="e">
        <f>'25hike'!F146+IPI_plus!F141</f>
        <v>#REF!</v>
      </c>
      <c r="G146" s="19" t="e">
        <f>'25hike'!G146+IPI_plus!G141</f>
        <v>#REF!</v>
      </c>
    </row>
    <row r="147" spans="1:7" hidden="1" x14ac:dyDescent="0.55000000000000004">
      <c r="A147" s="5">
        <f t="shared" si="8"/>
        <v>35.25</v>
      </c>
      <c r="B147" s="4">
        <f t="shared" si="9"/>
        <v>0</v>
      </c>
      <c r="C147" s="19" t="e">
        <f>'25hike'!C147+IPI_plus!C142</f>
        <v>#REF!</v>
      </c>
      <c r="D147" s="19" t="e">
        <f>'25hike'!D147+IPI_plus!D142</f>
        <v>#REF!</v>
      </c>
      <c r="E147" s="19" t="e">
        <f>'25hike'!E147+IPI_plus!E142</f>
        <v>#REF!</v>
      </c>
      <c r="F147" s="19" t="e">
        <f>'25hike'!F147+IPI_plus!F142</f>
        <v>#REF!</v>
      </c>
      <c r="G147" s="19" t="e">
        <f>'25hike'!G147+IPI_plus!G142</f>
        <v>#REF!</v>
      </c>
    </row>
    <row r="148" spans="1:7" hidden="1" x14ac:dyDescent="0.55000000000000004">
      <c r="A148" s="5">
        <f t="shared" si="8"/>
        <v>35.5</v>
      </c>
      <c r="B148" s="4">
        <f t="shared" si="9"/>
        <v>0</v>
      </c>
      <c r="C148" s="19" t="e">
        <f>'25hike'!C148+IPI_plus!C143</f>
        <v>#REF!</v>
      </c>
      <c r="D148" s="19" t="e">
        <f>'25hike'!D148+IPI_plus!D143</f>
        <v>#REF!</v>
      </c>
      <c r="E148" s="19" t="e">
        <f>'25hike'!E148+IPI_plus!E143</f>
        <v>#REF!</v>
      </c>
      <c r="F148" s="19" t="e">
        <f>'25hike'!F148+IPI_plus!F143</f>
        <v>#REF!</v>
      </c>
      <c r="G148" s="19" t="e">
        <f>'25hike'!G148+IPI_plus!G143</f>
        <v>#REF!</v>
      </c>
    </row>
    <row r="149" spans="1:7" hidden="1" x14ac:dyDescent="0.55000000000000004">
      <c r="A149" s="5">
        <f t="shared" si="8"/>
        <v>35.75</v>
      </c>
      <c r="B149" s="4">
        <f t="shared" si="9"/>
        <v>0</v>
      </c>
      <c r="C149" s="19" t="e">
        <f>'25hike'!C149+IPI_plus!C144</f>
        <v>#REF!</v>
      </c>
      <c r="D149" s="19" t="e">
        <f>'25hike'!D149+IPI_plus!D144</f>
        <v>#REF!</v>
      </c>
      <c r="E149" s="19" t="e">
        <f>'25hike'!E149+IPI_plus!E144</f>
        <v>#REF!</v>
      </c>
      <c r="F149" s="19" t="e">
        <f>'25hike'!F149+IPI_plus!F144</f>
        <v>#REF!</v>
      </c>
      <c r="G149" s="19" t="e">
        <f>'25hike'!G149+IPI_plus!G144</f>
        <v>#REF!</v>
      </c>
    </row>
    <row r="150" spans="1:7" hidden="1" x14ac:dyDescent="0.55000000000000004">
      <c r="A150" s="5">
        <f t="shared" si="8"/>
        <v>36</v>
      </c>
      <c r="B150" s="4">
        <f t="shared" si="9"/>
        <v>0</v>
      </c>
      <c r="C150" s="19" t="e">
        <f>'25hike'!C150+IPI_plus!C145</f>
        <v>#REF!</v>
      </c>
      <c r="D150" s="19" t="e">
        <f>'25hike'!D150+IPI_plus!D145</f>
        <v>#REF!</v>
      </c>
      <c r="E150" s="19" t="e">
        <f>'25hike'!E150+IPI_plus!E145</f>
        <v>#REF!</v>
      </c>
      <c r="F150" s="19" t="e">
        <f>'25hike'!F150+IPI_plus!F145</f>
        <v>#REF!</v>
      </c>
      <c r="G150" s="19" t="e">
        <f>'25hike'!G150+IPI_plus!G145</f>
        <v>#REF!</v>
      </c>
    </row>
    <row r="151" spans="1:7" hidden="1" x14ac:dyDescent="0.55000000000000004">
      <c r="A151" s="5">
        <f t="shared" si="8"/>
        <v>36.25</v>
      </c>
      <c r="B151" s="4">
        <f t="shared" si="9"/>
        <v>0</v>
      </c>
      <c r="C151" s="19" t="e">
        <f>'25hike'!C151+IPI_plus!C146</f>
        <v>#REF!</v>
      </c>
      <c r="D151" s="19" t="e">
        <f>'25hike'!D151+IPI_plus!D146</f>
        <v>#REF!</v>
      </c>
      <c r="E151" s="19" t="e">
        <f>'25hike'!E151+IPI_plus!E146</f>
        <v>#REF!</v>
      </c>
      <c r="F151" s="19" t="e">
        <f>'25hike'!F151+IPI_plus!F146</f>
        <v>#REF!</v>
      </c>
      <c r="G151" s="19" t="e">
        <f>'25hike'!G151+IPI_plus!G146</f>
        <v>#REF!</v>
      </c>
    </row>
    <row r="152" spans="1:7" hidden="1" x14ac:dyDescent="0.55000000000000004">
      <c r="A152" s="5">
        <f t="shared" si="8"/>
        <v>36.5</v>
      </c>
      <c r="B152" s="4">
        <f t="shared" si="9"/>
        <v>0</v>
      </c>
      <c r="C152" s="19" t="e">
        <f>'25hike'!C152+IPI_plus!C147</f>
        <v>#REF!</v>
      </c>
      <c r="D152" s="19" t="e">
        <f>'25hike'!D152+IPI_plus!D147</f>
        <v>#REF!</v>
      </c>
      <c r="E152" s="19" t="e">
        <f>'25hike'!E152+IPI_plus!E147</f>
        <v>#REF!</v>
      </c>
      <c r="F152" s="19" t="e">
        <f>'25hike'!F152+IPI_plus!F147</f>
        <v>#REF!</v>
      </c>
      <c r="G152" s="19" t="e">
        <f>'25hike'!G152+IPI_plus!G147</f>
        <v>#REF!</v>
      </c>
    </row>
    <row r="153" spans="1:7" hidden="1" x14ac:dyDescent="0.55000000000000004">
      <c r="A153" s="5">
        <f t="shared" si="8"/>
        <v>36.75</v>
      </c>
      <c r="B153" s="4">
        <f t="shared" si="9"/>
        <v>0</v>
      </c>
      <c r="C153" s="19" t="e">
        <f>'25hike'!C153+IPI_plus!C148</f>
        <v>#REF!</v>
      </c>
      <c r="D153" s="19" t="e">
        <f>'25hike'!D153+IPI_plus!D148</f>
        <v>#REF!</v>
      </c>
      <c r="E153" s="19" t="e">
        <f>'25hike'!E153+IPI_plus!E148</f>
        <v>#REF!</v>
      </c>
      <c r="F153" s="19" t="e">
        <f>'25hike'!F153+IPI_plus!F148</f>
        <v>#REF!</v>
      </c>
      <c r="G153" s="19" t="e">
        <f>'25hike'!G153+IPI_plus!G148</f>
        <v>#REF!</v>
      </c>
    </row>
    <row r="154" spans="1:7" hidden="1" x14ac:dyDescent="0.55000000000000004">
      <c r="A154" s="5">
        <f t="shared" si="8"/>
        <v>37</v>
      </c>
      <c r="B154" s="4">
        <f t="shared" si="9"/>
        <v>0</v>
      </c>
      <c r="C154" s="19" t="e">
        <f>'25hike'!C154+IPI_plus!C149</f>
        <v>#REF!</v>
      </c>
      <c r="D154" s="19" t="e">
        <f>'25hike'!D154+IPI_plus!D149</f>
        <v>#REF!</v>
      </c>
      <c r="E154" s="19" t="e">
        <f>'25hike'!E154+IPI_plus!E149</f>
        <v>#REF!</v>
      </c>
      <c r="F154" s="19" t="e">
        <f>'25hike'!F154+IPI_plus!F149</f>
        <v>#REF!</v>
      </c>
      <c r="G154" s="19" t="e">
        <f>'25hike'!G154+IPI_plus!G149</f>
        <v>#REF!</v>
      </c>
    </row>
    <row r="155" spans="1:7" hidden="1" x14ac:dyDescent="0.55000000000000004">
      <c r="A155" s="5">
        <f t="shared" si="8"/>
        <v>37.25</v>
      </c>
      <c r="B155" s="4">
        <f t="shared" si="9"/>
        <v>0</v>
      </c>
      <c r="C155" s="19" t="e">
        <f>'25hike'!C155+IPI_plus!C150</f>
        <v>#REF!</v>
      </c>
      <c r="D155" s="19" t="e">
        <f>'25hike'!D155+IPI_plus!D150</f>
        <v>#REF!</v>
      </c>
      <c r="E155" s="19" t="e">
        <f>'25hike'!E155+IPI_plus!E150</f>
        <v>#REF!</v>
      </c>
      <c r="F155" s="19" t="e">
        <f>'25hike'!F155+IPI_plus!F150</f>
        <v>#REF!</v>
      </c>
      <c r="G155" s="19" t="e">
        <f>'25hike'!G155+IPI_plus!G150</f>
        <v>#REF!</v>
      </c>
    </row>
    <row r="156" spans="1:7" hidden="1" x14ac:dyDescent="0.55000000000000004">
      <c r="A156" s="5">
        <f t="shared" si="8"/>
        <v>37.5</v>
      </c>
      <c r="B156" s="4">
        <f t="shared" si="9"/>
        <v>0</v>
      </c>
      <c r="C156" s="19" t="e">
        <f>'25hike'!C156+IPI_plus!C151</f>
        <v>#REF!</v>
      </c>
      <c r="D156" s="19" t="e">
        <f>'25hike'!D156+IPI_plus!D151</f>
        <v>#REF!</v>
      </c>
      <c r="E156" s="19" t="e">
        <f>'25hike'!E156+IPI_plus!E151</f>
        <v>#REF!</v>
      </c>
      <c r="F156" s="19" t="e">
        <f>'25hike'!F156+IPI_plus!F151</f>
        <v>#REF!</v>
      </c>
      <c r="G156" s="19" t="e">
        <f>'25hike'!G156+IPI_plus!G151</f>
        <v>#REF!</v>
      </c>
    </row>
    <row r="157" spans="1:7" hidden="1" x14ac:dyDescent="0.55000000000000004">
      <c r="A157" s="5">
        <f t="shared" si="8"/>
        <v>37.75</v>
      </c>
      <c r="B157" s="4">
        <f t="shared" si="9"/>
        <v>0</v>
      </c>
      <c r="C157" s="19" t="e">
        <f>'25hike'!C157+IPI_plus!C152</f>
        <v>#REF!</v>
      </c>
      <c r="D157" s="19" t="e">
        <f>'25hike'!D157+IPI_plus!D152</f>
        <v>#REF!</v>
      </c>
      <c r="E157" s="19" t="e">
        <f>'25hike'!E157+IPI_plus!E152</f>
        <v>#REF!</v>
      </c>
      <c r="F157" s="19" t="e">
        <f>'25hike'!F157+IPI_plus!F152</f>
        <v>#REF!</v>
      </c>
      <c r="G157" s="19" t="e">
        <f>'25hike'!G157+IPI_plus!G152</f>
        <v>#REF!</v>
      </c>
    </row>
    <row r="158" spans="1:7" hidden="1" x14ac:dyDescent="0.55000000000000004">
      <c r="A158" s="5">
        <f t="shared" si="8"/>
        <v>38</v>
      </c>
      <c r="B158" s="4">
        <f t="shared" si="9"/>
        <v>0</v>
      </c>
      <c r="C158" s="19" t="e">
        <f>'25hike'!C158+IPI_plus!C153</f>
        <v>#REF!</v>
      </c>
      <c r="D158" s="19" t="e">
        <f>'25hike'!D158+IPI_plus!D153</f>
        <v>#REF!</v>
      </c>
      <c r="E158" s="19" t="e">
        <f>'25hike'!E158+IPI_plus!E153</f>
        <v>#REF!</v>
      </c>
      <c r="F158" s="19" t="e">
        <f>'25hike'!F158+IPI_plus!F153</f>
        <v>#REF!</v>
      </c>
      <c r="G158" s="19" t="e">
        <f>'25hike'!G158+IPI_plus!G153</f>
        <v>#REF!</v>
      </c>
    </row>
    <row r="159" spans="1:7" hidden="1" x14ac:dyDescent="0.55000000000000004">
      <c r="A159" s="5">
        <f t="shared" si="8"/>
        <v>38.25</v>
      </c>
      <c r="B159" s="4">
        <f t="shared" si="9"/>
        <v>0</v>
      </c>
      <c r="C159" s="19" t="e">
        <f>'25hike'!C159+IPI_plus!C154</f>
        <v>#REF!</v>
      </c>
      <c r="D159" s="19" t="e">
        <f>'25hike'!D159+IPI_plus!D154</f>
        <v>#REF!</v>
      </c>
      <c r="E159" s="19" t="e">
        <f>'25hike'!E159+IPI_plus!E154</f>
        <v>#REF!</v>
      </c>
      <c r="F159" s="19" t="e">
        <f>'25hike'!F159+IPI_plus!F154</f>
        <v>#REF!</v>
      </c>
      <c r="G159" s="19" t="e">
        <f>'25hike'!G159+IPI_plus!G154</f>
        <v>#REF!</v>
      </c>
    </row>
    <row r="160" spans="1:7" hidden="1" x14ac:dyDescent="0.55000000000000004">
      <c r="A160" s="5">
        <f t="shared" si="8"/>
        <v>38.5</v>
      </c>
      <c r="B160" s="4">
        <f t="shared" si="9"/>
        <v>0</v>
      </c>
      <c r="C160" s="19" t="e">
        <f>'25hike'!C160+IPI_plus!C155</f>
        <v>#REF!</v>
      </c>
      <c r="D160" s="19" t="e">
        <f>'25hike'!D160+IPI_plus!D155</f>
        <v>#REF!</v>
      </c>
      <c r="E160" s="19" t="e">
        <f>'25hike'!E160+IPI_plus!E155</f>
        <v>#REF!</v>
      </c>
      <c r="F160" s="19" t="e">
        <f>'25hike'!F160+IPI_plus!F155</f>
        <v>#REF!</v>
      </c>
      <c r="G160" s="19" t="e">
        <f>'25hike'!G160+IPI_plus!G155</f>
        <v>#REF!</v>
      </c>
    </row>
    <row r="161" spans="1:7" hidden="1" x14ac:dyDescent="0.55000000000000004">
      <c r="A161" s="5">
        <f t="shared" si="8"/>
        <v>38.75</v>
      </c>
      <c r="B161" s="4">
        <f t="shared" si="9"/>
        <v>0</v>
      </c>
      <c r="C161" s="19" t="e">
        <f>'25hike'!C161+IPI_plus!C156</f>
        <v>#REF!</v>
      </c>
      <c r="D161" s="19" t="e">
        <f>'25hike'!D161+IPI_plus!D156</f>
        <v>#REF!</v>
      </c>
      <c r="E161" s="19" t="e">
        <f>'25hike'!E161+IPI_plus!E156</f>
        <v>#REF!</v>
      </c>
      <c r="F161" s="19" t="e">
        <f>'25hike'!F161+IPI_plus!F156</f>
        <v>#REF!</v>
      </c>
      <c r="G161" s="19" t="e">
        <f>'25hike'!G161+IPI_plus!G156</f>
        <v>#REF!</v>
      </c>
    </row>
    <row r="162" spans="1:7" hidden="1" x14ac:dyDescent="0.55000000000000004">
      <c r="A162" s="5">
        <f t="shared" si="8"/>
        <v>39</v>
      </c>
      <c r="B162" s="4">
        <f t="shared" si="9"/>
        <v>0</v>
      </c>
      <c r="C162" s="19" t="e">
        <f>'25hike'!C162+IPI_plus!C157</f>
        <v>#REF!</v>
      </c>
      <c r="D162" s="19" t="e">
        <f>'25hike'!D162+IPI_plus!D157</f>
        <v>#REF!</v>
      </c>
      <c r="E162" s="19" t="e">
        <f>'25hike'!E162+IPI_plus!E157</f>
        <v>#REF!</v>
      </c>
      <c r="F162" s="19" t="e">
        <f>'25hike'!F162+IPI_plus!F157</f>
        <v>#REF!</v>
      </c>
      <c r="G162" s="19" t="e">
        <f>'25hike'!G162+IPI_plus!G157</f>
        <v>#REF!</v>
      </c>
    </row>
    <row r="163" spans="1:7" hidden="1" x14ac:dyDescent="0.55000000000000004">
      <c r="A163" s="5">
        <f t="shared" si="8"/>
        <v>39.25</v>
      </c>
      <c r="B163" s="4">
        <f t="shared" si="9"/>
        <v>0</v>
      </c>
      <c r="C163" s="19" t="e">
        <f>'25hike'!C163+IPI_plus!C158</f>
        <v>#REF!</v>
      </c>
      <c r="D163" s="19" t="e">
        <f>'25hike'!D163+IPI_plus!D158</f>
        <v>#REF!</v>
      </c>
      <c r="E163" s="19" t="e">
        <f>'25hike'!E163+IPI_plus!E158</f>
        <v>#REF!</v>
      </c>
      <c r="F163" s="19" t="e">
        <f>'25hike'!F163+IPI_plus!F158</f>
        <v>#REF!</v>
      </c>
      <c r="G163" s="19" t="e">
        <f>'25hike'!G163+IPI_plus!G158</f>
        <v>#REF!</v>
      </c>
    </row>
    <row r="164" spans="1:7" hidden="1" x14ac:dyDescent="0.55000000000000004">
      <c r="A164" s="5">
        <f t="shared" si="8"/>
        <v>39.5</v>
      </c>
      <c r="B164" s="4">
        <f t="shared" si="9"/>
        <v>0</v>
      </c>
      <c r="C164" s="19" t="e">
        <f>'25hike'!C164+IPI_plus!C159</f>
        <v>#REF!</v>
      </c>
      <c r="D164" s="19" t="e">
        <f>'25hike'!D164+IPI_plus!D159</f>
        <v>#REF!</v>
      </c>
      <c r="E164" s="19" t="e">
        <f>'25hike'!E164+IPI_plus!E159</f>
        <v>#REF!</v>
      </c>
      <c r="F164" s="19" t="e">
        <f>'25hike'!F164+IPI_plus!F159</f>
        <v>#REF!</v>
      </c>
      <c r="G164" s="19" t="e">
        <f>'25hike'!G164+IPI_plus!G159</f>
        <v>#REF!</v>
      </c>
    </row>
    <row r="165" spans="1:7" hidden="1" x14ac:dyDescent="0.55000000000000004">
      <c r="A165" s="5">
        <f t="shared" si="8"/>
        <v>39.75</v>
      </c>
      <c r="B165" s="4">
        <f t="shared" si="9"/>
        <v>0</v>
      </c>
      <c r="C165" s="19" t="e">
        <f>'25hike'!C165+IPI_plus!C160</f>
        <v>#REF!</v>
      </c>
      <c r="D165" s="19" t="e">
        <f>'25hike'!D165+IPI_plus!D160</f>
        <v>#REF!</v>
      </c>
      <c r="E165" s="19" t="e">
        <f>'25hike'!E165+IPI_plus!E160</f>
        <v>#REF!</v>
      </c>
      <c r="F165" s="19" t="e">
        <f>'25hike'!F165+IPI_plus!F160</f>
        <v>#REF!</v>
      </c>
      <c r="G165" s="19" t="e">
        <f>'25hike'!G165+IPI_plus!G160</f>
        <v>#REF!</v>
      </c>
    </row>
    <row r="166" spans="1:7" hidden="1" x14ac:dyDescent="0.55000000000000004">
      <c r="A166" s="5">
        <f t="shared" si="8"/>
        <v>40</v>
      </c>
      <c r="B166" s="4">
        <f t="shared" si="9"/>
        <v>0</v>
      </c>
      <c r="C166" s="19" t="e">
        <f>'25hike'!C166+IPI_plus!C161</f>
        <v>#REF!</v>
      </c>
      <c r="D166" s="19" t="e">
        <f>'25hike'!D166+IPI_plus!D161</f>
        <v>#REF!</v>
      </c>
      <c r="E166" s="19" t="e">
        <f>'25hike'!E166+IPI_plus!E161</f>
        <v>#REF!</v>
      </c>
      <c r="F166" s="19" t="e">
        <f>'25hike'!F166+IPI_plus!F161</f>
        <v>#REF!</v>
      </c>
      <c r="G166" s="19" t="e">
        <f>'25hike'!G166+IPI_plus!G161</f>
        <v>#REF!</v>
      </c>
    </row>
    <row r="167" spans="1:7" hidden="1" x14ac:dyDescent="0.55000000000000004">
      <c r="A167" s="5">
        <f t="shared" si="8"/>
        <v>40.25</v>
      </c>
      <c r="B167" s="4">
        <f t="shared" si="9"/>
        <v>0</v>
      </c>
      <c r="C167" s="19" t="e">
        <f>'25hike'!C167+IPI_plus!C162</f>
        <v>#REF!</v>
      </c>
      <c r="D167" s="19" t="e">
        <f>'25hike'!D167+IPI_plus!D162</f>
        <v>#REF!</v>
      </c>
      <c r="E167" s="19" t="e">
        <f>'25hike'!E167+IPI_plus!E162</f>
        <v>#REF!</v>
      </c>
      <c r="F167" s="19" t="e">
        <f>'25hike'!F167+IPI_plus!F162</f>
        <v>#REF!</v>
      </c>
      <c r="G167" s="19" t="e">
        <f>'25hike'!G167+IPI_plus!G162</f>
        <v>#REF!</v>
      </c>
    </row>
    <row r="168" spans="1:7" hidden="1" x14ac:dyDescent="0.55000000000000004">
      <c r="A168" s="5">
        <f t="shared" si="8"/>
        <v>40.5</v>
      </c>
      <c r="B168" s="4">
        <f t="shared" si="9"/>
        <v>0</v>
      </c>
      <c r="C168" s="19" t="e">
        <f>'25hike'!C168+IPI_plus!C163</f>
        <v>#REF!</v>
      </c>
      <c r="D168" s="19" t="e">
        <f>'25hike'!D168+IPI_plus!D163</f>
        <v>#REF!</v>
      </c>
      <c r="E168" s="19" t="e">
        <f>'25hike'!E168+IPI_plus!E163</f>
        <v>#REF!</v>
      </c>
      <c r="F168" s="19" t="e">
        <f>'25hike'!F168+IPI_plus!F163</f>
        <v>#REF!</v>
      </c>
      <c r="G168" s="19" t="e">
        <f>'25hike'!G168+IPI_plus!G163</f>
        <v>#REF!</v>
      </c>
    </row>
    <row r="169" spans="1:7" hidden="1" x14ac:dyDescent="0.55000000000000004">
      <c r="A169" s="5">
        <f t="shared" si="8"/>
        <v>40.75</v>
      </c>
      <c r="B169" s="4">
        <f t="shared" si="9"/>
        <v>0</v>
      </c>
      <c r="C169" s="19" t="e">
        <f>'25hike'!C169+IPI_plus!C164</f>
        <v>#REF!</v>
      </c>
      <c r="D169" s="19" t="e">
        <f>'25hike'!D169+IPI_plus!D164</f>
        <v>#REF!</v>
      </c>
      <c r="E169" s="19" t="e">
        <f>'25hike'!E169+IPI_plus!E164</f>
        <v>#REF!</v>
      </c>
      <c r="F169" s="19" t="e">
        <f>'25hike'!F169+IPI_plus!F164</f>
        <v>#REF!</v>
      </c>
      <c r="G169" s="19" t="e">
        <f>'25hike'!G169+IPI_plus!G164</f>
        <v>#REF!</v>
      </c>
    </row>
    <row r="170" spans="1:7" hidden="1" x14ac:dyDescent="0.55000000000000004">
      <c r="A170" s="5">
        <f t="shared" si="8"/>
        <v>41</v>
      </c>
      <c r="B170" s="4">
        <f t="shared" si="9"/>
        <v>0</v>
      </c>
      <c r="C170" s="19" t="e">
        <f>'25hike'!C170+IPI_plus!C165</f>
        <v>#REF!</v>
      </c>
      <c r="D170" s="19" t="e">
        <f>'25hike'!D170+IPI_plus!D165</f>
        <v>#REF!</v>
      </c>
      <c r="E170" s="19" t="e">
        <f>'25hike'!E170+IPI_plus!E165</f>
        <v>#REF!</v>
      </c>
      <c r="F170" s="19" t="e">
        <f>'25hike'!F170+IPI_plus!F165</f>
        <v>#REF!</v>
      </c>
      <c r="G170" s="19" t="e">
        <f>'25hike'!G170+IPI_plus!G165</f>
        <v>#REF!</v>
      </c>
    </row>
    <row r="171" spans="1:7" hidden="1" x14ac:dyDescent="0.55000000000000004">
      <c r="A171" s="5">
        <f t="shared" si="8"/>
        <v>41.25</v>
      </c>
      <c r="B171" s="4">
        <f t="shared" si="9"/>
        <v>0</v>
      </c>
      <c r="C171" s="19" t="e">
        <f>'25hike'!C171+IPI_plus!C166</f>
        <v>#REF!</v>
      </c>
      <c r="D171" s="19" t="e">
        <f>'25hike'!D171+IPI_plus!D166</f>
        <v>#REF!</v>
      </c>
      <c r="E171" s="19" t="e">
        <f>'25hike'!E171+IPI_plus!E166</f>
        <v>#REF!</v>
      </c>
      <c r="F171" s="19" t="e">
        <f>'25hike'!F171+IPI_plus!F166</f>
        <v>#REF!</v>
      </c>
      <c r="G171" s="19" t="e">
        <f>'25hike'!G171+IPI_plus!G166</f>
        <v>#REF!</v>
      </c>
    </row>
    <row r="172" spans="1:7" hidden="1" x14ac:dyDescent="0.55000000000000004">
      <c r="A172" s="5">
        <f t="shared" si="8"/>
        <v>41.5</v>
      </c>
      <c r="B172" s="4">
        <f t="shared" si="9"/>
        <v>0</v>
      </c>
      <c r="C172" s="19" t="e">
        <f>'25hike'!C172+IPI_plus!C167</f>
        <v>#REF!</v>
      </c>
      <c r="D172" s="19" t="e">
        <f>'25hike'!D172+IPI_plus!D167</f>
        <v>#REF!</v>
      </c>
      <c r="E172" s="19" t="e">
        <f>'25hike'!E172+IPI_plus!E167</f>
        <v>#REF!</v>
      </c>
      <c r="F172" s="19" t="e">
        <f>'25hike'!F172+IPI_plus!F167</f>
        <v>#REF!</v>
      </c>
      <c r="G172" s="19" t="e">
        <f>'25hike'!G172+IPI_plus!G167</f>
        <v>#REF!</v>
      </c>
    </row>
    <row r="173" spans="1:7" hidden="1" x14ac:dyDescent="0.55000000000000004">
      <c r="A173" s="5">
        <f t="shared" si="8"/>
        <v>41.75</v>
      </c>
      <c r="B173" s="4">
        <f t="shared" si="9"/>
        <v>0</v>
      </c>
      <c r="C173" s="19" t="e">
        <f>'25hike'!C173+IPI_plus!C168</f>
        <v>#REF!</v>
      </c>
      <c r="D173" s="19" t="e">
        <f>'25hike'!D173+IPI_plus!D168</f>
        <v>#REF!</v>
      </c>
      <c r="E173" s="19" t="e">
        <f>'25hike'!E173+IPI_plus!E168</f>
        <v>#REF!</v>
      </c>
      <c r="F173" s="19" t="e">
        <f>'25hike'!F173+IPI_plus!F168</f>
        <v>#REF!</v>
      </c>
      <c r="G173" s="19" t="e">
        <f>'25hike'!G173+IPI_plus!G168</f>
        <v>#REF!</v>
      </c>
    </row>
    <row r="174" spans="1:7" hidden="1" x14ac:dyDescent="0.55000000000000004">
      <c r="A174" s="5">
        <f t="shared" si="8"/>
        <v>42</v>
      </c>
      <c r="B174" s="4">
        <f t="shared" si="9"/>
        <v>0</v>
      </c>
      <c r="C174" s="19" t="e">
        <f>'25hike'!C174+IPI_plus!C169</f>
        <v>#REF!</v>
      </c>
      <c r="D174" s="19" t="e">
        <f>'25hike'!D174+IPI_plus!D169</f>
        <v>#REF!</v>
      </c>
      <c r="E174" s="19" t="e">
        <f>'25hike'!E174+IPI_plus!E169</f>
        <v>#REF!</v>
      </c>
      <c r="F174" s="19" t="e">
        <f>'25hike'!F174+IPI_plus!F169</f>
        <v>#REF!</v>
      </c>
      <c r="G174" s="19" t="e">
        <f>'25hike'!G174+IPI_plus!G169</f>
        <v>#REF!</v>
      </c>
    </row>
    <row r="175" spans="1:7" hidden="1" x14ac:dyDescent="0.55000000000000004">
      <c r="A175" s="5">
        <f t="shared" si="8"/>
        <v>42.25</v>
      </c>
      <c r="B175" s="4">
        <f t="shared" si="9"/>
        <v>0</v>
      </c>
      <c r="C175" s="19" t="e">
        <f>'25hike'!C175+IPI_plus!C170</f>
        <v>#REF!</v>
      </c>
      <c r="D175" s="19" t="e">
        <f>'25hike'!D175+IPI_plus!D170</f>
        <v>#REF!</v>
      </c>
      <c r="E175" s="19" t="e">
        <f>'25hike'!E175+IPI_plus!E170</f>
        <v>#REF!</v>
      </c>
      <c r="F175" s="19" t="e">
        <f>'25hike'!F175+IPI_plus!F170</f>
        <v>#REF!</v>
      </c>
      <c r="G175" s="19" t="e">
        <f>'25hike'!G175+IPI_plus!G170</f>
        <v>#REF!</v>
      </c>
    </row>
    <row r="176" spans="1:7" hidden="1" x14ac:dyDescent="0.55000000000000004">
      <c r="A176" s="5">
        <f t="shared" si="8"/>
        <v>42.5</v>
      </c>
      <c r="B176" s="4">
        <f t="shared" si="9"/>
        <v>0</v>
      </c>
      <c r="C176" s="19" t="e">
        <f>'25hike'!C176+IPI_plus!C171</f>
        <v>#REF!</v>
      </c>
      <c r="D176" s="19" t="e">
        <f>'25hike'!D176+IPI_plus!D171</f>
        <v>#REF!</v>
      </c>
      <c r="E176" s="19" t="e">
        <f>'25hike'!E176+IPI_plus!E171</f>
        <v>#REF!</v>
      </c>
      <c r="F176" s="19" t="e">
        <f>'25hike'!F176+IPI_plus!F171</f>
        <v>#REF!</v>
      </c>
      <c r="G176" s="19" t="e">
        <f>'25hike'!G176+IPI_plus!G171</f>
        <v>#REF!</v>
      </c>
    </row>
    <row r="177" spans="1:7" hidden="1" x14ac:dyDescent="0.55000000000000004">
      <c r="A177" s="5">
        <f t="shared" si="8"/>
        <v>42.75</v>
      </c>
      <c r="B177" s="4">
        <f t="shared" si="9"/>
        <v>0</v>
      </c>
      <c r="C177" s="19" t="e">
        <f>'25hike'!C177+IPI_plus!C172</f>
        <v>#REF!</v>
      </c>
      <c r="D177" s="19" t="e">
        <f>'25hike'!D177+IPI_plus!D172</f>
        <v>#REF!</v>
      </c>
      <c r="E177" s="19" t="e">
        <f>'25hike'!E177+IPI_plus!E172</f>
        <v>#REF!</v>
      </c>
      <c r="F177" s="19" t="e">
        <f>'25hike'!F177+IPI_plus!F172</f>
        <v>#REF!</v>
      </c>
      <c r="G177" s="19" t="e">
        <f>'25hike'!G177+IPI_plus!G172</f>
        <v>#REF!</v>
      </c>
    </row>
    <row r="178" spans="1:7" hidden="1" x14ac:dyDescent="0.55000000000000004">
      <c r="A178" s="5">
        <f t="shared" si="8"/>
        <v>43</v>
      </c>
      <c r="B178" s="4">
        <f t="shared" si="9"/>
        <v>0</v>
      </c>
      <c r="C178" s="19" t="e">
        <f>'25hike'!C178+IPI_plus!C173</f>
        <v>#REF!</v>
      </c>
      <c r="D178" s="19" t="e">
        <f>'25hike'!D178+IPI_plus!D173</f>
        <v>#REF!</v>
      </c>
      <c r="E178" s="19" t="e">
        <f>'25hike'!E178+IPI_plus!E173</f>
        <v>#REF!</v>
      </c>
      <c r="F178" s="19" t="e">
        <f>'25hike'!F178+IPI_plus!F173</f>
        <v>#REF!</v>
      </c>
      <c r="G178" s="19" t="e">
        <f>'25hike'!G178+IPI_plus!G173</f>
        <v>#REF!</v>
      </c>
    </row>
    <row r="179" spans="1:7" hidden="1" x14ac:dyDescent="0.55000000000000004">
      <c r="A179" s="5">
        <f t="shared" si="8"/>
        <v>43.25</v>
      </c>
      <c r="B179" s="4">
        <f t="shared" si="9"/>
        <v>0</v>
      </c>
      <c r="C179" s="19" t="e">
        <f>'25hike'!C179+IPI_plus!C174</f>
        <v>#REF!</v>
      </c>
      <c r="D179" s="19" t="e">
        <f>'25hike'!D179+IPI_plus!D174</f>
        <v>#REF!</v>
      </c>
      <c r="E179" s="19" t="e">
        <f>'25hike'!E179+IPI_plus!E174</f>
        <v>#REF!</v>
      </c>
      <c r="F179" s="19" t="e">
        <f>'25hike'!F179+IPI_plus!F174</f>
        <v>#REF!</v>
      </c>
      <c r="G179" s="19" t="e">
        <f>'25hike'!G179+IPI_plus!G174</f>
        <v>#REF!</v>
      </c>
    </row>
    <row r="180" spans="1:7" hidden="1" x14ac:dyDescent="0.55000000000000004">
      <c r="A180" s="5">
        <f t="shared" si="8"/>
        <v>43.5</v>
      </c>
      <c r="B180" s="4">
        <f t="shared" si="9"/>
        <v>0</v>
      </c>
      <c r="C180" s="19" t="e">
        <f>'25hike'!C180+IPI_plus!C175</f>
        <v>#REF!</v>
      </c>
      <c r="D180" s="19" t="e">
        <f>'25hike'!D180+IPI_plus!D175</f>
        <v>#REF!</v>
      </c>
      <c r="E180" s="19" t="e">
        <f>'25hike'!E180+IPI_plus!E175</f>
        <v>#REF!</v>
      </c>
      <c r="F180" s="19" t="e">
        <f>'25hike'!F180+IPI_plus!F175</f>
        <v>#REF!</v>
      </c>
      <c r="G180" s="19" t="e">
        <f>'25hike'!G180+IPI_plus!G175</f>
        <v>#REF!</v>
      </c>
    </row>
    <row r="181" spans="1:7" hidden="1" x14ac:dyDescent="0.55000000000000004">
      <c r="A181" s="5">
        <f t="shared" si="8"/>
        <v>43.75</v>
      </c>
      <c r="B181" s="4">
        <f t="shared" si="9"/>
        <v>0</v>
      </c>
      <c r="C181" s="19" t="e">
        <f>'25hike'!C181+IPI_plus!C176</f>
        <v>#REF!</v>
      </c>
      <c r="D181" s="19" t="e">
        <f>'25hike'!D181+IPI_plus!D176</f>
        <v>#REF!</v>
      </c>
      <c r="E181" s="19" t="e">
        <f>'25hike'!E181+IPI_plus!E176</f>
        <v>#REF!</v>
      </c>
      <c r="F181" s="19" t="e">
        <f>'25hike'!F181+IPI_plus!F176</f>
        <v>#REF!</v>
      </c>
      <c r="G181" s="19" t="e">
        <f>'25hike'!G181+IPI_plus!G176</f>
        <v>#REF!</v>
      </c>
    </row>
    <row r="182" spans="1:7" hidden="1" x14ac:dyDescent="0.55000000000000004">
      <c r="A182" s="5">
        <f t="shared" si="8"/>
        <v>44</v>
      </c>
      <c r="B182" s="4">
        <f t="shared" si="9"/>
        <v>0</v>
      </c>
      <c r="C182" s="19" t="e">
        <f>'25hike'!C182+IPI_plus!C177</f>
        <v>#REF!</v>
      </c>
      <c r="D182" s="19" t="e">
        <f>'25hike'!D182+IPI_plus!D177</f>
        <v>#REF!</v>
      </c>
      <c r="E182" s="19" t="e">
        <f>'25hike'!E182+IPI_plus!E177</f>
        <v>#REF!</v>
      </c>
      <c r="F182" s="19" t="e">
        <f>'25hike'!F182+IPI_plus!F177</f>
        <v>#REF!</v>
      </c>
      <c r="G182" s="19" t="e">
        <f>'25hike'!G182+IPI_plus!G177</f>
        <v>#REF!</v>
      </c>
    </row>
    <row r="183" spans="1:7" hidden="1" x14ac:dyDescent="0.55000000000000004">
      <c r="A183" s="5">
        <f t="shared" si="8"/>
        <v>44.25</v>
      </c>
      <c r="B183" s="4">
        <f t="shared" si="9"/>
        <v>0</v>
      </c>
      <c r="C183" s="19" t="e">
        <f>'25hike'!C183+IPI_plus!C178</f>
        <v>#REF!</v>
      </c>
      <c r="D183" s="19" t="e">
        <f>'25hike'!D183+IPI_plus!D178</f>
        <v>#REF!</v>
      </c>
      <c r="E183" s="19" t="e">
        <f>'25hike'!E183+IPI_plus!E178</f>
        <v>#REF!</v>
      </c>
      <c r="F183" s="19" t="e">
        <f>'25hike'!F183+IPI_plus!F178</f>
        <v>#REF!</v>
      </c>
      <c r="G183" s="19" t="e">
        <f>'25hike'!G183+IPI_plus!G178</f>
        <v>#REF!</v>
      </c>
    </row>
    <row r="184" spans="1:7" hidden="1" x14ac:dyDescent="0.55000000000000004">
      <c r="A184" s="5">
        <f t="shared" si="8"/>
        <v>44.5</v>
      </c>
      <c r="B184" s="4">
        <f t="shared" si="9"/>
        <v>0</v>
      </c>
      <c r="C184" s="19" t="e">
        <f>'25hike'!C184+IPI_plus!C179</f>
        <v>#REF!</v>
      </c>
      <c r="D184" s="19" t="e">
        <f>'25hike'!D184+IPI_plus!D179</f>
        <v>#REF!</v>
      </c>
      <c r="E184" s="19" t="e">
        <f>'25hike'!E184+IPI_plus!E179</f>
        <v>#REF!</v>
      </c>
      <c r="F184" s="19" t="e">
        <f>'25hike'!F184+IPI_plus!F179</f>
        <v>#REF!</v>
      </c>
      <c r="G184" s="19" t="e">
        <f>'25hike'!G184+IPI_plus!G179</f>
        <v>#REF!</v>
      </c>
    </row>
    <row r="185" spans="1:7" hidden="1" x14ac:dyDescent="0.55000000000000004">
      <c r="A185" s="5">
        <f t="shared" si="8"/>
        <v>44.75</v>
      </c>
      <c r="B185" s="4">
        <f t="shared" si="9"/>
        <v>0</v>
      </c>
      <c r="C185" s="19" t="e">
        <f>'25hike'!C185+IPI_plus!C180</f>
        <v>#REF!</v>
      </c>
      <c r="D185" s="19" t="e">
        <f>'25hike'!D185+IPI_plus!D180</f>
        <v>#REF!</v>
      </c>
      <c r="E185" s="19" t="e">
        <f>'25hike'!E185+IPI_plus!E180</f>
        <v>#REF!</v>
      </c>
      <c r="F185" s="19" t="e">
        <f>'25hike'!F185+IPI_plus!F180</f>
        <v>#REF!</v>
      </c>
      <c r="G185" s="19" t="e">
        <f>'25hike'!G185+IPI_plus!G180</f>
        <v>#REF!</v>
      </c>
    </row>
    <row r="186" spans="1:7" hidden="1" x14ac:dyDescent="0.55000000000000004">
      <c r="A186" s="5">
        <f t="shared" si="8"/>
        <v>45</v>
      </c>
      <c r="B186" s="4">
        <f t="shared" si="9"/>
        <v>0</v>
      </c>
      <c r="C186" s="19" t="e">
        <f>'25hike'!C186+IPI_plus!C181</f>
        <v>#REF!</v>
      </c>
      <c r="D186" s="19" t="e">
        <f>'25hike'!D186+IPI_plus!D181</f>
        <v>#REF!</v>
      </c>
      <c r="E186" s="19" t="e">
        <f>'25hike'!E186+IPI_plus!E181</f>
        <v>#REF!</v>
      </c>
      <c r="F186" s="19" t="e">
        <f>'25hike'!F186+IPI_plus!F181</f>
        <v>#REF!</v>
      </c>
      <c r="G186" s="19" t="e">
        <f>'25hike'!G186+IPI_plus!G181</f>
        <v>#REF!</v>
      </c>
    </row>
    <row r="187" spans="1:7" hidden="1" x14ac:dyDescent="0.55000000000000004">
      <c r="A187" s="5">
        <f t="shared" si="8"/>
        <v>45.25</v>
      </c>
      <c r="B187" s="4">
        <f t="shared" si="9"/>
        <v>0</v>
      </c>
      <c r="C187" s="19" t="e">
        <f>'25hike'!C187+IPI_plus!C182</f>
        <v>#REF!</v>
      </c>
      <c r="D187" s="19" t="e">
        <f>'25hike'!D187+IPI_plus!D182</f>
        <v>#REF!</v>
      </c>
      <c r="E187" s="19" t="e">
        <f>'25hike'!E187+IPI_plus!E182</f>
        <v>#REF!</v>
      </c>
      <c r="F187" s="19" t="e">
        <f>'25hike'!F187+IPI_plus!F182</f>
        <v>#REF!</v>
      </c>
      <c r="G187" s="19" t="e">
        <f>'25hike'!G187+IPI_plus!G182</f>
        <v>#REF!</v>
      </c>
    </row>
    <row r="188" spans="1:7" hidden="1" x14ac:dyDescent="0.55000000000000004">
      <c r="A188" s="5">
        <f t="shared" si="8"/>
        <v>45.5</v>
      </c>
      <c r="B188" s="4">
        <f t="shared" si="9"/>
        <v>0</v>
      </c>
      <c r="C188" s="19" t="e">
        <f>'25hike'!C188+IPI_plus!C183</f>
        <v>#REF!</v>
      </c>
      <c r="D188" s="19" t="e">
        <f>'25hike'!D188+IPI_plus!D183</f>
        <v>#REF!</v>
      </c>
      <c r="E188" s="19" t="e">
        <f>'25hike'!E188+IPI_plus!E183</f>
        <v>#REF!</v>
      </c>
      <c r="F188" s="19" t="e">
        <f>'25hike'!F188+IPI_plus!F183</f>
        <v>#REF!</v>
      </c>
      <c r="G188" s="19" t="e">
        <f>'25hike'!G188+IPI_plus!G183</f>
        <v>#REF!</v>
      </c>
    </row>
    <row r="189" spans="1:7" hidden="1" x14ac:dyDescent="0.55000000000000004">
      <c r="A189" s="5">
        <f t="shared" si="8"/>
        <v>45.75</v>
      </c>
      <c r="B189" s="4">
        <f t="shared" si="9"/>
        <v>0</v>
      </c>
      <c r="C189" s="19" t="e">
        <f>'25hike'!C189+IPI_plus!C184</f>
        <v>#REF!</v>
      </c>
      <c r="D189" s="19" t="e">
        <f>'25hike'!D189+IPI_plus!D184</f>
        <v>#REF!</v>
      </c>
      <c r="E189" s="19" t="e">
        <f>'25hike'!E189+IPI_plus!E184</f>
        <v>#REF!</v>
      </c>
      <c r="F189" s="19" t="e">
        <f>'25hike'!F189+IPI_plus!F184</f>
        <v>#REF!</v>
      </c>
      <c r="G189" s="19" t="e">
        <f>'25hike'!G189+IPI_plus!G184</f>
        <v>#REF!</v>
      </c>
    </row>
    <row r="190" spans="1:7" hidden="1" x14ac:dyDescent="0.55000000000000004">
      <c r="A190" s="5">
        <f t="shared" si="8"/>
        <v>46</v>
      </c>
      <c r="B190" s="4">
        <f t="shared" si="9"/>
        <v>0</v>
      </c>
      <c r="C190" s="19" t="e">
        <f>'25hike'!C190+IPI_plus!C185</f>
        <v>#REF!</v>
      </c>
      <c r="D190" s="19" t="e">
        <f>'25hike'!D190+IPI_plus!D185</f>
        <v>#REF!</v>
      </c>
      <c r="E190" s="19" t="e">
        <f>'25hike'!E190+IPI_plus!E185</f>
        <v>#REF!</v>
      </c>
      <c r="F190" s="19" t="e">
        <f>'25hike'!F190+IPI_plus!F185</f>
        <v>#REF!</v>
      </c>
      <c r="G190" s="19" t="e">
        <f>'25hike'!G190+IPI_plus!G185</f>
        <v>#REF!</v>
      </c>
    </row>
    <row r="191" spans="1:7" hidden="1" x14ac:dyDescent="0.55000000000000004">
      <c r="A191" s="5">
        <f t="shared" si="8"/>
        <v>46.25</v>
      </c>
      <c r="B191" s="4">
        <f t="shared" si="9"/>
        <v>0</v>
      </c>
      <c r="C191" s="19" t="e">
        <f>'25hike'!C191+IPI_plus!C186</f>
        <v>#REF!</v>
      </c>
      <c r="D191" s="19" t="e">
        <f>'25hike'!D191+IPI_plus!D186</f>
        <v>#REF!</v>
      </c>
      <c r="E191" s="19" t="e">
        <f>'25hike'!E191+IPI_plus!E186</f>
        <v>#REF!</v>
      </c>
      <c r="F191" s="19" t="e">
        <f>'25hike'!F191+IPI_plus!F186</f>
        <v>#REF!</v>
      </c>
      <c r="G191" s="19" t="e">
        <f>'25hike'!G191+IPI_plus!G186</f>
        <v>#REF!</v>
      </c>
    </row>
    <row r="192" spans="1:7" hidden="1" x14ac:dyDescent="0.55000000000000004">
      <c r="A192" s="5">
        <f t="shared" si="8"/>
        <v>46.5</v>
      </c>
      <c r="B192" s="4">
        <f t="shared" si="9"/>
        <v>0</v>
      </c>
      <c r="C192" s="19" t="e">
        <f>'25hike'!C192+IPI_plus!C187</f>
        <v>#REF!</v>
      </c>
      <c r="D192" s="19" t="e">
        <f>'25hike'!D192+IPI_plus!D187</f>
        <v>#REF!</v>
      </c>
      <c r="E192" s="19" t="e">
        <f>'25hike'!E192+IPI_plus!E187</f>
        <v>#REF!</v>
      </c>
      <c r="F192" s="19" t="e">
        <f>'25hike'!F192+IPI_plus!F187</f>
        <v>#REF!</v>
      </c>
      <c r="G192" s="19" t="e">
        <f>'25hike'!G192+IPI_plus!G187</f>
        <v>#REF!</v>
      </c>
    </row>
    <row r="193" spans="1:7" hidden="1" x14ac:dyDescent="0.55000000000000004">
      <c r="A193" s="5">
        <f t="shared" si="8"/>
        <v>46.75</v>
      </c>
      <c r="B193" s="4">
        <f t="shared" si="9"/>
        <v>0</v>
      </c>
      <c r="C193" s="19" t="e">
        <f>'25hike'!C193+IPI_plus!C188</f>
        <v>#REF!</v>
      </c>
      <c r="D193" s="19" t="e">
        <f>'25hike'!D193+IPI_plus!D188</f>
        <v>#REF!</v>
      </c>
      <c r="E193" s="19" t="e">
        <f>'25hike'!E193+IPI_plus!E188</f>
        <v>#REF!</v>
      </c>
      <c r="F193" s="19" t="e">
        <f>'25hike'!F193+IPI_plus!F188</f>
        <v>#REF!</v>
      </c>
      <c r="G193" s="19" t="e">
        <f>'25hike'!G193+IPI_plus!G188</f>
        <v>#REF!</v>
      </c>
    </row>
    <row r="194" spans="1:7" hidden="1" x14ac:dyDescent="0.55000000000000004">
      <c r="A194" s="5">
        <f t="shared" si="8"/>
        <v>47</v>
      </c>
      <c r="B194" s="4">
        <f t="shared" si="9"/>
        <v>0</v>
      </c>
      <c r="C194" s="19" t="e">
        <f>'25hike'!C194+IPI_plus!C189</f>
        <v>#REF!</v>
      </c>
      <c r="D194" s="19" t="e">
        <f>'25hike'!D194+IPI_plus!D189</f>
        <v>#REF!</v>
      </c>
      <c r="E194" s="19" t="e">
        <f>'25hike'!E194+IPI_plus!E189</f>
        <v>#REF!</v>
      </c>
      <c r="F194" s="19" t="e">
        <f>'25hike'!F194+IPI_plus!F189</f>
        <v>#REF!</v>
      </c>
      <c r="G194" s="19" t="e">
        <f>'25hike'!G194+IPI_plus!G189</f>
        <v>#REF!</v>
      </c>
    </row>
    <row r="195" spans="1:7" hidden="1" x14ac:dyDescent="0.55000000000000004">
      <c r="A195" s="5">
        <f t="shared" si="8"/>
        <v>47.25</v>
      </c>
      <c r="B195" s="4">
        <f t="shared" si="9"/>
        <v>0</v>
      </c>
      <c r="C195" s="19" t="e">
        <f>'25hike'!C195+IPI_plus!C190</f>
        <v>#REF!</v>
      </c>
      <c r="D195" s="19" t="e">
        <f>'25hike'!D195+IPI_plus!D190</f>
        <v>#REF!</v>
      </c>
      <c r="E195" s="19" t="e">
        <f>'25hike'!E195+IPI_plus!E190</f>
        <v>#REF!</v>
      </c>
      <c r="F195" s="19" t="e">
        <f>'25hike'!F195+IPI_plus!F190</f>
        <v>#REF!</v>
      </c>
      <c r="G195" s="19" t="e">
        <f>'25hike'!G195+IPI_plus!G190</f>
        <v>#REF!</v>
      </c>
    </row>
    <row r="196" spans="1:7" hidden="1" x14ac:dyDescent="0.55000000000000004">
      <c r="A196" s="5">
        <f t="shared" ref="A196:A200" si="10">A195+0.25</f>
        <v>47.5</v>
      </c>
      <c r="B196" s="4">
        <f t="shared" ref="B196:B200" si="11">B195</f>
        <v>0</v>
      </c>
      <c r="C196" s="19" t="e">
        <f>'25hike'!C196+IPI_plus!C191</f>
        <v>#REF!</v>
      </c>
      <c r="D196" s="19" t="e">
        <f>'25hike'!D196+IPI_plus!D191</f>
        <v>#REF!</v>
      </c>
      <c r="E196" s="19" t="e">
        <f>'25hike'!E196+IPI_plus!E191</f>
        <v>#REF!</v>
      </c>
      <c r="F196" s="19" t="e">
        <f>'25hike'!F196+IPI_plus!F191</f>
        <v>#REF!</v>
      </c>
      <c r="G196" s="19" t="e">
        <f>'25hike'!G196+IPI_plus!G191</f>
        <v>#REF!</v>
      </c>
    </row>
    <row r="197" spans="1:7" hidden="1" x14ac:dyDescent="0.55000000000000004">
      <c r="A197" s="5">
        <f t="shared" si="10"/>
        <v>47.75</v>
      </c>
      <c r="B197" s="4">
        <f t="shared" si="11"/>
        <v>0</v>
      </c>
      <c r="C197" s="19" t="e">
        <f>'25hike'!C197+IPI_plus!C192</f>
        <v>#REF!</v>
      </c>
      <c r="D197" s="19" t="e">
        <f>'25hike'!D197+IPI_plus!D192</f>
        <v>#REF!</v>
      </c>
      <c r="E197" s="19" t="e">
        <f>'25hike'!E197+IPI_plus!E192</f>
        <v>#REF!</v>
      </c>
      <c r="F197" s="19" t="e">
        <f>'25hike'!F197+IPI_plus!F192</f>
        <v>#REF!</v>
      </c>
      <c r="G197" s="19" t="e">
        <f>'25hike'!G197+IPI_plus!G192</f>
        <v>#REF!</v>
      </c>
    </row>
    <row r="198" spans="1:7" hidden="1" x14ac:dyDescent="0.55000000000000004">
      <c r="A198" s="5">
        <f t="shared" si="10"/>
        <v>48</v>
      </c>
      <c r="B198" s="4">
        <f t="shared" si="11"/>
        <v>0</v>
      </c>
      <c r="C198" s="19" t="e">
        <f>'25hike'!C198+IPI_plus!C193</f>
        <v>#REF!</v>
      </c>
      <c r="D198" s="19" t="e">
        <f>'25hike'!D198+IPI_plus!D193</f>
        <v>#REF!</v>
      </c>
      <c r="E198" s="19" t="e">
        <f>'25hike'!E198+IPI_plus!E193</f>
        <v>#REF!</v>
      </c>
      <c r="F198" s="19" t="e">
        <f>'25hike'!F198+IPI_plus!F193</f>
        <v>#REF!</v>
      </c>
      <c r="G198" s="19" t="e">
        <f>'25hike'!G198+IPI_plus!G193</f>
        <v>#REF!</v>
      </c>
    </row>
    <row r="199" spans="1:7" hidden="1" x14ac:dyDescent="0.55000000000000004">
      <c r="A199" s="5">
        <f t="shared" si="10"/>
        <v>48.25</v>
      </c>
      <c r="B199" s="4">
        <f t="shared" si="11"/>
        <v>0</v>
      </c>
      <c r="C199" s="19" t="e">
        <f>'25hike'!C199+IPI_plus!C194</f>
        <v>#REF!</v>
      </c>
      <c r="D199" s="19" t="e">
        <f>'25hike'!D199+IPI_plus!D194</f>
        <v>#REF!</v>
      </c>
      <c r="E199" s="19" t="e">
        <f>'25hike'!E199+IPI_plus!E194</f>
        <v>#REF!</v>
      </c>
      <c r="F199" s="19" t="e">
        <f>'25hike'!F199+IPI_plus!F194</f>
        <v>#REF!</v>
      </c>
      <c r="G199" s="19" t="e">
        <f>'25hike'!G199+IPI_plus!G194</f>
        <v>#REF!</v>
      </c>
    </row>
    <row r="200" spans="1:7" hidden="1" x14ac:dyDescent="0.55000000000000004">
      <c r="A200" s="5">
        <f t="shared" si="10"/>
        <v>48.5</v>
      </c>
      <c r="B200" s="4">
        <f t="shared" si="11"/>
        <v>0</v>
      </c>
      <c r="C200" s="19" t="e">
        <f>'25hike'!C200+IPI_plus!C195</f>
        <v>#REF!</v>
      </c>
      <c r="D200" s="19" t="e">
        <f>'25hike'!D200+IPI_plus!D195</f>
        <v>#REF!</v>
      </c>
      <c r="E200" s="19" t="e">
        <f>'25hike'!E200+IPI_plus!E195</f>
        <v>#REF!</v>
      </c>
      <c r="F200" s="19" t="e">
        <f>'25hike'!F200+IPI_plus!F195</f>
        <v>#REF!</v>
      </c>
      <c r="G200" s="19" t="e">
        <f>'25hike'!G200+IPI_plus!G195</f>
        <v>#REF!</v>
      </c>
    </row>
  </sheetData>
  <phoneticPr fontId="1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649C01-89B1-400E-A6E8-44B2BE16F579}">
  <sheetPr codeName="Sheet7">
    <tabColor theme="8" tint="0.79998168889431442"/>
  </sheetPr>
  <dimension ref="A1:J200"/>
  <sheetViews>
    <sheetView zoomScaleNormal="100"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defaultRowHeight="18" x14ac:dyDescent="0.55000000000000004"/>
  <cols>
    <col min="1" max="1" width="8.6640625" style="5"/>
    <col min="2" max="2" width="4.75" style="4" bestFit="1" customWidth="1"/>
    <col min="3" max="7" width="8.6640625" style="14"/>
    <col min="8" max="10" width="8.6640625" style="17"/>
  </cols>
  <sheetData>
    <row r="1" spans="1:10" s="1" customFormat="1" ht="33" x14ac:dyDescent="0.55000000000000004">
      <c r="A1" s="3" t="s">
        <v>15</v>
      </c>
      <c r="B1" s="3" t="s">
        <v>0</v>
      </c>
      <c r="C1" s="13" t="s">
        <v>10</v>
      </c>
      <c r="D1" s="13" t="s">
        <v>11</v>
      </c>
      <c r="E1" s="13" t="s">
        <v>12</v>
      </c>
      <c r="F1" s="13" t="s">
        <v>13</v>
      </c>
      <c r="G1" s="13" t="s">
        <v>14</v>
      </c>
      <c r="H1" s="15" t="s">
        <v>16</v>
      </c>
      <c r="I1" s="15" t="s">
        <v>17</v>
      </c>
      <c r="J1" s="15" t="s">
        <v>18</v>
      </c>
    </row>
    <row r="2" spans="1:10" x14ac:dyDescent="0.55000000000000004">
      <c r="A2" s="5">
        <v>-1</v>
      </c>
      <c r="B2" s="4">
        <v>0</v>
      </c>
      <c r="C2" s="14">
        <f>'25hike'!C2</f>
        <v>0</v>
      </c>
      <c r="D2" s="14">
        <f>'25hike'!D2</f>
        <v>1.5</v>
      </c>
      <c r="E2" s="14">
        <f>'25hike'!E2</f>
        <v>1.5</v>
      </c>
      <c r="F2" s="14">
        <f>'25hike'!F2</f>
        <v>1.5</v>
      </c>
      <c r="G2" s="14">
        <f>'25hike'!G2</f>
        <v>0</v>
      </c>
      <c r="H2" s="16">
        <v>2</v>
      </c>
      <c r="I2" s="16">
        <v>0.5</v>
      </c>
      <c r="J2" s="16">
        <v>-200</v>
      </c>
    </row>
    <row r="3" spans="1:10" ht="18" customHeight="1" x14ac:dyDescent="0.55000000000000004">
      <c r="A3" s="5">
        <f>A2+0.25</f>
        <v>-0.75</v>
      </c>
      <c r="B3" s="4">
        <f>B2</f>
        <v>0</v>
      </c>
      <c r="C3" s="14">
        <f>'25hike'!C3</f>
        <v>3.1117072709414391E-2</v>
      </c>
      <c r="D3" s="14">
        <f>'25hike'!D3</f>
        <v>1.6462433417342477</v>
      </c>
      <c r="E3" s="14">
        <f>'25hike'!E3</f>
        <v>1.610677470400173</v>
      </c>
      <c r="F3" s="14">
        <f>'25hike'!F3</f>
        <v>1.5131619007560824</v>
      </c>
      <c r="G3" s="14">
        <f>'25hike'!G3</f>
        <v>-9.9999999999997789E-6</v>
      </c>
      <c r="H3" s="16">
        <f>H2</f>
        <v>2</v>
      </c>
      <c r="I3" s="16">
        <f>I2</f>
        <v>0.5</v>
      </c>
      <c r="J3" s="16">
        <v>-200</v>
      </c>
    </row>
    <row r="4" spans="1:10" x14ac:dyDescent="0.55000000000000004">
      <c r="A4" s="5">
        <f t="shared" ref="A4:A67" si="0">A3+0.25</f>
        <v>-0.5</v>
      </c>
      <c r="B4" s="4">
        <f t="shared" ref="B4:B67" si="1">B3</f>
        <v>0</v>
      </c>
      <c r="C4" s="14">
        <f>'25hike'!C4</f>
        <v>8.3897235166905282E-2</v>
      </c>
      <c r="D4" s="14">
        <f>'25hike'!D4</f>
        <v>1.7657322218491545</v>
      </c>
      <c r="E4" s="14">
        <f>'25hike'!E4</f>
        <v>1.6866924362564863</v>
      </c>
      <c r="F4" s="14">
        <f>'25hike'!F4</f>
        <v>1.5358932296544587</v>
      </c>
      <c r="G4" s="14">
        <f>'25hike'!G4</f>
        <v>-9.9999999999977494E-6</v>
      </c>
      <c r="H4" s="16">
        <f t="shared" ref="H4:I19" si="2">H3</f>
        <v>2</v>
      </c>
      <c r="I4" s="16">
        <f t="shared" si="2"/>
        <v>0.5</v>
      </c>
      <c r="J4" s="16">
        <v>-200</v>
      </c>
    </row>
    <row r="5" spans="1:10" x14ac:dyDescent="0.55000000000000004">
      <c r="A5" s="5">
        <f t="shared" si="0"/>
        <v>-0.25</v>
      </c>
      <c r="B5" s="4">
        <f t="shared" si="1"/>
        <v>0</v>
      </c>
      <c r="C5" s="14">
        <f>'25hike'!C5</f>
        <v>0.15307479395180196</v>
      </c>
      <c r="D5" s="14">
        <f>'25hike'!D5</f>
        <v>1.8818733517853243</v>
      </c>
      <c r="E5" s="14">
        <f>'25hike'!E5</f>
        <v>1.7513251220551751</v>
      </c>
      <c r="F5" s="14">
        <f>'25hike'!F5</f>
        <v>1.5670314406462367</v>
      </c>
      <c r="G5" s="14">
        <f>'25hike'!G5</f>
        <v>-9.9999999999683675E-6</v>
      </c>
      <c r="H5" s="16">
        <f t="shared" si="2"/>
        <v>2</v>
      </c>
      <c r="I5" s="16">
        <f t="shared" si="2"/>
        <v>0.5</v>
      </c>
      <c r="J5" s="16">
        <v>-200</v>
      </c>
    </row>
    <row r="6" spans="1:10" x14ac:dyDescent="0.55000000000000004">
      <c r="A6" s="5">
        <f t="shared" si="0"/>
        <v>0</v>
      </c>
      <c r="B6" s="4">
        <f t="shared" si="1"/>
        <v>0</v>
      </c>
      <c r="C6" s="14">
        <f>'25hike'!C6</f>
        <v>0.19213376074924216</v>
      </c>
      <c r="D6" s="14">
        <f>'25hike'!D6</f>
        <v>1.9703615215428429</v>
      </c>
      <c r="E6" s="14">
        <f>'25hike'!E6</f>
        <v>1.8098180846363439</v>
      </c>
      <c r="F6" s="14">
        <f>'25hike'!F6</f>
        <v>1.6033311479269312</v>
      </c>
      <c r="G6" s="14">
        <f>'25hike'!G6</f>
        <v>0.24999999999999997</v>
      </c>
      <c r="H6" s="16">
        <f t="shared" si="2"/>
        <v>2</v>
      </c>
      <c r="I6" s="16">
        <f t="shared" si="2"/>
        <v>0.5</v>
      </c>
      <c r="J6" s="16">
        <v>100</v>
      </c>
    </row>
    <row r="7" spans="1:10" x14ac:dyDescent="0.55000000000000004">
      <c r="A7" s="5">
        <f t="shared" si="0"/>
        <v>0.25</v>
      </c>
      <c r="B7" s="4">
        <f t="shared" si="1"/>
        <v>0</v>
      </c>
      <c r="C7" s="14">
        <f>'25hike'!C7</f>
        <v>0.22322451739157906</v>
      </c>
      <c r="D7" s="14">
        <f>'25hike'!D7</f>
        <v>2.036564111280676</v>
      </c>
      <c r="E7" s="14">
        <f>'25hike'!E7</f>
        <v>1.8541824296664009</v>
      </c>
      <c r="F7" s="14">
        <f>'25hike'!F7</f>
        <v>1.6423221146287683</v>
      </c>
      <c r="G7" s="14">
        <f>'25hike'!G7</f>
        <v>0.25306540702103297</v>
      </c>
      <c r="H7" s="16">
        <f t="shared" si="2"/>
        <v>2</v>
      </c>
      <c r="I7" s="16">
        <f t="shared" si="2"/>
        <v>0.5</v>
      </c>
      <c r="J7" s="16">
        <v>-200</v>
      </c>
    </row>
    <row r="8" spans="1:10" x14ac:dyDescent="0.55000000000000004">
      <c r="A8" s="5">
        <f t="shared" si="0"/>
        <v>0.5</v>
      </c>
      <c r="B8" s="4">
        <f t="shared" si="1"/>
        <v>0</v>
      </c>
      <c r="C8" s="14">
        <f>'25hike'!C8</f>
        <v>0.22887099969176919</v>
      </c>
      <c r="D8" s="14">
        <f>'25hike'!D8</f>
        <v>2.073431329672629</v>
      </c>
      <c r="E8" s="14">
        <f>'25hike'!E8</f>
        <v>1.8851395795117543</v>
      </c>
      <c r="F8" s="14">
        <f>'25hike'!F8</f>
        <v>1.6811219439827156</v>
      </c>
      <c r="G8" s="14">
        <f>'25hike'!G8</f>
        <v>0.40107210422482914</v>
      </c>
      <c r="H8" s="16">
        <f t="shared" si="2"/>
        <v>2</v>
      </c>
      <c r="I8" s="16">
        <f t="shared" si="2"/>
        <v>0.5</v>
      </c>
      <c r="J8" s="16">
        <v>-200</v>
      </c>
    </row>
    <row r="9" spans="1:10" x14ac:dyDescent="0.55000000000000004">
      <c r="A9" s="5">
        <f t="shared" si="0"/>
        <v>0.75</v>
      </c>
      <c r="B9" s="4">
        <f t="shared" si="1"/>
        <v>0</v>
      </c>
      <c r="C9" s="14">
        <f>'25hike'!C9</f>
        <v>0.21280601468807236</v>
      </c>
      <c r="D9" s="14">
        <f>'25hike'!D9</f>
        <v>2.0833333160338103</v>
      </c>
      <c r="E9" s="14">
        <f>'25hike'!E9</f>
        <v>1.9042444860119256</v>
      </c>
      <c r="F9" s="14">
        <f>'25hike'!F9</f>
        <v>1.7173209674673142</v>
      </c>
      <c r="G9" s="14">
        <f>'25hike'!G9</f>
        <v>0.48313701640321871</v>
      </c>
      <c r="H9" s="16">
        <f t="shared" si="2"/>
        <v>2</v>
      </c>
      <c r="I9" s="16">
        <f t="shared" si="2"/>
        <v>0.5</v>
      </c>
      <c r="J9" s="16">
        <v>100</v>
      </c>
    </row>
    <row r="10" spans="1:10" x14ac:dyDescent="0.55000000000000004">
      <c r="A10" s="5">
        <f t="shared" si="0"/>
        <v>1</v>
      </c>
      <c r="B10" s="4">
        <f t="shared" si="1"/>
        <v>0</v>
      </c>
      <c r="C10" s="19">
        <f>'25hike'!C10+IPI_plus!C2</f>
        <v>0.14815496726346006</v>
      </c>
      <c r="D10" s="19">
        <f>'25hike'!D10+IPI_plus!D2</f>
        <v>2.7317932422721092</v>
      </c>
      <c r="E10" s="19">
        <f>'25hike'!E10+IPI_plus!E2</f>
        <v>2.0858904482137404</v>
      </c>
      <c r="F10" s="19">
        <f>'25hike'!F10+IPI_plus!F2</f>
        <v>1.8086234721997456</v>
      </c>
      <c r="G10" s="19">
        <f>'25hike'!G10+IPI_plus!G2</f>
        <v>0.91876018484045097</v>
      </c>
      <c r="H10" s="16">
        <f t="shared" si="2"/>
        <v>2</v>
      </c>
      <c r="I10" s="16">
        <f t="shared" si="2"/>
        <v>0.5</v>
      </c>
      <c r="J10" s="16">
        <v>-200</v>
      </c>
    </row>
    <row r="11" spans="1:10" x14ac:dyDescent="0.55000000000000004">
      <c r="A11" s="5">
        <f t="shared" si="0"/>
        <v>1.25</v>
      </c>
      <c r="B11" s="4">
        <f t="shared" si="1"/>
        <v>0</v>
      </c>
      <c r="C11" s="19">
        <f>'25hike'!C11+IPI_plus!C3</f>
        <v>5.8778020979009027E-2</v>
      </c>
      <c r="D11" s="19">
        <f>'25hike'!D11+IPI_plus!D3</f>
        <v>2.4704245171946893</v>
      </c>
      <c r="E11" s="19">
        <f>'25hike'!E11+IPI_plus!E3</f>
        <v>2.1057871487450588</v>
      </c>
      <c r="F11" s="19">
        <f>'25hike'!F11+IPI_plus!F3</f>
        <v>1.8681855662492906</v>
      </c>
      <c r="G11" s="19">
        <f>'25hike'!G11+IPI_plus!G3</f>
        <v>0.88849797567709565</v>
      </c>
      <c r="H11" s="16">
        <f t="shared" si="2"/>
        <v>2</v>
      </c>
      <c r="I11" s="16">
        <f t="shared" si="2"/>
        <v>0.5</v>
      </c>
      <c r="J11" s="16">
        <v>-200</v>
      </c>
    </row>
    <row r="12" spans="1:10" x14ac:dyDescent="0.55000000000000004">
      <c r="A12" s="5">
        <f t="shared" si="0"/>
        <v>1.5</v>
      </c>
      <c r="B12" s="4">
        <f t="shared" si="1"/>
        <v>0</v>
      </c>
      <c r="C12" s="19">
        <f>'25hike'!C12+IPI_plus!C4</f>
        <v>-7.7606194970557263E-3</v>
      </c>
      <c r="D12" s="19">
        <f>'25hike'!D12+IPI_plus!D4</f>
        <v>2.1896275803256966</v>
      </c>
      <c r="E12" s="19">
        <f>'25hike'!E12+IPI_plus!E4</f>
        <v>2.026308580205928</v>
      </c>
      <c r="F12" s="19">
        <f>'25hike'!F12+IPI_plus!F4</f>
        <v>1.8971153475161671</v>
      </c>
      <c r="G12" s="19">
        <f>'25hike'!G12+IPI_plus!G4</f>
        <v>0.65699834258595669</v>
      </c>
      <c r="H12" s="16">
        <f t="shared" si="2"/>
        <v>2</v>
      </c>
      <c r="I12" s="16">
        <f t="shared" si="2"/>
        <v>0.5</v>
      </c>
      <c r="J12" s="16">
        <v>-200</v>
      </c>
    </row>
    <row r="13" spans="1:10" x14ac:dyDescent="0.55000000000000004">
      <c r="A13" s="5">
        <f t="shared" si="0"/>
        <v>1.75</v>
      </c>
      <c r="B13" s="4">
        <f t="shared" si="1"/>
        <v>0</v>
      </c>
      <c r="C13" s="19">
        <f>'25hike'!C13+IPI_plus!C5</f>
        <v>-3.269612001756339E-2</v>
      </c>
      <c r="D13" s="19">
        <f>'25hike'!D13+IPI_plus!D5</f>
        <v>2.0309398791300293</v>
      </c>
      <c r="E13" s="19">
        <f>'25hike'!E13+IPI_plus!E5</f>
        <v>1.972125981034339</v>
      </c>
      <c r="F13" s="19">
        <f>'25hike'!F13+IPI_plus!F5</f>
        <v>1.9091595553614149</v>
      </c>
      <c r="G13" s="19">
        <f>'25hike'!G13+IPI_plus!G5</f>
        <v>0.451307475852739</v>
      </c>
      <c r="H13" s="16">
        <f t="shared" si="2"/>
        <v>2</v>
      </c>
      <c r="I13" s="16">
        <f t="shared" si="2"/>
        <v>0.5</v>
      </c>
      <c r="J13" s="16">
        <v>-200</v>
      </c>
    </row>
    <row r="14" spans="1:10" x14ac:dyDescent="0.55000000000000004">
      <c r="A14" s="5">
        <f t="shared" si="0"/>
        <v>2</v>
      </c>
      <c r="B14" s="4">
        <f t="shared" si="1"/>
        <v>0</v>
      </c>
      <c r="C14" s="19">
        <f>'25hike'!C14+IPI_plus!C6</f>
        <v>-2.3995942107822119E-2</v>
      </c>
      <c r="D14" s="19">
        <f>'25hike'!D14+IPI_plus!D6</f>
        <v>1.9718663645551646</v>
      </c>
      <c r="E14" s="19">
        <f>'25hike'!E14+IPI_plus!E6</f>
        <v>1.9520056615056507</v>
      </c>
      <c r="F14" s="19">
        <f>'25hike'!F14+IPI_plus!F6</f>
        <v>1.9148031681888522</v>
      </c>
      <c r="G14" s="19">
        <f>'25hike'!G14+IPI_plus!G6</f>
        <v>0.34967084673366022</v>
      </c>
      <c r="H14" s="16">
        <f t="shared" si="2"/>
        <v>2</v>
      </c>
      <c r="I14" s="16">
        <f t="shared" si="2"/>
        <v>0.5</v>
      </c>
      <c r="J14" s="16">
        <v>-200</v>
      </c>
    </row>
    <row r="15" spans="1:10" x14ac:dyDescent="0.55000000000000004">
      <c r="A15" s="5">
        <f t="shared" si="0"/>
        <v>2.25</v>
      </c>
      <c r="B15" s="4">
        <f t="shared" si="1"/>
        <v>0</v>
      </c>
      <c r="C15" s="19">
        <f>'25hike'!C15+IPI_plus!C7</f>
        <v>2.6317984030693742E-4</v>
      </c>
      <c r="D15" s="19">
        <f>'25hike'!D15+IPI_plus!D7</f>
        <v>1.9681728988882905</v>
      </c>
      <c r="E15" s="19">
        <f>'25hike'!E15+IPI_plus!E7</f>
        <v>1.952839553775704</v>
      </c>
      <c r="F15" s="19">
        <f>'25hike'!F15+IPI_plus!F7</f>
        <v>1.9196064439518017</v>
      </c>
      <c r="G15" s="19">
        <f>'25hike'!G15+IPI_plus!G7</f>
        <v>0.34071433778660848</v>
      </c>
      <c r="H15" s="16">
        <f t="shared" si="2"/>
        <v>2</v>
      </c>
      <c r="I15" s="16">
        <f t="shared" si="2"/>
        <v>0.5</v>
      </c>
      <c r="J15" s="16">
        <v>-200</v>
      </c>
    </row>
    <row r="16" spans="1:10" x14ac:dyDescent="0.55000000000000004">
      <c r="A16" s="5">
        <f t="shared" si="0"/>
        <v>2.5</v>
      </c>
      <c r="B16" s="4">
        <f t="shared" si="1"/>
        <v>0</v>
      </c>
      <c r="C16" s="19">
        <f>'25hike'!C16+IPI_plus!C8</f>
        <v>2.4411746344000798E-2</v>
      </c>
      <c r="D16" s="19">
        <f>'25hike'!D16+IPI_plus!D8</f>
        <v>1.9855760520589725</v>
      </c>
      <c r="E16" s="19">
        <f>'25hike'!E16+IPI_plus!E8</f>
        <v>1.9621133942617648</v>
      </c>
      <c r="F16" s="19">
        <f>'25hike'!F16+IPI_plus!F8</f>
        <v>1.9255437086814471</v>
      </c>
      <c r="G16" s="19">
        <f>'25hike'!G16+IPI_plus!G8</f>
        <v>0.38248917064427496</v>
      </c>
      <c r="H16" s="16">
        <f t="shared" si="2"/>
        <v>2</v>
      </c>
      <c r="I16" s="16">
        <f t="shared" si="2"/>
        <v>0.5</v>
      </c>
      <c r="J16" s="16">
        <v>-200</v>
      </c>
    </row>
    <row r="17" spans="1:10" x14ac:dyDescent="0.55000000000000004">
      <c r="A17" s="5">
        <f t="shared" si="0"/>
        <v>2.75</v>
      </c>
      <c r="B17" s="4">
        <f t="shared" si="1"/>
        <v>0</v>
      </c>
      <c r="C17" s="19">
        <f>'25hike'!C17+IPI_plus!C9</f>
        <v>4.0068255585448104E-2</v>
      </c>
      <c r="D17" s="19">
        <f>'25hike'!D17+IPI_plus!D9</f>
        <v>2.0041730275520178</v>
      </c>
      <c r="E17" s="19">
        <f>'25hike'!E17+IPI_plus!E9</f>
        <v>1.9721171439959591</v>
      </c>
      <c r="F17" s="19">
        <f>'25hike'!F17+IPI_plus!F9</f>
        <v>1.9326203473797985</v>
      </c>
      <c r="G17" s="19">
        <f>'25hike'!G17+IPI_plus!G9</f>
        <v>0.43622173887125676</v>
      </c>
      <c r="H17" s="16">
        <f t="shared" si="2"/>
        <v>2</v>
      </c>
      <c r="I17" s="16">
        <f t="shared" si="2"/>
        <v>0.5</v>
      </c>
      <c r="J17" s="16">
        <v>-200</v>
      </c>
    </row>
    <row r="18" spans="1:10" x14ac:dyDescent="0.55000000000000004">
      <c r="A18" s="5">
        <f t="shared" si="0"/>
        <v>3</v>
      </c>
      <c r="B18" s="4">
        <f t="shared" si="1"/>
        <v>0</v>
      </c>
      <c r="C18" s="19">
        <f>'25hike'!C18+IPI_plus!C10</f>
        <v>4.5633972386490973E-2</v>
      </c>
      <c r="D18" s="19">
        <f>'25hike'!D18+IPI_plus!D10</f>
        <v>2.0157443900929315</v>
      </c>
      <c r="E18" s="19">
        <f>'25hike'!E18+IPI_plus!E10</f>
        <v>1.9794961770334385</v>
      </c>
      <c r="F18" s="19">
        <f>'25hike'!F18+IPI_plus!F10</f>
        <v>1.9401015112239803</v>
      </c>
      <c r="G18" s="19">
        <f>'25hike'!G18+IPI_plus!G10</f>
        <v>0.47881760769203152</v>
      </c>
      <c r="H18" s="16">
        <f t="shared" si="2"/>
        <v>2</v>
      </c>
      <c r="I18" s="16">
        <f t="shared" si="2"/>
        <v>0.5</v>
      </c>
      <c r="J18" s="16">
        <v>-200</v>
      </c>
    </row>
    <row r="19" spans="1:10" x14ac:dyDescent="0.55000000000000004">
      <c r="A19" s="5">
        <f t="shared" si="0"/>
        <v>3.25</v>
      </c>
      <c r="B19" s="4">
        <f t="shared" si="1"/>
        <v>0</v>
      </c>
      <c r="C19" s="19">
        <f>'25hike'!C19+IPI_plus!C11</f>
        <v>4.3540926274869857E-2</v>
      </c>
      <c r="D19" s="19">
        <f>'25hike'!D19+IPI_plus!D11</f>
        <v>2.0193980847814963</v>
      </c>
      <c r="E19" s="19">
        <f>'25hike'!E19+IPI_plus!E11</f>
        <v>1.9837273534331696</v>
      </c>
      <c r="F19" s="19">
        <f>'25hike'!F19+IPI_plus!F11</f>
        <v>1.9472382028441571</v>
      </c>
      <c r="G19" s="19">
        <f>'25hike'!G19+IPI_plus!G11</f>
        <v>0.50267320831971152</v>
      </c>
      <c r="H19" s="16">
        <f t="shared" si="2"/>
        <v>2</v>
      </c>
      <c r="I19" s="16">
        <f t="shared" si="2"/>
        <v>0.5</v>
      </c>
      <c r="J19" s="16">
        <v>-200</v>
      </c>
    </row>
    <row r="20" spans="1:10" x14ac:dyDescent="0.55000000000000004">
      <c r="A20" s="5">
        <f t="shared" si="0"/>
        <v>3.5</v>
      </c>
      <c r="B20" s="4">
        <f t="shared" si="1"/>
        <v>0</v>
      </c>
      <c r="C20" s="19">
        <f>'25hike'!C20+IPI_plus!C12</f>
        <v>3.7469262415608107E-2</v>
      </c>
      <c r="D20" s="19">
        <f>'25hike'!D20+IPI_plus!D12</f>
        <v>2.0176030967674294</v>
      </c>
      <c r="E20" s="19">
        <f>'25hike'!E20+IPI_plus!E12</f>
        <v>1.9856392123731754</v>
      </c>
      <c r="F20" s="19">
        <f>'25hike'!F20+IPI_plus!F12</f>
        <v>1.9535710432972515</v>
      </c>
      <c r="G20" s="19">
        <f>'25hike'!G20+IPI_plus!G12</f>
        <v>0.51018529958432357</v>
      </c>
      <c r="H20" s="16">
        <f t="shared" ref="H20:I35" si="3">H19</f>
        <v>2</v>
      </c>
      <c r="I20" s="16">
        <f t="shared" si="3"/>
        <v>0.5</v>
      </c>
      <c r="J20" s="16">
        <v>-200</v>
      </c>
    </row>
    <row r="21" spans="1:10" x14ac:dyDescent="0.55000000000000004">
      <c r="A21" s="5">
        <f t="shared" si="0"/>
        <v>3.75</v>
      </c>
      <c r="B21" s="4">
        <f t="shared" si="1"/>
        <v>0</v>
      </c>
      <c r="C21" s="19">
        <f>'25hike'!C21+IPI_plus!C13</f>
        <v>3.0540678752002597E-2</v>
      </c>
      <c r="D21" s="19">
        <f>'25hike'!D21+IPI_plus!D13</f>
        <v>2.0134495527563239</v>
      </c>
      <c r="E21" s="19">
        <f>'25hike'!E21+IPI_plus!E13</f>
        <v>1.9863648282927258</v>
      </c>
      <c r="F21" s="19">
        <f>'25hike'!F21+IPI_plus!F13</f>
        <v>1.958960109148568</v>
      </c>
      <c r="G21" s="19">
        <f>'25hike'!G21+IPI_plus!G13</f>
        <v>0.50777277513849495</v>
      </c>
      <c r="H21" s="16">
        <f t="shared" si="3"/>
        <v>2</v>
      </c>
      <c r="I21" s="16">
        <f t="shared" si="3"/>
        <v>0.5</v>
      </c>
      <c r="J21" s="16">
        <v>-200</v>
      </c>
    </row>
    <row r="22" spans="1:10" x14ac:dyDescent="0.55000000000000004">
      <c r="A22" s="5">
        <f t="shared" si="0"/>
        <v>4</v>
      </c>
      <c r="B22" s="4">
        <f t="shared" si="1"/>
        <v>0</v>
      </c>
      <c r="C22" s="19">
        <f>'25hike'!C22+IPI_plus!C14</f>
        <v>2.4607141933938603E-2</v>
      </c>
      <c r="D22" s="19">
        <f>'25hike'!D22+IPI_plus!D14</f>
        <v>2.0092468583631518</v>
      </c>
      <c r="E22" s="19">
        <f>'25hike'!E22+IPI_plus!E14</f>
        <v>1.9867891339907882</v>
      </c>
      <c r="F22" s="19">
        <f>'25hike'!F22+IPI_plus!F14</f>
        <v>1.9634859165778804</v>
      </c>
      <c r="G22" s="19">
        <f>'25hike'!G22+IPI_plus!G14</f>
        <v>0.50169171197189621</v>
      </c>
      <c r="H22" s="16">
        <f t="shared" si="3"/>
        <v>2</v>
      </c>
      <c r="I22" s="16">
        <f t="shared" si="3"/>
        <v>0.5</v>
      </c>
      <c r="J22" s="16">
        <v>-200</v>
      </c>
    </row>
    <row r="23" spans="1:10" x14ac:dyDescent="0.55000000000000004">
      <c r="A23" s="5">
        <f t="shared" si="0"/>
        <v>4.25</v>
      </c>
      <c r="B23" s="4">
        <f t="shared" si="1"/>
        <v>0</v>
      </c>
      <c r="C23" s="19">
        <f>'25hike'!C23+IPI_plus!C15</f>
        <v>2.0312100362260523E-2</v>
      </c>
      <c r="D23" s="19">
        <f>'25hike'!D23+IPI_plus!D15</f>
        <v>2.0061524460058471</v>
      </c>
      <c r="E23" s="19">
        <f>'25hike'!E23+IPI_plus!E15</f>
        <v>1.9873849839918933</v>
      </c>
      <c r="F23" s="19">
        <f>'25hike'!F23+IPI_plus!F15</f>
        <v>1.9673259042263975</v>
      </c>
      <c r="G23" s="19">
        <f>'25hike'!G23+IPI_plus!G15</f>
        <v>0.49608857705337717</v>
      </c>
      <c r="H23" s="16">
        <f t="shared" si="3"/>
        <v>2</v>
      </c>
      <c r="I23" s="16">
        <f t="shared" si="3"/>
        <v>0.5</v>
      </c>
      <c r="J23" s="16">
        <v>-200</v>
      </c>
    </row>
    <row r="24" spans="1:10" x14ac:dyDescent="0.55000000000000004">
      <c r="A24" s="5">
        <f t="shared" si="0"/>
        <v>4.5</v>
      </c>
      <c r="B24" s="4">
        <f t="shared" si="1"/>
        <v>0</v>
      </c>
      <c r="C24" s="19">
        <f>'25hike'!C24+IPI_plus!C16</f>
        <v>1.7508064805281894E-2</v>
      </c>
      <c r="D24" s="19">
        <f>'25hike'!D24+IPI_plus!D16</f>
        <v>2.0043860994019429</v>
      </c>
      <c r="E24" s="19">
        <f>'25hike'!E24+IPI_plus!E16</f>
        <v>1.9882760771166035</v>
      </c>
      <c r="F24" s="19">
        <f>'25hike'!F24+IPI_plus!F16</f>
        <v>1.9706613217921967</v>
      </c>
      <c r="G24" s="19">
        <f>'25hike'!G24+IPI_plus!G16</f>
        <v>0.49275809002105192</v>
      </c>
      <c r="H24" s="16">
        <f t="shared" si="3"/>
        <v>2</v>
      </c>
      <c r="I24" s="16">
        <f t="shared" si="3"/>
        <v>0.5</v>
      </c>
      <c r="J24" s="16">
        <v>-200</v>
      </c>
    </row>
    <row r="25" spans="1:10" x14ac:dyDescent="0.55000000000000004">
      <c r="A25" s="5">
        <f t="shared" si="0"/>
        <v>4.75</v>
      </c>
      <c r="B25" s="4">
        <f t="shared" si="1"/>
        <v>0</v>
      </c>
      <c r="C25" s="19">
        <f>'25hike'!C25+IPI_plus!C17</f>
        <v>1.5711514255081729E-2</v>
      </c>
      <c r="D25" s="19">
        <f>'25hike'!D25+IPI_plus!D17</f>
        <v>2.0036432910770303</v>
      </c>
      <c r="E25" s="19">
        <f>'25hike'!E25+IPI_plus!E17</f>
        <v>1.9893827495278131</v>
      </c>
      <c r="F25" s="19">
        <f>'25hike'!F25+IPI_plus!F17</f>
        <v>1.9736296990278317</v>
      </c>
      <c r="G25" s="19">
        <f>'25hike'!G25+IPI_plus!G17</f>
        <v>0.491792726788569</v>
      </c>
      <c r="H25" s="16">
        <f t="shared" si="3"/>
        <v>2</v>
      </c>
      <c r="I25" s="16">
        <f t="shared" si="3"/>
        <v>0.5</v>
      </c>
      <c r="J25" s="16">
        <v>-200</v>
      </c>
    </row>
    <row r="26" spans="1:10" x14ac:dyDescent="0.55000000000000004">
      <c r="A26" s="5">
        <f t="shared" si="0"/>
        <v>5</v>
      </c>
      <c r="B26" s="4">
        <f t="shared" si="1"/>
        <v>0</v>
      </c>
      <c r="C26" s="19">
        <f>'25hike'!C26+IPI_plus!C18</f>
        <v>1.4428929833443292E-2</v>
      </c>
      <c r="D26" s="19">
        <f>'25hike'!D26+IPI_plus!D18</f>
        <v>2.0034649498693979</v>
      </c>
      <c r="E26" s="19">
        <f>'25hike'!E26+IPI_plus!E18</f>
        <v>1.9905580762222299</v>
      </c>
      <c r="F26" s="19">
        <f>'25hike'!F26+IPI_plus!F18</f>
        <v>1.9763148716035726</v>
      </c>
      <c r="G26" s="19">
        <f>'25hike'!G26+IPI_plus!G18</f>
        <v>0.49244564804077112</v>
      </c>
      <c r="H26" s="16">
        <f t="shared" si="3"/>
        <v>2</v>
      </c>
      <c r="I26" s="16">
        <f t="shared" si="3"/>
        <v>0.5</v>
      </c>
      <c r="J26" s="16">
        <v>-200</v>
      </c>
    </row>
    <row r="27" spans="1:10" x14ac:dyDescent="0.55000000000000004">
      <c r="A27" s="5">
        <f t="shared" si="0"/>
        <v>5.25</v>
      </c>
      <c r="B27" s="4">
        <f t="shared" si="1"/>
        <v>0</v>
      </c>
      <c r="C27" s="19">
        <f>'25hike'!C27+IPI_plus!C19</f>
        <v>1.3315867594251662E-2</v>
      </c>
      <c r="D27" s="19">
        <f>'25hike'!D27+IPI_plus!D19</f>
        <v>2.0034648452151509</v>
      </c>
      <c r="E27" s="19">
        <f>'25hike'!E27+IPI_plus!E19</f>
        <v>1.9916743493313116</v>
      </c>
      <c r="F27" s="19">
        <f>'25hike'!F27+IPI_plus!F19</f>
        <v>1.9787583692286146</v>
      </c>
      <c r="G27" s="19">
        <f>'25hike'!G27+IPI_plus!G19</f>
        <v>0.49381457668711598</v>
      </c>
      <c r="H27" s="16">
        <f t="shared" si="3"/>
        <v>2</v>
      </c>
      <c r="I27" s="16">
        <f t="shared" si="3"/>
        <v>0.5</v>
      </c>
      <c r="J27" s="16">
        <v>-200</v>
      </c>
    </row>
    <row r="28" spans="1:10" x14ac:dyDescent="0.55000000000000004">
      <c r="A28" s="5">
        <f t="shared" si="0"/>
        <v>5.5</v>
      </c>
      <c r="B28" s="4">
        <f t="shared" si="1"/>
        <v>0</v>
      </c>
      <c r="C28" s="19">
        <f>'25hike'!C28+IPI_plus!C20</f>
        <v>1.2204866625143414E-2</v>
      </c>
      <c r="D28" s="19">
        <f>'25hike'!D28+IPI_plus!D20</f>
        <v>2.003414429797727</v>
      </c>
      <c r="E28" s="19">
        <f>'25hike'!E28+IPI_plus!E20</f>
        <v>1.9926577031033217</v>
      </c>
      <c r="F28" s="19">
        <f>'25hike'!F28+IPI_plus!F20</f>
        <v>1.9809774146798349</v>
      </c>
      <c r="G28" s="19">
        <f>'25hike'!G28+IPI_plus!G20</f>
        <v>0.4952177431834896</v>
      </c>
      <c r="H28" s="16">
        <f t="shared" si="3"/>
        <v>2</v>
      </c>
      <c r="I28" s="16">
        <f t="shared" si="3"/>
        <v>0.5</v>
      </c>
      <c r="J28" s="16">
        <v>-200</v>
      </c>
    </row>
    <row r="29" spans="1:10" x14ac:dyDescent="0.55000000000000004">
      <c r="A29" s="5">
        <f t="shared" si="0"/>
        <v>5.75</v>
      </c>
      <c r="B29" s="4">
        <f t="shared" si="1"/>
        <v>0</v>
      </c>
      <c r="C29" s="19">
        <f>'25hike'!C29+IPI_plus!C21</f>
        <v>1.1061821827795533E-2</v>
      </c>
      <c r="D29" s="19">
        <f>'25hike'!D29+IPI_plus!D21</f>
        <v>2.0032322287165538</v>
      </c>
      <c r="E29" s="19">
        <f>'25hike'!E29+IPI_plus!E21</f>
        <v>1.9934863754411623</v>
      </c>
      <c r="F29" s="19">
        <f>'25hike'!F29+IPI_plus!F21</f>
        <v>1.9829803479431396</v>
      </c>
      <c r="G29" s="19">
        <f>'25hike'!G29+IPI_plus!G21</f>
        <v>0.49630096863982237</v>
      </c>
      <c r="H29" s="16">
        <f t="shared" si="3"/>
        <v>2</v>
      </c>
      <c r="I29" s="16">
        <f t="shared" si="3"/>
        <v>0.5</v>
      </c>
      <c r="J29" s="16">
        <v>-200</v>
      </c>
    </row>
    <row r="30" spans="1:10" x14ac:dyDescent="0.55000000000000004">
      <c r="A30" s="5">
        <f t="shared" si="0"/>
        <v>6</v>
      </c>
      <c r="B30" s="4">
        <f t="shared" si="1"/>
        <v>0</v>
      </c>
      <c r="C30" s="19">
        <f>'25hike'!C30+IPI_plus!C22</f>
        <v>9.9223645077941708E-3</v>
      </c>
      <c r="D30" s="19">
        <f>'25hike'!D30+IPI_plus!D22</f>
        <v>2.0029303762492074</v>
      </c>
      <c r="E30" s="19">
        <f>'25hike'!E30+IPI_plus!E22</f>
        <v>1.9941726580578276</v>
      </c>
      <c r="F30" s="19">
        <f>'25hike'!F30+IPI_plus!F22</f>
        <v>1.9847758504906856</v>
      </c>
      <c r="G30" s="19">
        <f>'25hike'!G30+IPI_plus!G22</f>
        <v>0.49698130110549227</v>
      </c>
      <c r="H30" s="16">
        <f t="shared" si="3"/>
        <v>2</v>
      </c>
      <c r="I30" s="16">
        <f t="shared" si="3"/>
        <v>0.5</v>
      </c>
      <c r="J30" s="16">
        <v>-200</v>
      </c>
    </row>
    <row r="31" spans="1:10" x14ac:dyDescent="0.55000000000000004">
      <c r="A31" s="5">
        <f t="shared" si="0"/>
        <v>6.25</v>
      </c>
      <c r="B31" s="4">
        <f t="shared" si="1"/>
        <v>0</v>
      </c>
      <c r="C31" s="19">
        <f>'25hike'!C31+IPI_plus!C23</f>
        <v>8.8394553629772103E-3</v>
      </c>
      <c r="D31" s="19">
        <f>'25hike'!D31+IPI_plus!D23</f>
        <v>2.0025590466194325</v>
      </c>
      <c r="E31" s="19">
        <f>'25hike'!E31+IPI_plus!E23</f>
        <v>1.9947418272524404</v>
      </c>
      <c r="F31" s="19">
        <f>'25hike'!F31+IPI_plus!F23</f>
        <v>1.986376338142273</v>
      </c>
      <c r="G31" s="19">
        <f>'25hike'!G31+IPI_plus!G23</f>
        <v>0.49733163299170208</v>
      </c>
      <c r="H31" s="16">
        <f t="shared" si="3"/>
        <v>2</v>
      </c>
      <c r="I31" s="16">
        <f t="shared" si="3"/>
        <v>0.5</v>
      </c>
      <c r="J31" s="16">
        <v>-200</v>
      </c>
    </row>
    <row r="32" spans="1:10" x14ac:dyDescent="0.55000000000000004">
      <c r="A32" s="5">
        <f t="shared" si="0"/>
        <v>6.5</v>
      </c>
      <c r="B32" s="4">
        <f t="shared" si="1"/>
        <v>0</v>
      </c>
      <c r="C32" s="19">
        <f>'25hike'!C32+IPI_plus!C24</f>
        <v>7.8531170166369485E-3</v>
      </c>
      <c r="D32" s="19">
        <f>'25hike'!D32+IPI_plus!D24</f>
        <v>2.0021655213141587</v>
      </c>
      <c r="E32" s="19">
        <f>'25hike'!E32+IPI_plus!E24</f>
        <v>1.9952181664238064</v>
      </c>
      <c r="F32" s="19">
        <f>'25hike'!F32+IPI_plus!F24</f>
        <v>1.9877973646277427</v>
      </c>
      <c r="G32" s="19">
        <f>'25hike'!G32+IPI_plus!G24</f>
        <v>0.4974730710328833</v>
      </c>
      <c r="H32" s="16">
        <f t="shared" si="3"/>
        <v>2</v>
      </c>
      <c r="I32" s="16">
        <f t="shared" si="3"/>
        <v>0.5</v>
      </c>
      <c r="J32" s="16">
        <v>-200</v>
      </c>
    </row>
    <row r="33" spans="1:10" x14ac:dyDescent="0.55000000000000004">
      <c r="A33" s="5">
        <f t="shared" si="0"/>
        <v>6.75</v>
      </c>
      <c r="B33" s="4">
        <f t="shared" si="1"/>
        <v>0</v>
      </c>
      <c r="C33" s="19">
        <f>'25hike'!C33+IPI_plus!C25</f>
        <v>6.9808654026730019E-3</v>
      </c>
      <c r="D33" s="19">
        <f>'25hike'!D33+IPI_plus!D25</f>
        <v>2.001777111275429</v>
      </c>
      <c r="E33" s="19">
        <f>'25hike'!E33+IPI_plus!E25</f>
        <v>1.9956151757703602</v>
      </c>
      <c r="F33" s="19">
        <f>'25hike'!F33+IPI_plus!F25</f>
        <v>1.9890555418260345</v>
      </c>
      <c r="G33" s="19">
        <f>'25hike'!G33+IPI_plus!G25</f>
        <v>0.49750807548765291</v>
      </c>
      <c r="H33" s="16">
        <f t="shared" si="3"/>
        <v>2</v>
      </c>
      <c r="I33" s="16">
        <f t="shared" si="3"/>
        <v>0.5</v>
      </c>
      <c r="J33" s="16">
        <v>-200</v>
      </c>
    </row>
    <row r="34" spans="1:10" x14ac:dyDescent="0.55000000000000004">
      <c r="A34" s="5">
        <f t="shared" si="0"/>
        <v>7</v>
      </c>
      <c r="B34" s="4">
        <f t="shared" si="1"/>
        <v>0</v>
      </c>
      <c r="C34" s="19">
        <f>'25hike'!C34+IPI_plus!C26</f>
        <v>6.2204096641342499E-3</v>
      </c>
      <c r="D34" s="19">
        <f>'25hike'!D34+IPI_plus!D26</f>
        <v>2.0013930132223532</v>
      </c>
      <c r="E34" s="19">
        <f>'25hike'!E34+IPI_plus!E26</f>
        <v>1.9959369782965197</v>
      </c>
      <c r="F34" s="19">
        <f>'25hike'!F34+IPI_plus!F26</f>
        <v>1.9901659142517032</v>
      </c>
      <c r="G34" s="19">
        <f>'25hike'!G34+IPI_plus!G26</f>
        <v>0.49748944397713751</v>
      </c>
      <c r="H34" s="16">
        <f t="shared" si="3"/>
        <v>2</v>
      </c>
      <c r="I34" s="16">
        <f t="shared" si="3"/>
        <v>0.5</v>
      </c>
      <c r="J34" s="16">
        <v>-200</v>
      </c>
    </row>
    <row r="35" spans="1:10" x14ac:dyDescent="0.55000000000000004">
      <c r="A35" s="5">
        <f t="shared" si="0"/>
        <v>7.25</v>
      </c>
      <c r="B35" s="4">
        <f t="shared" si="1"/>
        <v>0</v>
      </c>
      <c r="C35" s="19">
        <f>'25hike'!C35+IPI_plus!C27</f>
        <v>5.5585163974641019E-3</v>
      </c>
      <c r="D35" s="19">
        <f>'25hike'!D35+IPI_plus!D27</f>
        <v>2.0009960005369014</v>
      </c>
      <c r="E35" s="19">
        <f>'25hike'!E35+IPI_plus!E27</f>
        <v>1.9961719989982238</v>
      </c>
      <c r="F35" s="19">
        <f>'25hike'!F35+IPI_plus!F27</f>
        <v>1.9911406220173711</v>
      </c>
      <c r="G35" s="19">
        <f>'25hike'!G35+IPI_plus!G27</f>
        <v>0.49742421960732386</v>
      </c>
      <c r="H35" s="16">
        <f t="shared" si="3"/>
        <v>2</v>
      </c>
      <c r="I35" s="16">
        <f t="shared" si="3"/>
        <v>0.5</v>
      </c>
      <c r="J35" s="16">
        <v>-200</v>
      </c>
    </row>
    <row r="36" spans="1:10" x14ac:dyDescent="0.55000000000000004">
      <c r="A36" s="5">
        <f t="shared" si="0"/>
        <v>7.5</v>
      </c>
      <c r="B36" s="4">
        <f t="shared" si="1"/>
        <v>0</v>
      </c>
      <c r="C36" s="19">
        <f>'25hike'!C36+IPI_plus!C28</f>
        <v>4.977603173151943E-3</v>
      </c>
      <c r="D36" s="19">
        <f>'25hike'!D36+IPI_plus!D28</f>
        <v>2.0005429128133438</v>
      </c>
      <c r="E36" s="19">
        <f>'25hike'!E36+IPI_plus!E28</f>
        <v>1.9963063728307155</v>
      </c>
      <c r="F36" s="19">
        <f>'25hike'!F36+IPI_plus!F28</f>
        <v>1.9919868281890087</v>
      </c>
      <c r="G36" s="19">
        <f>'25hike'!G36+IPI_plus!G28</f>
        <v>0.49727538752772688</v>
      </c>
      <c r="H36" s="16">
        <f t="shared" ref="H36:I51" si="4">H35</f>
        <v>2</v>
      </c>
      <c r="I36" s="16">
        <f t="shared" si="4"/>
        <v>0.5</v>
      </c>
      <c r="J36" s="16">
        <v>-200</v>
      </c>
    </row>
    <row r="37" spans="1:10" x14ac:dyDescent="0.55000000000000004">
      <c r="A37" s="5">
        <f t="shared" si="0"/>
        <v>7.75</v>
      </c>
      <c r="B37" s="4">
        <f t="shared" si="1"/>
        <v>0</v>
      </c>
      <c r="C37" s="19">
        <f>'25hike'!C37+IPI_plus!C29</f>
        <v>4.4633499666370258E-3</v>
      </c>
      <c r="D37" s="19">
        <f>'25hike'!D37+IPI_plus!D29</f>
        <v>1.9999940290651859</v>
      </c>
      <c r="E37" s="19">
        <f>'25hike'!E37+IPI_plus!E29</f>
        <v>1.9962995577814056</v>
      </c>
      <c r="F37" s="19">
        <f>'25hike'!F37+IPI_plus!F29</f>
        <v>1.9927074762678645</v>
      </c>
      <c r="G37" s="19">
        <f>'25hike'!G37+IPI_plus!G29</f>
        <v>0.49699006867803147</v>
      </c>
      <c r="H37" s="16">
        <f t="shared" si="4"/>
        <v>2</v>
      </c>
      <c r="I37" s="16">
        <f t="shared" si="4"/>
        <v>0.5</v>
      </c>
      <c r="J37" s="16">
        <v>-200</v>
      </c>
    </row>
    <row r="38" spans="1:10" x14ac:dyDescent="0.55000000000000004">
      <c r="A38" s="5">
        <f t="shared" si="0"/>
        <v>8</v>
      </c>
      <c r="B38" s="4">
        <f t="shared" si="1"/>
        <v>0</v>
      </c>
      <c r="C38" s="19">
        <f>'25hike'!C38+IPI_plus!C30</f>
        <v>4.0023572192408301E-3</v>
      </c>
      <c r="D38" s="19">
        <f>'25hike'!D38+IPI_plus!D30</f>
        <v>1.9992600980539463</v>
      </c>
      <c r="E38" s="19">
        <f>'25hike'!E38+IPI_plus!E30</f>
        <v>1.9961250001615409</v>
      </c>
      <c r="F38" s="19">
        <f>'25hike'!F38+IPI_plus!F30</f>
        <v>1.9932972122286121</v>
      </c>
      <c r="G38" s="19">
        <f>'25hike'!G38+IPI_plus!G30</f>
        <v>0.49647212719528161</v>
      </c>
      <c r="H38" s="16">
        <f t="shared" si="4"/>
        <v>2</v>
      </c>
      <c r="I38" s="16">
        <f t="shared" si="4"/>
        <v>0.5</v>
      </c>
      <c r="J38" s="16">
        <v>-200</v>
      </c>
    </row>
    <row r="39" spans="1:10" x14ac:dyDescent="0.55000000000000004">
      <c r="A39" s="5">
        <f t="shared" si="0"/>
        <v>8.25</v>
      </c>
      <c r="B39" s="4">
        <f t="shared" si="1"/>
        <v>0</v>
      </c>
      <c r="C39" s="19">
        <f>'25hike'!C39+IPI_plus!C31</f>
        <v>3.5905890932513857E-3</v>
      </c>
      <c r="D39" s="19">
        <f>'25hike'!D39+IPI_plus!D31</f>
        <v>1.9982886070579686</v>
      </c>
      <c r="E39" s="19">
        <f>'25hike'!E39+IPI_plus!E31</f>
        <v>1.995682071015753</v>
      </c>
      <c r="F39" s="19">
        <f>'25hike'!F39+IPI_plus!F31</f>
        <v>1.9937464377632541</v>
      </c>
      <c r="G39" s="19">
        <f>'25hike'!G39+IPI_plus!G31</f>
        <v>0.49563715978804984</v>
      </c>
      <c r="H39" s="16">
        <f t="shared" si="4"/>
        <v>2</v>
      </c>
      <c r="I39" s="16">
        <f t="shared" si="4"/>
        <v>0.5</v>
      </c>
      <c r="J39" s="16">
        <v>-200</v>
      </c>
    </row>
    <row r="40" spans="1:10" x14ac:dyDescent="0.55000000000000004">
      <c r="A40" s="5">
        <f t="shared" si="0"/>
        <v>8.5</v>
      </c>
      <c r="B40" s="4">
        <f t="shared" si="1"/>
        <v>0</v>
      </c>
      <c r="C40" s="19">
        <f>'25hike'!C40+IPI_plus!C32</f>
        <v>3.2167045617837219E-3</v>
      </c>
      <c r="D40" s="19">
        <f>'25hike'!D40+IPI_plus!D32</f>
        <v>1.9968756658020597</v>
      </c>
      <c r="E40" s="19">
        <f>'25hike'!E40+IPI_plus!E32</f>
        <v>1.9949380387956397</v>
      </c>
      <c r="F40" s="19">
        <f>'25hike'!F40+IPI_plus!F32</f>
        <v>1.9940280682867466</v>
      </c>
      <c r="G40" s="19">
        <f>'25hike'!G40+IPI_plus!G32</f>
        <v>0.49428837715734297</v>
      </c>
      <c r="H40" s="16">
        <f t="shared" si="4"/>
        <v>2</v>
      </c>
      <c r="I40" s="16">
        <f t="shared" si="4"/>
        <v>0.5</v>
      </c>
      <c r="J40" s="16">
        <v>-200</v>
      </c>
    </row>
    <row r="41" spans="1:10" x14ac:dyDescent="0.55000000000000004">
      <c r="A41" s="5">
        <f t="shared" si="0"/>
        <v>8.75</v>
      </c>
      <c r="B41" s="4">
        <f t="shared" si="1"/>
        <v>0</v>
      </c>
      <c r="C41" s="19">
        <f>'25hike'!C41+IPI_plus!C33</f>
        <v>2.8900126856630454E-3</v>
      </c>
      <c r="D41" s="19">
        <f>'25hike'!D41+IPI_plus!D33</f>
        <v>1.9949715893555193</v>
      </c>
      <c r="E41" s="19">
        <f>'25hike'!E41+IPI_plus!E33</f>
        <v>1.9936302073325782</v>
      </c>
      <c r="F41" s="19">
        <f>'25hike'!F41+IPI_plus!F33</f>
        <v>1.9941129851829362</v>
      </c>
      <c r="G41" s="19">
        <f>'25hike'!G41+IPI_plus!G33</f>
        <v>0.49229930488198087</v>
      </c>
      <c r="H41" s="16">
        <f t="shared" si="4"/>
        <v>2</v>
      </c>
      <c r="I41" s="16">
        <f t="shared" si="4"/>
        <v>0.5</v>
      </c>
      <c r="J41" s="16">
        <v>-200</v>
      </c>
    </row>
    <row r="42" spans="1:10" x14ac:dyDescent="0.55000000000000004">
      <c r="A42" s="5">
        <f t="shared" si="0"/>
        <v>9</v>
      </c>
      <c r="B42" s="4">
        <f t="shared" si="1"/>
        <v>0</v>
      </c>
      <c r="C42" s="19">
        <f>'25hike'!C42+IPI_plus!C34</f>
        <v>2.5854168214096422E-3</v>
      </c>
      <c r="D42" s="19">
        <f>'25hike'!D42+IPI_plus!D34</f>
        <v>1.9920472745737445</v>
      </c>
      <c r="E42" s="19">
        <f>'25hike'!E42+IPI_plus!E34</f>
        <v>1.9917706171781242</v>
      </c>
      <c r="F42" s="19">
        <f>'25hike'!F42+IPI_plus!F34</f>
        <v>1.9939270712281087</v>
      </c>
      <c r="G42" s="19">
        <f>'25hike'!G42+IPI_plus!G34</f>
        <v>0.48919765811083971</v>
      </c>
      <c r="H42" s="16">
        <f t="shared" si="4"/>
        <v>2</v>
      </c>
      <c r="I42" s="16">
        <f t="shared" si="4"/>
        <v>0.5</v>
      </c>
      <c r="J42" s="16">
        <v>-200</v>
      </c>
    </row>
    <row r="43" spans="1:10" x14ac:dyDescent="0.55000000000000004">
      <c r="A43" s="5">
        <f t="shared" si="0"/>
        <v>9.25</v>
      </c>
      <c r="B43" s="4">
        <f t="shared" si="1"/>
        <v>0</v>
      </c>
      <c r="C43" s="19">
        <f>'25hike'!C43+IPI_plus!C35</f>
        <v>2.3438718246902163E-3</v>
      </c>
      <c r="D43" s="19">
        <f>'25hike'!D43+IPI_plus!D35</f>
        <v>1.9881798312076673</v>
      </c>
      <c r="E43" s="19">
        <f>'25hike'!E43+IPI_plus!E35</f>
        <v>1.9886351426862938</v>
      </c>
      <c r="F43" s="19">
        <f>'25hike'!F43+IPI_plus!F35</f>
        <v>1.9934098196262691</v>
      </c>
      <c r="G43" s="19">
        <f>'25hike'!G43+IPI_plus!G35</f>
        <v>0.4848294277848339</v>
      </c>
      <c r="H43" s="16">
        <f t="shared" si="4"/>
        <v>2</v>
      </c>
      <c r="I43" s="16">
        <f t="shared" si="4"/>
        <v>0.5</v>
      </c>
      <c r="J43" s="16">
        <v>-200</v>
      </c>
    </row>
    <row r="44" spans="1:10" x14ac:dyDescent="0.55000000000000004">
      <c r="A44" s="5">
        <f t="shared" si="0"/>
        <v>9.5</v>
      </c>
      <c r="B44" s="4">
        <f t="shared" si="1"/>
        <v>0</v>
      </c>
      <c r="C44" s="19">
        <f>'25hike'!C44+IPI_plus!C36</f>
        <v>2.0847641415628858E-3</v>
      </c>
      <c r="D44" s="19">
        <f>'25hike'!D44+IPI_plus!D36</f>
        <v>1.981898358038048</v>
      </c>
      <c r="E44" s="19">
        <f>'25hike'!E44+IPI_plus!E36</f>
        <v>1.9845400114028688</v>
      </c>
      <c r="F44" s="19">
        <f>'25hike'!F44+IPI_plus!F36</f>
        <v>1.9923737880833294</v>
      </c>
      <c r="G44" s="19">
        <f>'25hike'!G44+IPI_plus!G36</f>
        <v>0.47796629098996712</v>
      </c>
      <c r="H44" s="16">
        <f t="shared" si="4"/>
        <v>2</v>
      </c>
      <c r="I44" s="16">
        <f t="shared" si="4"/>
        <v>0.5</v>
      </c>
      <c r="J44" s="16">
        <v>-200</v>
      </c>
    </row>
    <row r="45" spans="1:10" x14ac:dyDescent="0.55000000000000004">
      <c r="A45" s="5">
        <f t="shared" si="0"/>
        <v>9.75</v>
      </c>
      <c r="B45" s="4">
        <f t="shared" si="1"/>
        <v>0</v>
      </c>
      <c r="C45" s="19">
        <f>'25hike'!C45+IPI_plus!C37</f>
        <v>1.9553310193210611E-3</v>
      </c>
      <c r="D45" s="19">
        <f>'25hike'!D45+IPI_plus!D37</f>
        <v>1.9739973107172415</v>
      </c>
      <c r="E45" s="19">
        <f>'25hike'!E45+IPI_plus!E37</f>
        <v>1.9773842644121677</v>
      </c>
      <c r="F45" s="19">
        <f>'25hike'!F45+IPI_plus!F37</f>
        <v>1.9907199051203814</v>
      </c>
      <c r="G45" s="19">
        <f>'25hike'!G45+IPI_plus!G37</f>
        <v>0.46867120516989852</v>
      </c>
      <c r="H45" s="16">
        <f t="shared" si="4"/>
        <v>2</v>
      </c>
      <c r="I45" s="16">
        <f t="shared" si="4"/>
        <v>0.5</v>
      </c>
      <c r="J45" s="16">
        <v>-200</v>
      </c>
    </row>
    <row r="46" spans="1:10" x14ac:dyDescent="0.55000000000000004">
      <c r="A46" s="5">
        <f t="shared" si="0"/>
        <v>10</v>
      </c>
      <c r="B46" s="4">
        <f t="shared" si="1"/>
        <v>0</v>
      </c>
      <c r="C46" s="19">
        <f>'25hike'!C46+IPI_plus!C38</f>
        <v>1.6815672103447424E-3</v>
      </c>
      <c r="D46" s="19">
        <f>'25hike'!D46+IPI_plus!D38</f>
        <v>1.9601571994533908</v>
      </c>
      <c r="E46" s="19">
        <f>'25hike'!E46+IPI_plus!E38</f>
        <v>1.9688606294994593</v>
      </c>
      <c r="F46" s="19">
        <f>'25hike'!F46+IPI_plus!F38</f>
        <v>1.9879692616103524</v>
      </c>
      <c r="G46" s="19">
        <f>'25hike'!G46+IPI_plus!G38</f>
        <v>0.45356994400276002</v>
      </c>
      <c r="H46" s="16">
        <f t="shared" si="4"/>
        <v>2</v>
      </c>
      <c r="I46" s="16">
        <f t="shared" si="4"/>
        <v>0.5</v>
      </c>
      <c r="J46" s="16">
        <v>-200</v>
      </c>
    </row>
    <row r="47" spans="1:10" x14ac:dyDescent="0.55000000000000004">
      <c r="A47" s="5">
        <f t="shared" si="0"/>
        <v>10.25</v>
      </c>
      <c r="B47" s="4">
        <f t="shared" si="1"/>
        <v>0</v>
      </c>
      <c r="C47" s="19">
        <f>'25hike'!C47+IPI_plus!C39</f>
        <v>1.7774616542076739E-3</v>
      </c>
      <c r="D47" s="19">
        <f>'25hike'!D47+IPI_plus!D39</f>
        <v>1.9442591933305826</v>
      </c>
      <c r="E47" s="19">
        <f>'25hike'!E47+IPI_plus!E39</f>
        <v>1.9525744282510913</v>
      </c>
      <c r="F47" s="19">
        <f>'25hike'!F47+IPI_plus!F39</f>
        <v>1.9840353554651728</v>
      </c>
      <c r="G47" s="19">
        <f>'25hike'!G47+IPI_plus!G39</f>
        <v>0.4341718030496759</v>
      </c>
      <c r="H47" s="16">
        <f t="shared" si="4"/>
        <v>2</v>
      </c>
      <c r="I47" s="16">
        <f t="shared" si="4"/>
        <v>0.5</v>
      </c>
      <c r="J47" s="16">
        <v>-200</v>
      </c>
    </row>
    <row r="48" spans="1:10" x14ac:dyDescent="0.55000000000000004">
      <c r="A48" s="5">
        <f t="shared" si="0"/>
        <v>10.5</v>
      </c>
      <c r="B48" s="4">
        <f t="shared" si="1"/>
        <v>0</v>
      </c>
      <c r="C48" s="19">
        <f>'25hike'!C48+IPI_plus!C40</f>
        <v>1.2970747682536968E-3</v>
      </c>
      <c r="D48" s="19">
        <f>'25hike'!D48+IPI_plus!D40</f>
        <v>1.9130040178271188</v>
      </c>
      <c r="E48" s="19">
        <f>'25hike'!E48+IPI_plus!E40</f>
        <v>1.9356740332951814</v>
      </c>
      <c r="F48" s="19">
        <f>'25hike'!F48+IPI_plus!F40</f>
        <v>1.9776425350777482</v>
      </c>
      <c r="G48" s="19">
        <f>'25hike'!G48+IPI_plus!G40</f>
        <v>0.40069015671579433</v>
      </c>
      <c r="H48" s="16">
        <f t="shared" si="4"/>
        <v>2</v>
      </c>
      <c r="I48" s="16">
        <f t="shared" si="4"/>
        <v>0.5</v>
      </c>
      <c r="J48" s="16">
        <v>-200</v>
      </c>
    </row>
    <row r="49" spans="1:10" x14ac:dyDescent="0.55000000000000004">
      <c r="A49" s="5">
        <f t="shared" si="0"/>
        <v>10.75</v>
      </c>
      <c r="B49" s="4">
        <f t="shared" si="1"/>
        <v>0</v>
      </c>
      <c r="C49" s="19">
        <f>'25hike'!C49+IPI_plus!C41</f>
        <v>2.0197023925544858E-3</v>
      </c>
      <c r="D49" s="19">
        <f>'25hike'!D49+IPI_plus!D41</f>
        <v>1.8822468852375551</v>
      </c>
      <c r="E49" s="19">
        <f>'25hike'!E49+IPI_plus!E41</f>
        <v>1.8979091391658203</v>
      </c>
      <c r="F49" s="19">
        <f>'25hike'!F49+IPI_plus!F41</f>
        <v>1.9690569265921307</v>
      </c>
      <c r="G49" s="19">
        <f>'25hike'!G49+IPI_plus!G41</f>
        <v>0.36112476329204707</v>
      </c>
      <c r="H49" s="16">
        <f t="shared" si="4"/>
        <v>2</v>
      </c>
      <c r="I49" s="16">
        <f t="shared" si="4"/>
        <v>0.5</v>
      </c>
      <c r="J49" s="16">
        <v>-200</v>
      </c>
    </row>
    <row r="50" spans="1:10" x14ac:dyDescent="0.55000000000000004">
      <c r="A50" s="5">
        <f t="shared" si="0"/>
        <v>11</v>
      </c>
      <c r="B50" s="4">
        <f t="shared" si="1"/>
        <v>0</v>
      </c>
      <c r="C50" s="19">
        <f>'25hike'!C50+IPI_plus!C42</f>
        <v>6.6662999322068079E-4</v>
      </c>
      <c r="D50" s="19">
        <f>'25hike'!D50+IPI_plus!D42</f>
        <v>1.809484988080549</v>
      </c>
      <c r="E50" s="19">
        <f>'25hike'!E50+IPI_plus!E42</f>
        <v>1.8667892845961127</v>
      </c>
      <c r="F50" s="19">
        <f>'25hike'!F50+IPI_plus!F42</f>
        <v>1.9546954521260884</v>
      </c>
      <c r="G50" s="19">
        <f>'25hike'!G50+IPI_plus!G42</f>
        <v>0.28565630628310174</v>
      </c>
      <c r="H50" s="16">
        <f t="shared" si="4"/>
        <v>2</v>
      </c>
      <c r="I50" s="16">
        <f t="shared" si="4"/>
        <v>0.5</v>
      </c>
      <c r="J50" s="16">
        <v>-200</v>
      </c>
    </row>
    <row r="51" spans="1:10" x14ac:dyDescent="0.55000000000000004">
      <c r="A51" s="5">
        <f t="shared" si="0"/>
        <v>11.25</v>
      </c>
      <c r="B51" s="4">
        <f t="shared" si="1"/>
        <v>0</v>
      </c>
      <c r="C51" s="19">
        <f>'25hike'!C51+IPI_plus!C43</f>
        <v>3.3880855228256741E-3</v>
      </c>
      <c r="D51" s="19">
        <f>'25hike'!D51+IPI_plus!D43</f>
        <v>1.7547804901147432</v>
      </c>
      <c r="E51" s="19">
        <f>'25hike'!E51+IPI_plus!E43</f>
        <v>1.7762538273343529</v>
      </c>
      <c r="F51" s="19">
        <f>'25hike'!F51+IPI_plus!F43</f>
        <v>1.9367031055450674</v>
      </c>
      <c r="G51" s="19">
        <f>'25hike'!G51+IPI_plus!G43</f>
        <v>0.20791962475454506</v>
      </c>
      <c r="H51" s="16">
        <f t="shared" si="4"/>
        <v>2</v>
      </c>
      <c r="I51" s="16">
        <f t="shared" si="4"/>
        <v>0.5</v>
      </c>
      <c r="J51" s="16">
        <v>-200</v>
      </c>
    </row>
    <row r="52" spans="1:10" x14ac:dyDescent="0.55000000000000004">
      <c r="A52" s="5">
        <f t="shared" si="0"/>
        <v>11.5</v>
      </c>
      <c r="B52" s="4">
        <f t="shared" si="1"/>
        <v>0</v>
      </c>
      <c r="C52" s="19">
        <f>'25hike'!C52+IPI_plus!C44</f>
        <v>-1.1834556874401837E-3</v>
      </c>
      <c r="D52" s="19">
        <f>'25hike'!D52+IPI_plus!D44</f>
        <v>1.5785608658478059</v>
      </c>
      <c r="E52" s="19">
        <f>'25hike'!E52+IPI_plus!E44</f>
        <v>1.727453356401436</v>
      </c>
      <c r="F52" s="19">
        <f>'25hike'!F52+IPI_plus!F44</f>
        <v>1.9044703039723139</v>
      </c>
      <c r="G52" s="19">
        <f>'25hike'!G52+IPI_plus!G44</f>
        <v>3.3374526557887516E-2</v>
      </c>
      <c r="H52" s="16">
        <f t="shared" ref="H52:I53" si="5">H51</f>
        <v>2</v>
      </c>
      <c r="I52" s="16">
        <f t="shared" si="5"/>
        <v>0.5</v>
      </c>
      <c r="J52" s="16">
        <v>-200</v>
      </c>
    </row>
    <row r="53" spans="1:10" x14ac:dyDescent="0.55000000000000004">
      <c r="A53" s="5">
        <f t="shared" si="0"/>
        <v>11.75</v>
      </c>
      <c r="B53" s="4">
        <f t="shared" si="1"/>
        <v>0</v>
      </c>
      <c r="C53" s="19">
        <f>'25hike'!C53+IPI_plus!C45</f>
        <v>-5.9014980140648674E-4</v>
      </c>
      <c r="D53" s="19">
        <f>'25hike'!D53+IPI_plus!D45</f>
        <v>1.499821096351591</v>
      </c>
      <c r="E53" s="19">
        <f>'25hike'!E53+IPI_plus!E45</f>
        <v>1.5003502160829016</v>
      </c>
      <c r="F53" s="19">
        <f>'25hike'!F53+IPI_plus!F45</f>
        <v>1.5009182612946441</v>
      </c>
      <c r="G53" s="19">
        <f>'25hike'!G53+IPI_plus!G45</f>
        <v>1.8852589363407967E-4</v>
      </c>
      <c r="H53" s="16">
        <f t="shared" si="5"/>
        <v>2</v>
      </c>
      <c r="I53" s="16">
        <f t="shared" si="5"/>
        <v>0.5</v>
      </c>
      <c r="J53" s="16">
        <v>-200</v>
      </c>
    </row>
    <row r="54" spans="1:10" hidden="1" x14ac:dyDescent="0.55000000000000004">
      <c r="A54" s="5">
        <f t="shared" si="0"/>
        <v>12</v>
      </c>
      <c r="B54" s="4">
        <f t="shared" si="1"/>
        <v>0</v>
      </c>
      <c r="C54" s="19" t="e">
        <f>'25hike'!C54+IPI_plus!C46</f>
        <v>#REF!</v>
      </c>
      <c r="D54" s="19" t="e">
        <f>'25hike'!D54+IPI_plus!D46</f>
        <v>#REF!</v>
      </c>
      <c r="E54" s="19" t="e">
        <f>'25hike'!E54+IPI_plus!E46</f>
        <v>#REF!</v>
      </c>
      <c r="F54" s="19" t="e">
        <f>'25hike'!F54+IPI_plus!F46</f>
        <v>#REF!</v>
      </c>
      <c r="G54" s="19" t="e">
        <f>'25hike'!G54+IPI_plus!G46</f>
        <v>#REF!</v>
      </c>
    </row>
    <row r="55" spans="1:10" hidden="1" x14ac:dyDescent="0.55000000000000004">
      <c r="A55" s="5">
        <f t="shared" si="0"/>
        <v>12.25</v>
      </c>
      <c r="B55" s="4">
        <f t="shared" si="1"/>
        <v>0</v>
      </c>
      <c r="C55" s="19" t="e">
        <f>'25hike'!C55+IPI_plus!C47</f>
        <v>#REF!</v>
      </c>
      <c r="D55" s="19" t="e">
        <f>'25hike'!D55+IPI_plus!D47</f>
        <v>#REF!</v>
      </c>
      <c r="E55" s="19" t="e">
        <f>'25hike'!E55+IPI_plus!E47</f>
        <v>#REF!</v>
      </c>
      <c r="F55" s="19" t="e">
        <f>'25hike'!F55+IPI_plus!F47</f>
        <v>#REF!</v>
      </c>
      <c r="G55" s="19" t="e">
        <f>'25hike'!G55+IPI_plus!G47</f>
        <v>#REF!</v>
      </c>
    </row>
    <row r="56" spans="1:10" hidden="1" x14ac:dyDescent="0.55000000000000004">
      <c r="A56" s="5">
        <f t="shared" si="0"/>
        <v>12.5</v>
      </c>
      <c r="B56" s="4">
        <f t="shared" si="1"/>
        <v>0</v>
      </c>
      <c r="C56" s="19" t="e">
        <f>'25hike'!C56+IPI_plus!C48</f>
        <v>#REF!</v>
      </c>
      <c r="D56" s="19" t="e">
        <f>'25hike'!D56+IPI_plus!D48</f>
        <v>#REF!</v>
      </c>
      <c r="E56" s="19" t="e">
        <f>'25hike'!E56+IPI_plus!E48</f>
        <v>#REF!</v>
      </c>
      <c r="F56" s="19" t="e">
        <f>'25hike'!F56+IPI_plus!F48</f>
        <v>#REF!</v>
      </c>
      <c r="G56" s="19" t="e">
        <f>'25hike'!G56+IPI_plus!G48</f>
        <v>#REF!</v>
      </c>
    </row>
    <row r="57" spans="1:10" hidden="1" x14ac:dyDescent="0.55000000000000004">
      <c r="A57" s="5">
        <f t="shared" si="0"/>
        <v>12.75</v>
      </c>
      <c r="B57" s="4">
        <f t="shared" si="1"/>
        <v>0</v>
      </c>
      <c r="C57" s="19" t="e">
        <f>'25hike'!C57+IPI_plus!C49</f>
        <v>#REF!</v>
      </c>
      <c r="D57" s="19" t="e">
        <f>'25hike'!D57+IPI_plus!D49</f>
        <v>#REF!</v>
      </c>
      <c r="E57" s="19" t="e">
        <f>'25hike'!E57+IPI_plus!E49</f>
        <v>#REF!</v>
      </c>
      <c r="F57" s="19" t="e">
        <f>'25hike'!F57+IPI_plus!F49</f>
        <v>#REF!</v>
      </c>
      <c r="G57" s="19" t="e">
        <f>'25hike'!G57+IPI_plus!G49</f>
        <v>#REF!</v>
      </c>
    </row>
    <row r="58" spans="1:10" hidden="1" x14ac:dyDescent="0.55000000000000004">
      <c r="A58" s="5">
        <f t="shared" si="0"/>
        <v>13</v>
      </c>
      <c r="B58" s="4">
        <f t="shared" si="1"/>
        <v>0</v>
      </c>
      <c r="C58" s="19" t="e">
        <f>'25hike'!C58+IPI_plus!C50</f>
        <v>#REF!</v>
      </c>
      <c r="D58" s="19" t="e">
        <f>'25hike'!D58+IPI_plus!D50</f>
        <v>#REF!</v>
      </c>
      <c r="E58" s="19" t="e">
        <f>'25hike'!E58+IPI_plus!E50</f>
        <v>#REF!</v>
      </c>
      <c r="F58" s="19" t="e">
        <f>'25hike'!F58+IPI_plus!F50</f>
        <v>#REF!</v>
      </c>
      <c r="G58" s="19" t="e">
        <f>'25hike'!G58+IPI_plus!G50</f>
        <v>#REF!</v>
      </c>
    </row>
    <row r="59" spans="1:10" hidden="1" x14ac:dyDescent="0.55000000000000004">
      <c r="A59" s="5">
        <f t="shared" si="0"/>
        <v>13.25</v>
      </c>
      <c r="B59" s="4">
        <f t="shared" si="1"/>
        <v>0</v>
      </c>
      <c r="C59" s="19" t="e">
        <f>'25hike'!C59+IPI_plus!C51</f>
        <v>#REF!</v>
      </c>
      <c r="D59" s="19" t="e">
        <f>'25hike'!D59+IPI_plus!D51</f>
        <v>#REF!</v>
      </c>
      <c r="E59" s="19" t="e">
        <f>'25hike'!E59+IPI_plus!E51</f>
        <v>#REF!</v>
      </c>
      <c r="F59" s="19" t="e">
        <f>'25hike'!F59+IPI_plus!F51</f>
        <v>#REF!</v>
      </c>
      <c r="G59" s="19" t="e">
        <f>'25hike'!G59+IPI_plus!G51</f>
        <v>#REF!</v>
      </c>
    </row>
    <row r="60" spans="1:10" hidden="1" x14ac:dyDescent="0.55000000000000004">
      <c r="A60" s="5">
        <f t="shared" si="0"/>
        <v>13.5</v>
      </c>
      <c r="B60" s="4">
        <f t="shared" si="1"/>
        <v>0</v>
      </c>
      <c r="C60" s="19" t="e">
        <f>'25hike'!C60+IPI_plus!C52</f>
        <v>#REF!</v>
      </c>
      <c r="D60" s="19" t="e">
        <f>'25hike'!D60+IPI_plus!D52</f>
        <v>#REF!</v>
      </c>
      <c r="E60" s="19" t="e">
        <f>'25hike'!E60+IPI_plus!E52</f>
        <v>#REF!</v>
      </c>
      <c r="F60" s="19" t="e">
        <f>'25hike'!F60+IPI_plus!F52</f>
        <v>#REF!</v>
      </c>
      <c r="G60" s="19" t="e">
        <f>'25hike'!G60+IPI_plus!G52</f>
        <v>#REF!</v>
      </c>
    </row>
    <row r="61" spans="1:10" hidden="1" x14ac:dyDescent="0.55000000000000004">
      <c r="A61" s="5">
        <f t="shared" si="0"/>
        <v>13.75</v>
      </c>
      <c r="B61" s="4">
        <f t="shared" si="1"/>
        <v>0</v>
      </c>
      <c r="C61" s="19" t="e">
        <f>'25hike'!C61+IPI_plus!C53</f>
        <v>#REF!</v>
      </c>
      <c r="D61" s="19" t="e">
        <f>'25hike'!D61+IPI_plus!D53</f>
        <v>#REF!</v>
      </c>
      <c r="E61" s="19" t="e">
        <f>'25hike'!E61+IPI_plus!E53</f>
        <v>#REF!</v>
      </c>
      <c r="F61" s="19" t="e">
        <f>'25hike'!F61+IPI_plus!F53</f>
        <v>#REF!</v>
      </c>
      <c r="G61" s="19" t="e">
        <f>'25hike'!G61+IPI_plus!G53</f>
        <v>#REF!</v>
      </c>
    </row>
    <row r="62" spans="1:10" hidden="1" x14ac:dyDescent="0.55000000000000004">
      <c r="A62" s="5">
        <f t="shared" si="0"/>
        <v>14</v>
      </c>
      <c r="B62" s="4">
        <f t="shared" si="1"/>
        <v>0</v>
      </c>
      <c r="C62" s="19" t="e">
        <f>'25hike'!C62+IPI_plus!C54</f>
        <v>#REF!</v>
      </c>
      <c r="D62" s="19" t="e">
        <f>'25hike'!D62+IPI_plus!D54</f>
        <v>#REF!</v>
      </c>
      <c r="E62" s="19" t="e">
        <f>'25hike'!E62+IPI_plus!E54</f>
        <v>#REF!</v>
      </c>
      <c r="F62" s="19" t="e">
        <f>'25hike'!F62+IPI_plus!F54</f>
        <v>#REF!</v>
      </c>
      <c r="G62" s="19" t="e">
        <f>'25hike'!G62+IPI_plus!G54</f>
        <v>#REF!</v>
      </c>
    </row>
    <row r="63" spans="1:10" hidden="1" x14ac:dyDescent="0.55000000000000004">
      <c r="A63" s="5">
        <f t="shared" si="0"/>
        <v>14.25</v>
      </c>
      <c r="B63" s="4">
        <f t="shared" si="1"/>
        <v>0</v>
      </c>
      <c r="C63" s="19" t="e">
        <f>'25hike'!C63+IPI_plus!C55</f>
        <v>#REF!</v>
      </c>
      <c r="D63" s="19" t="e">
        <f>'25hike'!D63+IPI_plus!D55</f>
        <v>#REF!</v>
      </c>
      <c r="E63" s="19" t="e">
        <f>'25hike'!E63+IPI_plus!E55</f>
        <v>#REF!</v>
      </c>
      <c r="F63" s="19" t="e">
        <f>'25hike'!F63+IPI_plus!F55</f>
        <v>#REF!</v>
      </c>
      <c r="G63" s="19" t="e">
        <f>'25hike'!G63+IPI_plus!G55</f>
        <v>#REF!</v>
      </c>
    </row>
    <row r="64" spans="1:10" hidden="1" x14ac:dyDescent="0.55000000000000004">
      <c r="A64" s="5">
        <f t="shared" si="0"/>
        <v>14.5</v>
      </c>
      <c r="B64" s="4">
        <f t="shared" si="1"/>
        <v>0</v>
      </c>
      <c r="C64" s="19" t="e">
        <f>'25hike'!C64+IPI_plus!C56</f>
        <v>#REF!</v>
      </c>
      <c r="D64" s="19" t="e">
        <f>'25hike'!D64+IPI_plus!D56</f>
        <v>#REF!</v>
      </c>
      <c r="E64" s="19" t="e">
        <f>'25hike'!E64+IPI_plus!E56</f>
        <v>#REF!</v>
      </c>
      <c r="F64" s="19" t="e">
        <f>'25hike'!F64+IPI_plus!F56</f>
        <v>#REF!</v>
      </c>
      <c r="G64" s="19" t="e">
        <f>'25hike'!G64+IPI_plus!G56</f>
        <v>#REF!</v>
      </c>
    </row>
    <row r="65" spans="1:7" hidden="1" x14ac:dyDescent="0.55000000000000004">
      <c r="A65" s="5">
        <f t="shared" si="0"/>
        <v>14.75</v>
      </c>
      <c r="B65" s="4">
        <f t="shared" si="1"/>
        <v>0</v>
      </c>
      <c r="C65" s="19" t="e">
        <f>'25hike'!C65+IPI_plus!C57</f>
        <v>#REF!</v>
      </c>
      <c r="D65" s="19" t="e">
        <f>'25hike'!D65+IPI_plus!D57</f>
        <v>#REF!</v>
      </c>
      <c r="E65" s="19" t="e">
        <f>'25hike'!E65+IPI_plus!E57</f>
        <v>#REF!</v>
      </c>
      <c r="F65" s="19" t="e">
        <f>'25hike'!F65+IPI_plus!F57</f>
        <v>#REF!</v>
      </c>
      <c r="G65" s="19" t="e">
        <f>'25hike'!G65+IPI_plus!G57</f>
        <v>#REF!</v>
      </c>
    </row>
    <row r="66" spans="1:7" hidden="1" x14ac:dyDescent="0.55000000000000004">
      <c r="A66" s="5">
        <f t="shared" si="0"/>
        <v>15</v>
      </c>
      <c r="B66" s="4">
        <f t="shared" si="1"/>
        <v>0</v>
      </c>
      <c r="C66" s="19" t="e">
        <f>'25hike'!C66+IPI_plus!C58</f>
        <v>#REF!</v>
      </c>
      <c r="D66" s="19" t="e">
        <f>'25hike'!D66+IPI_plus!D58</f>
        <v>#REF!</v>
      </c>
      <c r="E66" s="19" t="e">
        <f>'25hike'!E66+IPI_plus!E58</f>
        <v>#REF!</v>
      </c>
      <c r="F66" s="19" t="e">
        <f>'25hike'!F66+IPI_plus!F58</f>
        <v>#REF!</v>
      </c>
      <c r="G66" s="19" t="e">
        <f>'25hike'!G66+IPI_plus!G58</f>
        <v>#REF!</v>
      </c>
    </row>
    <row r="67" spans="1:7" hidden="1" x14ac:dyDescent="0.55000000000000004">
      <c r="A67" s="5">
        <f t="shared" si="0"/>
        <v>15.25</v>
      </c>
      <c r="B67" s="4">
        <f t="shared" si="1"/>
        <v>0</v>
      </c>
      <c r="C67" s="19" t="e">
        <f>'25hike'!C67+IPI_plus!C59</f>
        <v>#REF!</v>
      </c>
      <c r="D67" s="19" t="e">
        <f>'25hike'!D67+IPI_plus!D59</f>
        <v>#REF!</v>
      </c>
      <c r="E67" s="19" t="e">
        <f>'25hike'!E67+IPI_plus!E59</f>
        <v>#REF!</v>
      </c>
      <c r="F67" s="19" t="e">
        <f>'25hike'!F67+IPI_plus!F59</f>
        <v>#REF!</v>
      </c>
      <c r="G67" s="19" t="e">
        <f>'25hike'!G67+IPI_plus!G59</f>
        <v>#REF!</v>
      </c>
    </row>
    <row r="68" spans="1:7" hidden="1" x14ac:dyDescent="0.55000000000000004">
      <c r="A68" s="5">
        <f t="shared" ref="A68:A131" si="6">A67+0.25</f>
        <v>15.5</v>
      </c>
      <c r="B68" s="4">
        <f t="shared" ref="B68:B131" si="7">B67</f>
        <v>0</v>
      </c>
      <c r="C68" s="19" t="e">
        <f>'25hike'!C68+IPI_plus!C60</f>
        <v>#REF!</v>
      </c>
      <c r="D68" s="19" t="e">
        <f>'25hike'!D68+IPI_plus!D60</f>
        <v>#REF!</v>
      </c>
      <c r="E68" s="19" t="e">
        <f>'25hike'!E68+IPI_plus!E60</f>
        <v>#REF!</v>
      </c>
      <c r="F68" s="19" t="e">
        <f>'25hike'!F68+IPI_plus!F60</f>
        <v>#REF!</v>
      </c>
      <c r="G68" s="19" t="e">
        <f>'25hike'!G68+IPI_plus!G60</f>
        <v>#REF!</v>
      </c>
    </row>
    <row r="69" spans="1:7" hidden="1" x14ac:dyDescent="0.55000000000000004">
      <c r="A69" s="5">
        <f t="shared" si="6"/>
        <v>15.75</v>
      </c>
      <c r="B69" s="4">
        <f t="shared" si="7"/>
        <v>0</v>
      </c>
      <c r="C69" s="19" t="e">
        <f>'25hike'!C69+IPI_plus!C61</f>
        <v>#REF!</v>
      </c>
      <c r="D69" s="19" t="e">
        <f>'25hike'!D69+IPI_plus!D61</f>
        <v>#REF!</v>
      </c>
      <c r="E69" s="19" t="e">
        <f>'25hike'!E69+IPI_plus!E61</f>
        <v>#REF!</v>
      </c>
      <c r="F69" s="19" t="e">
        <f>'25hike'!F69+IPI_plus!F61</f>
        <v>#REF!</v>
      </c>
      <c r="G69" s="19" t="e">
        <f>'25hike'!G69+IPI_plus!G61</f>
        <v>#REF!</v>
      </c>
    </row>
    <row r="70" spans="1:7" hidden="1" x14ac:dyDescent="0.55000000000000004">
      <c r="A70" s="5">
        <f t="shared" si="6"/>
        <v>16</v>
      </c>
      <c r="B70" s="4">
        <f t="shared" si="7"/>
        <v>0</v>
      </c>
      <c r="C70" s="19" t="e">
        <f>'25hike'!C70+IPI_plus!C62</f>
        <v>#REF!</v>
      </c>
      <c r="D70" s="19" t="e">
        <f>'25hike'!D70+IPI_plus!D62</f>
        <v>#REF!</v>
      </c>
      <c r="E70" s="19" t="e">
        <f>'25hike'!E70+IPI_plus!E62</f>
        <v>#REF!</v>
      </c>
      <c r="F70" s="19" t="e">
        <f>'25hike'!F70+IPI_plus!F62</f>
        <v>#REF!</v>
      </c>
      <c r="G70" s="19" t="e">
        <f>'25hike'!G70+IPI_plus!G62</f>
        <v>#REF!</v>
      </c>
    </row>
    <row r="71" spans="1:7" hidden="1" x14ac:dyDescent="0.55000000000000004">
      <c r="A71" s="5">
        <f t="shared" si="6"/>
        <v>16.25</v>
      </c>
      <c r="B71" s="4">
        <f t="shared" si="7"/>
        <v>0</v>
      </c>
      <c r="C71" s="19" t="e">
        <f>'25hike'!C71+IPI_plus!C63</f>
        <v>#REF!</v>
      </c>
      <c r="D71" s="19" t="e">
        <f>'25hike'!D71+IPI_plus!D63</f>
        <v>#REF!</v>
      </c>
      <c r="E71" s="19" t="e">
        <f>'25hike'!E71+IPI_plus!E63</f>
        <v>#REF!</v>
      </c>
      <c r="F71" s="19" t="e">
        <f>'25hike'!F71+IPI_plus!F63</f>
        <v>#REF!</v>
      </c>
      <c r="G71" s="19" t="e">
        <f>'25hike'!G71+IPI_plus!G63</f>
        <v>#REF!</v>
      </c>
    </row>
    <row r="72" spans="1:7" hidden="1" x14ac:dyDescent="0.55000000000000004">
      <c r="A72" s="5">
        <f t="shared" si="6"/>
        <v>16.5</v>
      </c>
      <c r="B72" s="4">
        <f t="shared" si="7"/>
        <v>0</v>
      </c>
      <c r="C72" s="19" t="e">
        <f>'25hike'!C72+IPI_plus!C64</f>
        <v>#REF!</v>
      </c>
      <c r="D72" s="19" t="e">
        <f>'25hike'!D72+IPI_plus!D64</f>
        <v>#REF!</v>
      </c>
      <c r="E72" s="19" t="e">
        <f>'25hike'!E72+IPI_plus!E64</f>
        <v>#REF!</v>
      </c>
      <c r="F72" s="19" t="e">
        <f>'25hike'!F72+IPI_plus!F64</f>
        <v>#REF!</v>
      </c>
      <c r="G72" s="19" t="e">
        <f>'25hike'!G72+IPI_plus!G64</f>
        <v>#REF!</v>
      </c>
    </row>
    <row r="73" spans="1:7" hidden="1" x14ac:dyDescent="0.55000000000000004">
      <c r="A73" s="5">
        <f t="shared" si="6"/>
        <v>16.75</v>
      </c>
      <c r="B73" s="4">
        <f t="shared" si="7"/>
        <v>0</v>
      </c>
      <c r="C73" s="19" t="e">
        <f>'25hike'!C73+IPI_plus!C65</f>
        <v>#REF!</v>
      </c>
      <c r="D73" s="19" t="e">
        <f>'25hike'!D73+IPI_plus!D65</f>
        <v>#REF!</v>
      </c>
      <c r="E73" s="19" t="e">
        <f>'25hike'!E73+IPI_plus!E65</f>
        <v>#REF!</v>
      </c>
      <c r="F73" s="19" t="e">
        <f>'25hike'!F73+IPI_plus!F65</f>
        <v>#REF!</v>
      </c>
      <c r="G73" s="19" t="e">
        <f>'25hike'!G73+IPI_plus!G65</f>
        <v>#REF!</v>
      </c>
    </row>
    <row r="74" spans="1:7" hidden="1" x14ac:dyDescent="0.55000000000000004">
      <c r="A74" s="5">
        <f t="shared" si="6"/>
        <v>17</v>
      </c>
      <c r="B74" s="4">
        <f t="shared" si="7"/>
        <v>0</v>
      </c>
      <c r="C74" s="19" t="e">
        <f>'25hike'!C74+IPI_plus!C66</f>
        <v>#REF!</v>
      </c>
      <c r="D74" s="19" t="e">
        <f>'25hike'!D74+IPI_plus!D66</f>
        <v>#REF!</v>
      </c>
      <c r="E74" s="19" t="e">
        <f>'25hike'!E74+IPI_plus!E66</f>
        <v>#REF!</v>
      </c>
      <c r="F74" s="19" t="e">
        <f>'25hike'!F74+IPI_plus!F66</f>
        <v>#REF!</v>
      </c>
      <c r="G74" s="19" t="e">
        <f>'25hike'!G74+IPI_plus!G66</f>
        <v>#REF!</v>
      </c>
    </row>
    <row r="75" spans="1:7" hidden="1" x14ac:dyDescent="0.55000000000000004">
      <c r="A75" s="5">
        <f t="shared" si="6"/>
        <v>17.25</v>
      </c>
      <c r="B75" s="4">
        <f t="shared" si="7"/>
        <v>0</v>
      </c>
      <c r="C75" s="19" t="e">
        <f>'25hike'!C75+IPI_plus!C67</f>
        <v>#REF!</v>
      </c>
      <c r="D75" s="19" t="e">
        <f>'25hike'!D75+IPI_plus!D67</f>
        <v>#REF!</v>
      </c>
      <c r="E75" s="19" t="e">
        <f>'25hike'!E75+IPI_plus!E67</f>
        <v>#REF!</v>
      </c>
      <c r="F75" s="19" t="e">
        <f>'25hike'!F75+IPI_plus!F67</f>
        <v>#REF!</v>
      </c>
      <c r="G75" s="19" t="e">
        <f>'25hike'!G75+IPI_plus!G67</f>
        <v>#REF!</v>
      </c>
    </row>
    <row r="76" spans="1:7" hidden="1" x14ac:dyDescent="0.55000000000000004">
      <c r="A76" s="5">
        <f t="shared" si="6"/>
        <v>17.5</v>
      </c>
      <c r="B76" s="4">
        <f t="shared" si="7"/>
        <v>0</v>
      </c>
      <c r="C76" s="19" t="e">
        <f>'25hike'!C76+IPI_plus!C68</f>
        <v>#REF!</v>
      </c>
      <c r="D76" s="19" t="e">
        <f>'25hike'!D76+IPI_plus!D68</f>
        <v>#REF!</v>
      </c>
      <c r="E76" s="19" t="e">
        <f>'25hike'!E76+IPI_plus!E68</f>
        <v>#REF!</v>
      </c>
      <c r="F76" s="19" t="e">
        <f>'25hike'!F76+IPI_plus!F68</f>
        <v>#REF!</v>
      </c>
      <c r="G76" s="19" t="e">
        <f>'25hike'!G76+IPI_plus!G68</f>
        <v>#REF!</v>
      </c>
    </row>
    <row r="77" spans="1:7" hidden="1" x14ac:dyDescent="0.55000000000000004">
      <c r="A77" s="5">
        <f t="shared" si="6"/>
        <v>17.75</v>
      </c>
      <c r="B77" s="4">
        <f t="shared" si="7"/>
        <v>0</v>
      </c>
      <c r="C77" s="19" t="e">
        <f>'25hike'!C77+IPI_plus!C69</f>
        <v>#REF!</v>
      </c>
      <c r="D77" s="19" t="e">
        <f>'25hike'!D77+IPI_plus!D69</f>
        <v>#REF!</v>
      </c>
      <c r="E77" s="19" t="e">
        <f>'25hike'!E77+IPI_plus!E69</f>
        <v>#REF!</v>
      </c>
      <c r="F77" s="19" t="e">
        <f>'25hike'!F77+IPI_plus!F69</f>
        <v>#REF!</v>
      </c>
      <c r="G77" s="19" t="e">
        <f>'25hike'!G77+IPI_plus!G69</f>
        <v>#REF!</v>
      </c>
    </row>
    <row r="78" spans="1:7" hidden="1" x14ac:dyDescent="0.55000000000000004">
      <c r="A78" s="5">
        <f t="shared" si="6"/>
        <v>18</v>
      </c>
      <c r="B78" s="4">
        <f t="shared" si="7"/>
        <v>0</v>
      </c>
      <c r="C78" s="19" t="e">
        <f>'25hike'!C78+IPI_plus!C70</f>
        <v>#REF!</v>
      </c>
      <c r="D78" s="19" t="e">
        <f>'25hike'!D78+IPI_plus!D70</f>
        <v>#REF!</v>
      </c>
      <c r="E78" s="19" t="e">
        <f>'25hike'!E78+IPI_plus!E70</f>
        <v>#REF!</v>
      </c>
      <c r="F78" s="19" t="e">
        <f>'25hike'!F78+IPI_plus!F70</f>
        <v>#REF!</v>
      </c>
      <c r="G78" s="19" t="e">
        <f>'25hike'!G78+IPI_plus!G70</f>
        <v>#REF!</v>
      </c>
    </row>
    <row r="79" spans="1:7" hidden="1" x14ac:dyDescent="0.55000000000000004">
      <c r="A79" s="5">
        <f t="shared" si="6"/>
        <v>18.25</v>
      </c>
      <c r="B79" s="4">
        <f t="shared" si="7"/>
        <v>0</v>
      </c>
      <c r="C79" s="19" t="e">
        <f>'25hike'!C79+IPI_plus!C71</f>
        <v>#REF!</v>
      </c>
      <c r="D79" s="19" t="e">
        <f>'25hike'!D79+IPI_plus!D71</f>
        <v>#REF!</v>
      </c>
      <c r="E79" s="19" t="e">
        <f>'25hike'!E79+IPI_plus!E71</f>
        <v>#REF!</v>
      </c>
      <c r="F79" s="19" t="e">
        <f>'25hike'!F79+IPI_plus!F71</f>
        <v>#REF!</v>
      </c>
      <c r="G79" s="19" t="e">
        <f>'25hike'!G79+IPI_plus!G71</f>
        <v>#REF!</v>
      </c>
    </row>
    <row r="80" spans="1:7" hidden="1" x14ac:dyDescent="0.55000000000000004">
      <c r="A80" s="5">
        <f t="shared" si="6"/>
        <v>18.5</v>
      </c>
      <c r="B80" s="4">
        <f t="shared" si="7"/>
        <v>0</v>
      </c>
      <c r="C80" s="19" t="e">
        <f>'25hike'!C80+IPI_plus!C72</f>
        <v>#REF!</v>
      </c>
      <c r="D80" s="19" t="e">
        <f>'25hike'!D80+IPI_plus!D72</f>
        <v>#REF!</v>
      </c>
      <c r="E80" s="19" t="e">
        <f>'25hike'!E80+IPI_plus!E72</f>
        <v>#REF!</v>
      </c>
      <c r="F80" s="19" t="e">
        <f>'25hike'!F80+IPI_plus!F72</f>
        <v>#REF!</v>
      </c>
      <c r="G80" s="19" t="e">
        <f>'25hike'!G80+IPI_plus!G72</f>
        <v>#REF!</v>
      </c>
    </row>
    <row r="81" spans="1:7" hidden="1" x14ac:dyDescent="0.55000000000000004">
      <c r="A81" s="5">
        <f t="shared" si="6"/>
        <v>18.75</v>
      </c>
      <c r="B81" s="4">
        <f t="shared" si="7"/>
        <v>0</v>
      </c>
      <c r="C81" s="19" t="e">
        <f>'25hike'!C81+IPI_plus!C73</f>
        <v>#REF!</v>
      </c>
      <c r="D81" s="19" t="e">
        <f>'25hike'!D81+IPI_plus!D73</f>
        <v>#REF!</v>
      </c>
      <c r="E81" s="19" t="e">
        <f>'25hike'!E81+IPI_plus!E73</f>
        <v>#REF!</v>
      </c>
      <c r="F81" s="19" t="e">
        <f>'25hike'!F81+IPI_plus!F73</f>
        <v>#REF!</v>
      </c>
      <c r="G81" s="19" t="e">
        <f>'25hike'!G81+IPI_plus!G73</f>
        <v>#REF!</v>
      </c>
    </row>
    <row r="82" spans="1:7" hidden="1" x14ac:dyDescent="0.55000000000000004">
      <c r="A82" s="5">
        <f t="shared" si="6"/>
        <v>19</v>
      </c>
      <c r="B82" s="4">
        <f t="shared" si="7"/>
        <v>0</v>
      </c>
      <c r="C82" s="19" t="e">
        <f>'25hike'!C82+IPI_plus!C74</f>
        <v>#REF!</v>
      </c>
      <c r="D82" s="19" t="e">
        <f>'25hike'!D82+IPI_plus!D74</f>
        <v>#REF!</v>
      </c>
      <c r="E82" s="19" t="e">
        <f>'25hike'!E82+IPI_plus!E74</f>
        <v>#REF!</v>
      </c>
      <c r="F82" s="19" t="e">
        <f>'25hike'!F82+IPI_plus!F74</f>
        <v>#REF!</v>
      </c>
      <c r="G82" s="19" t="e">
        <f>'25hike'!G82+IPI_plus!G74</f>
        <v>#REF!</v>
      </c>
    </row>
    <row r="83" spans="1:7" hidden="1" x14ac:dyDescent="0.55000000000000004">
      <c r="A83" s="5">
        <f t="shared" si="6"/>
        <v>19.25</v>
      </c>
      <c r="B83" s="4">
        <f t="shared" si="7"/>
        <v>0</v>
      </c>
      <c r="C83" s="19" t="e">
        <f>'25hike'!C83+IPI_plus!C75</f>
        <v>#REF!</v>
      </c>
      <c r="D83" s="19" t="e">
        <f>'25hike'!D83+IPI_plus!D75</f>
        <v>#REF!</v>
      </c>
      <c r="E83" s="19" t="e">
        <f>'25hike'!E83+IPI_plus!E75</f>
        <v>#REF!</v>
      </c>
      <c r="F83" s="19" t="e">
        <f>'25hike'!F83+IPI_plus!F75</f>
        <v>#REF!</v>
      </c>
      <c r="G83" s="19" t="e">
        <f>'25hike'!G83+IPI_plus!G75</f>
        <v>#REF!</v>
      </c>
    </row>
    <row r="84" spans="1:7" hidden="1" x14ac:dyDescent="0.55000000000000004">
      <c r="A84" s="5">
        <f t="shared" si="6"/>
        <v>19.5</v>
      </c>
      <c r="B84" s="4">
        <f t="shared" si="7"/>
        <v>0</v>
      </c>
      <c r="C84" s="19" t="e">
        <f>'25hike'!C84+IPI_plus!C76</f>
        <v>#REF!</v>
      </c>
      <c r="D84" s="19" t="e">
        <f>'25hike'!D84+IPI_plus!D76</f>
        <v>#REF!</v>
      </c>
      <c r="E84" s="19" t="e">
        <f>'25hike'!E84+IPI_plus!E76</f>
        <v>#REF!</v>
      </c>
      <c r="F84" s="19" t="e">
        <f>'25hike'!F84+IPI_plus!F76</f>
        <v>#REF!</v>
      </c>
      <c r="G84" s="19" t="e">
        <f>'25hike'!G84+IPI_plus!G76</f>
        <v>#REF!</v>
      </c>
    </row>
    <row r="85" spans="1:7" hidden="1" x14ac:dyDescent="0.55000000000000004">
      <c r="A85" s="5">
        <f t="shared" si="6"/>
        <v>19.75</v>
      </c>
      <c r="B85" s="4">
        <f t="shared" si="7"/>
        <v>0</v>
      </c>
      <c r="C85" s="19" t="e">
        <f>'25hike'!C85+IPI_plus!C77</f>
        <v>#REF!</v>
      </c>
      <c r="D85" s="19" t="e">
        <f>'25hike'!D85+IPI_plus!D77</f>
        <v>#REF!</v>
      </c>
      <c r="E85" s="19" t="e">
        <f>'25hike'!E85+IPI_plus!E77</f>
        <v>#REF!</v>
      </c>
      <c r="F85" s="19" t="e">
        <f>'25hike'!F85+IPI_plus!F77</f>
        <v>#REF!</v>
      </c>
      <c r="G85" s="19" t="e">
        <f>'25hike'!G85+IPI_plus!G77</f>
        <v>#REF!</v>
      </c>
    </row>
    <row r="86" spans="1:7" hidden="1" x14ac:dyDescent="0.55000000000000004">
      <c r="A86" s="5">
        <f t="shared" si="6"/>
        <v>20</v>
      </c>
      <c r="B86" s="4">
        <f t="shared" si="7"/>
        <v>0</v>
      </c>
      <c r="C86" s="19" t="e">
        <f>'25hike'!C86+IPI_plus!C78</f>
        <v>#REF!</v>
      </c>
      <c r="D86" s="19" t="e">
        <f>'25hike'!D86+IPI_plus!D78</f>
        <v>#REF!</v>
      </c>
      <c r="E86" s="19" t="e">
        <f>'25hike'!E86+IPI_plus!E78</f>
        <v>#REF!</v>
      </c>
      <c r="F86" s="19" t="e">
        <f>'25hike'!F86+IPI_plus!F78</f>
        <v>#REF!</v>
      </c>
      <c r="G86" s="19" t="e">
        <f>'25hike'!G86+IPI_plus!G78</f>
        <v>#REF!</v>
      </c>
    </row>
    <row r="87" spans="1:7" hidden="1" x14ac:dyDescent="0.55000000000000004">
      <c r="A87" s="5">
        <f t="shared" si="6"/>
        <v>20.25</v>
      </c>
      <c r="B87" s="4">
        <f t="shared" si="7"/>
        <v>0</v>
      </c>
      <c r="C87" s="19" t="e">
        <f>'25hike'!C87+IPI_plus!C79</f>
        <v>#REF!</v>
      </c>
      <c r="D87" s="19" t="e">
        <f>'25hike'!D87+IPI_plus!D79</f>
        <v>#REF!</v>
      </c>
      <c r="E87" s="19" t="e">
        <f>'25hike'!E87+IPI_plus!E79</f>
        <v>#REF!</v>
      </c>
      <c r="F87" s="19" t="e">
        <f>'25hike'!F87+IPI_plus!F79</f>
        <v>#REF!</v>
      </c>
      <c r="G87" s="19" t="e">
        <f>'25hike'!G87+IPI_plus!G79</f>
        <v>#REF!</v>
      </c>
    </row>
    <row r="88" spans="1:7" hidden="1" x14ac:dyDescent="0.55000000000000004">
      <c r="A88" s="5">
        <f t="shared" si="6"/>
        <v>20.5</v>
      </c>
      <c r="B88" s="4">
        <f t="shared" si="7"/>
        <v>0</v>
      </c>
      <c r="C88" s="19" t="e">
        <f>'25hike'!C88+IPI_plus!C80</f>
        <v>#REF!</v>
      </c>
      <c r="D88" s="19" t="e">
        <f>'25hike'!D88+IPI_plus!D80</f>
        <v>#REF!</v>
      </c>
      <c r="E88" s="19" t="e">
        <f>'25hike'!E88+IPI_plus!E80</f>
        <v>#REF!</v>
      </c>
      <c r="F88" s="19" t="e">
        <f>'25hike'!F88+IPI_plus!F80</f>
        <v>#REF!</v>
      </c>
      <c r="G88" s="19" t="e">
        <f>'25hike'!G88+IPI_plus!G80</f>
        <v>#REF!</v>
      </c>
    </row>
    <row r="89" spans="1:7" hidden="1" x14ac:dyDescent="0.55000000000000004">
      <c r="A89" s="5">
        <f t="shared" si="6"/>
        <v>20.75</v>
      </c>
      <c r="B89" s="4">
        <f t="shared" si="7"/>
        <v>0</v>
      </c>
      <c r="C89" s="19" t="e">
        <f>'25hike'!C89+IPI_plus!C81</f>
        <v>#REF!</v>
      </c>
      <c r="D89" s="19" t="e">
        <f>'25hike'!D89+IPI_plus!D81</f>
        <v>#REF!</v>
      </c>
      <c r="E89" s="19" t="e">
        <f>'25hike'!E89+IPI_plus!E81</f>
        <v>#REF!</v>
      </c>
      <c r="F89" s="19" t="e">
        <f>'25hike'!F89+IPI_plus!F81</f>
        <v>#REF!</v>
      </c>
      <c r="G89" s="19" t="e">
        <f>'25hike'!G89+IPI_plus!G81</f>
        <v>#REF!</v>
      </c>
    </row>
    <row r="90" spans="1:7" hidden="1" x14ac:dyDescent="0.55000000000000004">
      <c r="A90" s="5">
        <f t="shared" si="6"/>
        <v>21</v>
      </c>
      <c r="B90" s="4">
        <f t="shared" si="7"/>
        <v>0</v>
      </c>
      <c r="C90" s="19" t="e">
        <f>'25hike'!C90+IPI_plus!C82</f>
        <v>#REF!</v>
      </c>
      <c r="D90" s="19" t="e">
        <f>'25hike'!D90+IPI_plus!D82</f>
        <v>#REF!</v>
      </c>
      <c r="E90" s="19" t="e">
        <f>'25hike'!E90+IPI_plus!E82</f>
        <v>#REF!</v>
      </c>
      <c r="F90" s="19" t="e">
        <f>'25hike'!F90+IPI_plus!F82</f>
        <v>#REF!</v>
      </c>
      <c r="G90" s="19" t="e">
        <f>'25hike'!G90+IPI_plus!G82</f>
        <v>#REF!</v>
      </c>
    </row>
    <row r="91" spans="1:7" hidden="1" x14ac:dyDescent="0.55000000000000004">
      <c r="A91" s="5">
        <f t="shared" si="6"/>
        <v>21.25</v>
      </c>
      <c r="B91" s="4">
        <f t="shared" si="7"/>
        <v>0</v>
      </c>
      <c r="C91" s="19" t="e">
        <f>'25hike'!C91+IPI_plus!C83</f>
        <v>#REF!</v>
      </c>
      <c r="D91" s="19" t="e">
        <f>'25hike'!D91+IPI_plus!D83</f>
        <v>#REF!</v>
      </c>
      <c r="E91" s="19" t="e">
        <f>'25hike'!E91+IPI_plus!E83</f>
        <v>#REF!</v>
      </c>
      <c r="F91" s="19" t="e">
        <f>'25hike'!F91+IPI_plus!F83</f>
        <v>#REF!</v>
      </c>
      <c r="G91" s="19" t="e">
        <f>'25hike'!G91+IPI_plus!G83</f>
        <v>#REF!</v>
      </c>
    </row>
    <row r="92" spans="1:7" hidden="1" x14ac:dyDescent="0.55000000000000004">
      <c r="A92" s="5">
        <f t="shared" si="6"/>
        <v>21.5</v>
      </c>
      <c r="B92" s="4">
        <f t="shared" si="7"/>
        <v>0</v>
      </c>
      <c r="C92" s="19" t="e">
        <f>'25hike'!C92+IPI_plus!C84</f>
        <v>#REF!</v>
      </c>
      <c r="D92" s="19" t="e">
        <f>'25hike'!D92+IPI_plus!D84</f>
        <v>#REF!</v>
      </c>
      <c r="E92" s="19" t="e">
        <f>'25hike'!E92+IPI_plus!E84</f>
        <v>#REF!</v>
      </c>
      <c r="F92" s="19" t="e">
        <f>'25hike'!F92+IPI_plus!F84</f>
        <v>#REF!</v>
      </c>
      <c r="G92" s="19" t="e">
        <f>'25hike'!G92+IPI_plus!G84</f>
        <v>#REF!</v>
      </c>
    </row>
    <row r="93" spans="1:7" hidden="1" x14ac:dyDescent="0.55000000000000004">
      <c r="A93" s="5">
        <f t="shared" si="6"/>
        <v>21.75</v>
      </c>
      <c r="B93" s="4">
        <f t="shared" si="7"/>
        <v>0</v>
      </c>
      <c r="C93" s="19" t="e">
        <f>'25hike'!C93+IPI_plus!C85</f>
        <v>#REF!</v>
      </c>
      <c r="D93" s="19" t="e">
        <f>'25hike'!D93+IPI_plus!D85</f>
        <v>#REF!</v>
      </c>
      <c r="E93" s="19" t="e">
        <f>'25hike'!E93+IPI_plus!E85</f>
        <v>#REF!</v>
      </c>
      <c r="F93" s="19" t="e">
        <f>'25hike'!F93+IPI_plus!F85</f>
        <v>#REF!</v>
      </c>
      <c r="G93" s="19" t="e">
        <f>'25hike'!G93+IPI_plus!G85</f>
        <v>#REF!</v>
      </c>
    </row>
    <row r="94" spans="1:7" hidden="1" x14ac:dyDescent="0.55000000000000004">
      <c r="A94" s="5">
        <f t="shared" si="6"/>
        <v>22</v>
      </c>
      <c r="B94" s="4">
        <f t="shared" si="7"/>
        <v>0</v>
      </c>
      <c r="C94" s="19" t="e">
        <f>'25hike'!C94+IPI_plus!C86</f>
        <v>#REF!</v>
      </c>
      <c r="D94" s="19" t="e">
        <f>'25hike'!D94+IPI_plus!D86</f>
        <v>#REF!</v>
      </c>
      <c r="E94" s="19" t="e">
        <f>'25hike'!E94+IPI_plus!E86</f>
        <v>#REF!</v>
      </c>
      <c r="F94" s="19" t="e">
        <f>'25hike'!F94+IPI_plus!F86</f>
        <v>#REF!</v>
      </c>
      <c r="G94" s="19" t="e">
        <f>'25hike'!G94+IPI_plus!G86</f>
        <v>#REF!</v>
      </c>
    </row>
    <row r="95" spans="1:7" hidden="1" x14ac:dyDescent="0.55000000000000004">
      <c r="A95" s="5">
        <f t="shared" si="6"/>
        <v>22.25</v>
      </c>
      <c r="B95" s="4">
        <f t="shared" si="7"/>
        <v>0</v>
      </c>
      <c r="C95" s="19" t="e">
        <f>'25hike'!C95+IPI_plus!C87</f>
        <v>#REF!</v>
      </c>
      <c r="D95" s="19" t="e">
        <f>'25hike'!D95+IPI_plus!D87</f>
        <v>#REF!</v>
      </c>
      <c r="E95" s="19" t="e">
        <f>'25hike'!E95+IPI_plus!E87</f>
        <v>#REF!</v>
      </c>
      <c r="F95" s="19" t="e">
        <f>'25hike'!F95+IPI_plus!F87</f>
        <v>#REF!</v>
      </c>
      <c r="G95" s="19" t="e">
        <f>'25hike'!G95+IPI_plus!G87</f>
        <v>#REF!</v>
      </c>
    </row>
    <row r="96" spans="1:7" hidden="1" x14ac:dyDescent="0.55000000000000004">
      <c r="A96" s="5">
        <f t="shared" si="6"/>
        <v>22.5</v>
      </c>
      <c r="B96" s="4">
        <f t="shared" si="7"/>
        <v>0</v>
      </c>
      <c r="C96" s="19" t="e">
        <f>'25hike'!C96+IPI_plus!C88</f>
        <v>#REF!</v>
      </c>
      <c r="D96" s="19" t="e">
        <f>'25hike'!D96+IPI_plus!D88</f>
        <v>#REF!</v>
      </c>
      <c r="E96" s="19" t="e">
        <f>'25hike'!E96+IPI_plus!E88</f>
        <v>#REF!</v>
      </c>
      <c r="F96" s="19" t="e">
        <f>'25hike'!F96+IPI_plus!F88</f>
        <v>#REF!</v>
      </c>
      <c r="G96" s="19" t="e">
        <f>'25hike'!G96+IPI_plus!G88</f>
        <v>#REF!</v>
      </c>
    </row>
    <row r="97" spans="1:7" hidden="1" x14ac:dyDescent="0.55000000000000004">
      <c r="A97" s="5">
        <f t="shared" si="6"/>
        <v>22.75</v>
      </c>
      <c r="B97" s="4">
        <f t="shared" si="7"/>
        <v>0</v>
      </c>
      <c r="C97" s="19" t="e">
        <f>'25hike'!C97+IPI_plus!C89</f>
        <v>#REF!</v>
      </c>
      <c r="D97" s="19" t="e">
        <f>'25hike'!D97+IPI_plus!D89</f>
        <v>#REF!</v>
      </c>
      <c r="E97" s="19" t="e">
        <f>'25hike'!E97+IPI_plus!E89</f>
        <v>#REF!</v>
      </c>
      <c r="F97" s="19" t="e">
        <f>'25hike'!F97+IPI_plus!F89</f>
        <v>#REF!</v>
      </c>
      <c r="G97" s="19" t="e">
        <f>'25hike'!G97+IPI_plus!G89</f>
        <v>#REF!</v>
      </c>
    </row>
    <row r="98" spans="1:7" hidden="1" x14ac:dyDescent="0.55000000000000004">
      <c r="A98" s="5">
        <f t="shared" si="6"/>
        <v>23</v>
      </c>
      <c r="B98" s="4">
        <f t="shared" si="7"/>
        <v>0</v>
      </c>
      <c r="C98" s="19" t="e">
        <f>'25hike'!C98+IPI_plus!C90</f>
        <v>#REF!</v>
      </c>
      <c r="D98" s="19" t="e">
        <f>'25hike'!D98+IPI_plus!D90</f>
        <v>#REF!</v>
      </c>
      <c r="E98" s="19" t="e">
        <f>'25hike'!E98+IPI_plus!E90</f>
        <v>#REF!</v>
      </c>
      <c r="F98" s="19" t="e">
        <f>'25hike'!F98+IPI_plus!F90</f>
        <v>#REF!</v>
      </c>
      <c r="G98" s="19" t="e">
        <f>'25hike'!G98+IPI_plus!G90</f>
        <v>#REF!</v>
      </c>
    </row>
    <row r="99" spans="1:7" hidden="1" x14ac:dyDescent="0.55000000000000004">
      <c r="A99" s="5">
        <f t="shared" si="6"/>
        <v>23.25</v>
      </c>
      <c r="B99" s="4">
        <f t="shared" si="7"/>
        <v>0</v>
      </c>
      <c r="C99" s="19" t="e">
        <f>'25hike'!C99+IPI_plus!C91</f>
        <v>#REF!</v>
      </c>
      <c r="D99" s="19" t="e">
        <f>'25hike'!D99+IPI_plus!D91</f>
        <v>#REF!</v>
      </c>
      <c r="E99" s="19" t="e">
        <f>'25hike'!E99+IPI_plus!E91</f>
        <v>#REF!</v>
      </c>
      <c r="F99" s="19" t="e">
        <f>'25hike'!F99+IPI_plus!F91</f>
        <v>#REF!</v>
      </c>
      <c r="G99" s="19" t="e">
        <f>'25hike'!G99+IPI_plus!G91</f>
        <v>#REF!</v>
      </c>
    </row>
    <row r="100" spans="1:7" hidden="1" x14ac:dyDescent="0.55000000000000004">
      <c r="A100" s="5">
        <f t="shared" si="6"/>
        <v>23.5</v>
      </c>
      <c r="B100" s="4">
        <f t="shared" si="7"/>
        <v>0</v>
      </c>
      <c r="C100" s="19" t="e">
        <f>'25hike'!C100+IPI_plus!C92</f>
        <v>#REF!</v>
      </c>
      <c r="D100" s="19" t="e">
        <f>'25hike'!D100+IPI_plus!D92</f>
        <v>#REF!</v>
      </c>
      <c r="E100" s="19" t="e">
        <f>'25hike'!E100+IPI_plus!E92</f>
        <v>#REF!</v>
      </c>
      <c r="F100" s="19" t="e">
        <f>'25hike'!F100+IPI_plus!F92</f>
        <v>#REF!</v>
      </c>
      <c r="G100" s="19" t="e">
        <f>'25hike'!G100+IPI_plus!G92</f>
        <v>#REF!</v>
      </c>
    </row>
    <row r="101" spans="1:7" hidden="1" x14ac:dyDescent="0.55000000000000004">
      <c r="A101" s="5">
        <f t="shared" si="6"/>
        <v>23.75</v>
      </c>
      <c r="B101" s="4">
        <f t="shared" si="7"/>
        <v>0</v>
      </c>
      <c r="C101" s="19" t="e">
        <f>'25hike'!C101+IPI_plus!C93</f>
        <v>#REF!</v>
      </c>
      <c r="D101" s="19" t="e">
        <f>'25hike'!D101+IPI_plus!D93</f>
        <v>#REF!</v>
      </c>
      <c r="E101" s="19" t="e">
        <f>'25hike'!E101+IPI_plus!E93</f>
        <v>#REF!</v>
      </c>
      <c r="F101" s="19" t="e">
        <f>'25hike'!F101+IPI_plus!F93</f>
        <v>#REF!</v>
      </c>
      <c r="G101" s="19" t="e">
        <f>'25hike'!G101+IPI_plus!G93</f>
        <v>#REF!</v>
      </c>
    </row>
    <row r="102" spans="1:7" hidden="1" x14ac:dyDescent="0.55000000000000004">
      <c r="A102" s="5">
        <f t="shared" si="6"/>
        <v>24</v>
      </c>
      <c r="B102" s="4">
        <f t="shared" si="7"/>
        <v>0</v>
      </c>
      <c r="C102" s="19" t="e">
        <f>'25hike'!C102+IPI_plus!C94</f>
        <v>#REF!</v>
      </c>
      <c r="D102" s="19" t="e">
        <f>'25hike'!D102+IPI_plus!D94</f>
        <v>#REF!</v>
      </c>
      <c r="E102" s="19" t="e">
        <f>'25hike'!E102+IPI_plus!E94</f>
        <v>#REF!</v>
      </c>
      <c r="F102" s="19" t="e">
        <f>'25hike'!F102+IPI_plus!F94</f>
        <v>#REF!</v>
      </c>
      <c r="G102" s="19" t="e">
        <f>'25hike'!G102+IPI_plus!G94</f>
        <v>#REF!</v>
      </c>
    </row>
    <row r="103" spans="1:7" hidden="1" x14ac:dyDescent="0.55000000000000004">
      <c r="A103" s="5">
        <f t="shared" si="6"/>
        <v>24.25</v>
      </c>
      <c r="B103" s="4">
        <f t="shared" si="7"/>
        <v>0</v>
      </c>
      <c r="C103" s="19" t="e">
        <f>'25hike'!C103+IPI_plus!C95</f>
        <v>#REF!</v>
      </c>
      <c r="D103" s="19" t="e">
        <f>'25hike'!D103+IPI_plus!D95</f>
        <v>#REF!</v>
      </c>
      <c r="E103" s="19" t="e">
        <f>'25hike'!E103+IPI_plus!E95</f>
        <v>#REF!</v>
      </c>
      <c r="F103" s="19" t="e">
        <f>'25hike'!F103+IPI_plus!F95</f>
        <v>#REF!</v>
      </c>
      <c r="G103" s="19" t="e">
        <f>'25hike'!G103+IPI_plus!G95</f>
        <v>#REF!</v>
      </c>
    </row>
    <row r="104" spans="1:7" hidden="1" x14ac:dyDescent="0.55000000000000004">
      <c r="A104" s="5">
        <f t="shared" si="6"/>
        <v>24.5</v>
      </c>
      <c r="B104" s="4">
        <f t="shared" si="7"/>
        <v>0</v>
      </c>
      <c r="C104" s="19" t="e">
        <f>'25hike'!C104+IPI_plus!C96</f>
        <v>#REF!</v>
      </c>
      <c r="D104" s="19" t="e">
        <f>'25hike'!D104+IPI_plus!D96</f>
        <v>#REF!</v>
      </c>
      <c r="E104" s="19" t="e">
        <f>'25hike'!E104+IPI_plus!E96</f>
        <v>#REF!</v>
      </c>
      <c r="F104" s="19" t="e">
        <f>'25hike'!F104+IPI_plus!F96</f>
        <v>#REF!</v>
      </c>
      <c r="G104" s="19" t="e">
        <f>'25hike'!G104+IPI_plus!G96</f>
        <v>#REF!</v>
      </c>
    </row>
    <row r="105" spans="1:7" hidden="1" x14ac:dyDescent="0.55000000000000004">
      <c r="A105" s="5">
        <f t="shared" si="6"/>
        <v>24.75</v>
      </c>
      <c r="B105" s="4">
        <f t="shared" si="7"/>
        <v>0</v>
      </c>
      <c r="C105" s="19" t="e">
        <f>'25hike'!C105+IPI_plus!C97</f>
        <v>#REF!</v>
      </c>
      <c r="D105" s="19" t="e">
        <f>'25hike'!D105+IPI_plus!D97</f>
        <v>#REF!</v>
      </c>
      <c r="E105" s="19" t="e">
        <f>'25hike'!E105+IPI_plus!E97</f>
        <v>#REF!</v>
      </c>
      <c r="F105" s="19" t="e">
        <f>'25hike'!F105+IPI_plus!F97</f>
        <v>#REF!</v>
      </c>
      <c r="G105" s="19" t="e">
        <f>'25hike'!G105+IPI_plus!G97</f>
        <v>#REF!</v>
      </c>
    </row>
    <row r="106" spans="1:7" hidden="1" x14ac:dyDescent="0.55000000000000004">
      <c r="A106" s="5">
        <f t="shared" si="6"/>
        <v>25</v>
      </c>
      <c r="B106" s="4">
        <f t="shared" si="7"/>
        <v>0</v>
      </c>
      <c r="C106" s="19" t="e">
        <f>'25hike'!C106+IPI_plus!C98</f>
        <v>#REF!</v>
      </c>
      <c r="D106" s="19" t="e">
        <f>'25hike'!D106+IPI_plus!D98</f>
        <v>#REF!</v>
      </c>
      <c r="E106" s="19" t="e">
        <f>'25hike'!E106+IPI_plus!E98</f>
        <v>#REF!</v>
      </c>
      <c r="F106" s="19" t="e">
        <f>'25hike'!F106+IPI_plus!F98</f>
        <v>#REF!</v>
      </c>
      <c r="G106" s="19" t="e">
        <f>'25hike'!G106+IPI_plus!G98</f>
        <v>#REF!</v>
      </c>
    </row>
    <row r="107" spans="1:7" hidden="1" x14ac:dyDescent="0.55000000000000004">
      <c r="A107" s="5">
        <f t="shared" si="6"/>
        <v>25.25</v>
      </c>
      <c r="B107" s="4">
        <f t="shared" si="7"/>
        <v>0</v>
      </c>
      <c r="C107" s="19" t="e">
        <f>'25hike'!C107+IPI_plus!C99</f>
        <v>#REF!</v>
      </c>
      <c r="D107" s="19" t="e">
        <f>'25hike'!D107+IPI_plus!D99</f>
        <v>#REF!</v>
      </c>
      <c r="E107" s="19" t="e">
        <f>'25hike'!E107+IPI_plus!E99</f>
        <v>#REF!</v>
      </c>
      <c r="F107" s="19" t="e">
        <f>'25hike'!F107+IPI_plus!F99</f>
        <v>#REF!</v>
      </c>
      <c r="G107" s="19" t="e">
        <f>'25hike'!G107+IPI_plus!G99</f>
        <v>#REF!</v>
      </c>
    </row>
    <row r="108" spans="1:7" hidden="1" x14ac:dyDescent="0.55000000000000004">
      <c r="A108" s="5">
        <f t="shared" si="6"/>
        <v>25.5</v>
      </c>
      <c r="B108" s="4">
        <f t="shared" si="7"/>
        <v>0</v>
      </c>
      <c r="C108" s="19" t="e">
        <f>'25hike'!C108+IPI_plus!C100</f>
        <v>#REF!</v>
      </c>
      <c r="D108" s="19" t="e">
        <f>'25hike'!D108+IPI_plus!D100</f>
        <v>#REF!</v>
      </c>
      <c r="E108" s="19" t="e">
        <f>'25hike'!E108+IPI_plus!E100</f>
        <v>#REF!</v>
      </c>
      <c r="F108" s="19" t="e">
        <f>'25hike'!F108+IPI_plus!F100</f>
        <v>#REF!</v>
      </c>
      <c r="G108" s="19" t="e">
        <f>'25hike'!G108+IPI_plus!G100</f>
        <v>#REF!</v>
      </c>
    </row>
    <row r="109" spans="1:7" hidden="1" x14ac:dyDescent="0.55000000000000004">
      <c r="A109" s="5">
        <f t="shared" si="6"/>
        <v>25.75</v>
      </c>
      <c r="B109" s="4">
        <f t="shared" si="7"/>
        <v>0</v>
      </c>
      <c r="C109" s="19" t="e">
        <f>'25hike'!C109+IPI_plus!C101</f>
        <v>#REF!</v>
      </c>
      <c r="D109" s="19" t="e">
        <f>'25hike'!D109+IPI_plus!D101</f>
        <v>#REF!</v>
      </c>
      <c r="E109" s="19" t="e">
        <f>'25hike'!E109+IPI_plus!E101</f>
        <v>#REF!</v>
      </c>
      <c r="F109" s="19" t="e">
        <f>'25hike'!F109+IPI_plus!F101</f>
        <v>#REF!</v>
      </c>
      <c r="G109" s="19" t="e">
        <f>'25hike'!G109+IPI_plus!G101</f>
        <v>#REF!</v>
      </c>
    </row>
    <row r="110" spans="1:7" hidden="1" x14ac:dyDescent="0.55000000000000004">
      <c r="A110" s="5">
        <f t="shared" si="6"/>
        <v>26</v>
      </c>
      <c r="B110" s="4">
        <f t="shared" si="7"/>
        <v>0</v>
      </c>
      <c r="C110" s="19" t="e">
        <f>'25hike'!C110+IPI_plus!C102</f>
        <v>#REF!</v>
      </c>
      <c r="D110" s="19" t="e">
        <f>'25hike'!D110+IPI_plus!D102</f>
        <v>#REF!</v>
      </c>
      <c r="E110" s="19" t="e">
        <f>'25hike'!E110+IPI_plus!E102</f>
        <v>#REF!</v>
      </c>
      <c r="F110" s="19" t="e">
        <f>'25hike'!F110+IPI_plus!F102</f>
        <v>#REF!</v>
      </c>
      <c r="G110" s="19" t="e">
        <f>'25hike'!G110+IPI_plus!G102</f>
        <v>#REF!</v>
      </c>
    </row>
    <row r="111" spans="1:7" hidden="1" x14ac:dyDescent="0.55000000000000004">
      <c r="A111" s="5">
        <f t="shared" si="6"/>
        <v>26.25</v>
      </c>
      <c r="B111" s="4">
        <f t="shared" si="7"/>
        <v>0</v>
      </c>
      <c r="C111" s="19" t="e">
        <f>'25hike'!C111+IPI_plus!C103</f>
        <v>#REF!</v>
      </c>
      <c r="D111" s="19" t="e">
        <f>'25hike'!D111+IPI_plus!D103</f>
        <v>#REF!</v>
      </c>
      <c r="E111" s="19" t="e">
        <f>'25hike'!E111+IPI_plus!E103</f>
        <v>#REF!</v>
      </c>
      <c r="F111" s="19" t="e">
        <f>'25hike'!F111+IPI_plus!F103</f>
        <v>#REF!</v>
      </c>
      <c r="G111" s="19" t="e">
        <f>'25hike'!G111+IPI_plus!G103</f>
        <v>#REF!</v>
      </c>
    </row>
    <row r="112" spans="1:7" hidden="1" x14ac:dyDescent="0.55000000000000004">
      <c r="A112" s="5">
        <f t="shared" si="6"/>
        <v>26.5</v>
      </c>
      <c r="B112" s="4">
        <f t="shared" si="7"/>
        <v>0</v>
      </c>
      <c r="C112" s="19" t="e">
        <f>'25hike'!C112+IPI_plus!C104</f>
        <v>#REF!</v>
      </c>
      <c r="D112" s="19" t="e">
        <f>'25hike'!D112+IPI_plus!D104</f>
        <v>#REF!</v>
      </c>
      <c r="E112" s="19" t="e">
        <f>'25hike'!E112+IPI_plus!E104</f>
        <v>#REF!</v>
      </c>
      <c r="F112" s="19" t="e">
        <f>'25hike'!F112+IPI_plus!F104</f>
        <v>#REF!</v>
      </c>
      <c r="G112" s="19" t="e">
        <f>'25hike'!G112+IPI_plus!G104</f>
        <v>#REF!</v>
      </c>
    </row>
    <row r="113" spans="1:7" hidden="1" x14ac:dyDescent="0.55000000000000004">
      <c r="A113" s="5">
        <f t="shared" si="6"/>
        <v>26.75</v>
      </c>
      <c r="B113" s="4">
        <f t="shared" si="7"/>
        <v>0</v>
      </c>
      <c r="C113" s="19" t="e">
        <f>'25hike'!C113+IPI_plus!C105</f>
        <v>#REF!</v>
      </c>
      <c r="D113" s="19" t="e">
        <f>'25hike'!D113+IPI_plus!D105</f>
        <v>#REF!</v>
      </c>
      <c r="E113" s="19" t="e">
        <f>'25hike'!E113+IPI_plus!E105</f>
        <v>#REF!</v>
      </c>
      <c r="F113" s="19" t="e">
        <f>'25hike'!F113+IPI_plus!F105</f>
        <v>#REF!</v>
      </c>
      <c r="G113" s="19" t="e">
        <f>'25hike'!G113+IPI_plus!G105</f>
        <v>#REF!</v>
      </c>
    </row>
    <row r="114" spans="1:7" hidden="1" x14ac:dyDescent="0.55000000000000004">
      <c r="A114" s="5">
        <f t="shared" si="6"/>
        <v>27</v>
      </c>
      <c r="B114" s="4">
        <f t="shared" si="7"/>
        <v>0</v>
      </c>
      <c r="C114" s="19" t="e">
        <f>'25hike'!C114+IPI_plus!C106</f>
        <v>#REF!</v>
      </c>
      <c r="D114" s="19" t="e">
        <f>'25hike'!D114+IPI_plus!D106</f>
        <v>#REF!</v>
      </c>
      <c r="E114" s="19" t="e">
        <f>'25hike'!E114+IPI_plus!E106</f>
        <v>#REF!</v>
      </c>
      <c r="F114" s="19" t="e">
        <f>'25hike'!F114+IPI_plus!F106</f>
        <v>#REF!</v>
      </c>
      <c r="G114" s="19" t="e">
        <f>'25hike'!G114+IPI_plus!G106</f>
        <v>#REF!</v>
      </c>
    </row>
    <row r="115" spans="1:7" hidden="1" x14ac:dyDescent="0.55000000000000004">
      <c r="A115" s="5">
        <f t="shared" si="6"/>
        <v>27.25</v>
      </c>
      <c r="B115" s="4">
        <f t="shared" si="7"/>
        <v>0</v>
      </c>
      <c r="C115" s="19" t="e">
        <f>'25hike'!C115+IPI_plus!C107</f>
        <v>#REF!</v>
      </c>
      <c r="D115" s="19" t="e">
        <f>'25hike'!D115+IPI_plus!D107</f>
        <v>#REF!</v>
      </c>
      <c r="E115" s="19" t="e">
        <f>'25hike'!E115+IPI_plus!E107</f>
        <v>#REF!</v>
      </c>
      <c r="F115" s="19" t="e">
        <f>'25hike'!F115+IPI_plus!F107</f>
        <v>#REF!</v>
      </c>
      <c r="G115" s="19" t="e">
        <f>'25hike'!G115+IPI_plus!G107</f>
        <v>#REF!</v>
      </c>
    </row>
    <row r="116" spans="1:7" hidden="1" x14ac:dyDescent="0.55000000000000004">
      <c r="A116" s="5">
        <f t="shared" si="6"/>
        <v>27.5</v>
      </c>
      <c r="B116" s="4">
        <f t="shared" si="7"/>
        <v>0</v>
      </c>
      <c r="C116" s="19" t="e">
        <f>'25hike'!C116+IPI_plus!C108</f>
        <v>#REF!</v>
      </c>
      <c r="D116" s="19" t="e">
        <f>'25hike'!D116+IPI_plus!D108</f>
        <v>#REF!</v>
      </c>
      <c r="E116" s="19" t="e">
        <f>'25hike'!E116+IPI_plus!E108</f>
        <v>#REF!</v>
      </c>
      <c r="F116" s="19" t="e">
        <f>'25hike'!F116+IPI_plus!F108</f>
        <v>#REF!</v>
      </c>
      <c r="G116" s="19" t="e">
        <f>'25hike'!G116+IPI_plus!G108</f>
        <v>#REF!</v>
      </c>
    </row>
    <row r="117" spans="1:7" hidden="1" x14ac:dyDescent="0.55000000000000004">
      <c r="A117" s="5">
        <f t="shared" si="6"/>
        <v>27.75</v>
      </c>
      <c r="B117" s="4">
        <f t="shared" si="7"/>
        <v>0</v>
      </c>
      <c r="C117" s="19" t="e">
        <f>'25hike'!C117+IPI_plus!C109</f>
        <v>#REF!</v>
      </c>
      <c r="D117" s="19" t="e">
        <f>'25hike'!D117+IPI_plus!D109</f>
        <v>#REF!</v>
      </c>
      <c r="E117" s="19" t="e">
        <f>'25hike'!E117+IPI_plus!E109</f>
        <v>#REF!</v>
      </c>
      <c r="F117" s="19" t="e">
        <f>'25hike'!F117+IPI_plus!F109</f>
        <v>#REF!</v>
      </c>
      <c r="G117" s="19" t="e">
        <f>'25hike'!G117+IPI_plus!G109</f>
        <v>#REF!</v>
      </c>
    </row>
    <row r="118" spans="1:7" hidden="1" x14ac:dyDescent="0.55000000000000004">
      <c r="A118" s="5">
        <f t="shared" si="6"/>
        <v>28</v>
      </c>
      <c r="B118" s="4">
        <f t="shared" si="7"/>
        <v>0</v>
      </c>
      <c r="C118" s="19" t="e">
        <f>'25hike'!C118+IPI_plus!C110</f>
        <v>#REF!</v>
      </c>
      <c r="D118" s="19" t="e">
        <f>'25hike'!D118+IPI_plus!D110</f>
        <v>#REF!</v>
      </c>
      <c r="E118" s="19" t="e">
        <f>'25hike'!E118+IPI_plus!E110</f>
        <v>#REF!</v>
      </c>
      <c r="F118" s="19" t="e">
        <f>'25hike'!F118+IPI_plus!F110</f>
        <v>#REF!</v>
      </c>
      <c r="G118" s="19" t="e">
        <f>'25hike'!G118+IPI_plus!G110</f>
        <v>#REF!</v>
      </c>
    </row>
    <row r="119" spans="1:7" hidden="1" x14ac:dyDescent="0.55000000000000004">
      <c r="A119" s="5">
        <f t="shared" si="6"/>
        <v>28.25</v>
      </c>
      <c r="B119" s="4">
        <f t="shared" si="7"/>
        <v>0</v>
      </c>
      <c r="C119" s="19" t="e">
        <f>'25hike'!C119+IPI_plus!C111</f>
        <v>#REF!</v>
      </c>
      <c r="D119" s="19" t="e">
        <f>'25hike'!D119+IPI_plus!D111</f>
        <v>#REF!</v>
      </c>
      <c r="E119" s="19" t="e">
        <f>'25hike'!E119+IPI_plus!E111</f>
        <v>#REF!</v>
      </c>
      <c r="F119" s="19" t="e">
        <f>'25hike'!F119+IPI_plus!F111</f>
        <v>#REF!</v>
      </c>
      <c r="G119" s="19" t="e">
        <f>'25hike'!G119+IPI_plus!G111</f>
        <v>#REF!</v>
      </c>
    </row>
    <row r="120" spans="1:7" hidden="1" x14ac:dyDescent="0.55000000000000004">
      <c r="A120" s="5">
        <f t="shared" si="6"/>
        <v>28.5</v>
      </c>
      <c r="B120" s="4">
        <f t="shared" si="7"/>
        <v>0</v>
      </c>
      <c r="C120" s="19" t="e">
        <f>'25hike'!C120+IPI_plus!C112</f>
        <v>#REF!</v>
      </c>
      <c r="D120" s="19" t="e">
        <f>'25hike'!D120+IPI_plus!D112</f>
        <v>#REF!</v>
      </c>
      <c r="E120" s="19" t="e">
        <f>'25hike'!E120+IPI_plus!E112</f>
        <v>#REF!</v>
      </c>
      <c r="F120" s="19" t="e">
        <f>'25hike'!F120+IPI_plus!F112</f>
        <v>#REF!</v>
      </c>
      <c r="G120" s="19" t="e">
        <f>'25hike'!G120+IPI_plus!G112</f>
        <v>#REF!</v>
      </c>
    </row>
    <row r="121" spans="1:7" hidden="1" x14ac:dyDescent="0.55000000000000004">
      <c r="A121" s="5">
        <f t="shared" si="6"/>
        <v>28.75</v>
      </c>
      <c r="B121" s="4">
        <f t="shared" si="7"/>
        <v>0</v>
      </c>
      <c r="C121" s="19" t="e">
        <f>'25hike'!C121+IPI_plus!C113</f>
        <v>#REF!</v>
      </c>
      <c r="D121" s="19" t="e">
        <f>'25hike'!D121+IPI_plus!D113</f>
        <v>#REF!</v>
      </c>
      <c r="E121" s="19" t="e">
        <f>'25hike'!E121+IPI_plus!E113</f>
        <v>#REF!</v>
      </c>
      <c r="F121" s="19" t="e">
        <f>'25hike'!F121+IPI_plus!F113</f>
        <v>#REF!</v>
      </c>
      <c r="G121" s="19" t="e">
        <f>'25hike'!G121+IPI_plus!G113</f>
        <v>#REF!</v>
      </c>
    </row>
    <row r="122" spans="1:7" hidden="1" x14ac:dyDescent="0.55000000000000004">
      <c r="A122" s="5">
        <f t="shared" si="6"/>
        <v>29</v>
      </c>
      <c r="B122" s="4">
        <f t="shared" si="7"/>
        <v>0</v>
      </c>
      <c r="C122" s="19" t="e">
        <f>'25hike'!C122+IPI_plus!C114</f>
        <v>#REF!</v>
      </c>
      <c r="D122" s="19" t="e">
        <f>'25hike'!D122+IPI_plus!D114</f>
        <v>#REF!</v>
      </c>
      <c r="E122" s="19" t="e">
        <f>'25hike'!E122+IPI_plus!E114</f>
        <v>#REF!</v>
      </c>
      <c r="F122" s="19" t="e">
        <f>'25hike'!F122+IPI_plus!F114</f>
        <v>#REF!</v>
      </c>
      <c r="G122" s="19" t="e">
        <f>'25hike'!G122+IPI_plus!G114</f>
        <v>#REF!</v>
      </c>
    </row>
    <row r="123" spans="1:7" hidden="1" x14ac:dyDescent="0.55000000000000004">
      <c r="A123" s="5">
        <f t="shared" si="6"/>
        <v>29.25</v>
      </c>
      <c r="B123" s="4">
        <f t="shared" si="7"/>
        <v>0</v>
      </c>
      <c r="C123" s="19" t="e">
        <f>'25hike'!C123+IPI_plus!C115</f>
        <v>#REF!</v>
      </c>
      <c r="D123" s="19" t="e">
        <f>'25hike'!D123+IPI_plus!D115</f>
        <v>#REF!</v>
      </c>
      <c r="E123" s="19" t="e">
        <f>'25hike'!E123+IPI_plus!E115</f>
        <v>#REF!</v>
      </c>
      <c r="F123" s="19" t="e">
        <f>'25hike'!F123+IPI_plus!F115</f>
        <v>#REF!</v>
      </c>
      <c r="G123" s="19" t="e">
        <f>'25hike'!G123+IPI_plus!G115</f>
        <v>#REF!</v>
      </c>
    </row>
    <row r="124" spans="1:7" hidden="1" x14ac:dyDescent="0.55000000000000004">
      <c r="A124" s="5">
        <f t="shared" si="6"/>
        <v>29.5</v>
      </c>
      <c r="B124" s="4">
        <f t="shared" si="7"/>
        <v>0</v>
      </c>
      <c r="C124" s="19" t="e">
        <f>'25hike'!C124+IPI_plus!C116</f>
        <v>#REF!</v>
      </c>
      <c r="D124" s="19" t="e">
        <f>'25hike'!D124+IPI_plus!D116</f>
        <v>#REF!</v>
      </c>
      <c r="E124" s="19" t="e">
        <f>'25hike'!E124+IPI_plus!E116</f>
        <v>#REF!</v>
      </c>
      <c r="F124" s="19" t="e">
        <f>'25hike'!F124+IPI_plus!F116</f>
        <v>#REF!</v>
      </c>
      <c r="G124" s="19" t="e">
        <f>'25hike'!G124+IPI_plus!G116</f>
        <v>#REF!</v>
      </c>
    </row>
    <row r="125" spans="1:7" hidden="1" x14ac:dyDescent="0.55000000000000004">
      <c r="A125" s="5">
        <f t="shared" si="6"/>
        <v>29.75</v>
      </c>
      <c r="B125" s="4">
        <f t="shared" si="7"/>
        <v>0</v>
      </c>
      <c r="C125" s="19" t="e">
        <f>'25hike'!C125+IPI_plus!C117</f>
        <v>#REF!</v>
      </c>
      <c r="D125" s="19" t="e">
        <f>'25hike'!D125+IPI_plus!D117</f>
        <v>#REF!</v>
      </c>
      <c r="E125" s="19" t="e">
        <f>'25hike'!E125+IPI_plus!E117</f>
        <v>#REF!</v>
      </c>
      <c r="F125" s="19" t="e">
        <f>'25hike'!F125+IPI_plus!F117</f>
        <v>#REF!</v>
      </c>
      <c r="G125" s="19" t="e">
        <f>'25hike'!G125+IPI_plus!G117</f>
        <v>#REF!</v>
      </c>
    </row>
    <row r="126" spans="1:7" hidden="1" x14ac:dyDescent="0.55000000000000004">
      <c r="A126" s="5">
        <f t="shared" si="6"/>
        <v>30</v>
      </c>
      <c r="B126" s="4">
        <f t="shared" si="7"/>
        <v>0</v>
      </c>
      <c r="C126" s="19" t="e">
        <f>'25hike'!C126+IPI_plus!C118</f>
        <v>#REF!</v>
      </c>
      <c r="D126" s="19" t="e">
        <f>'25hike'!D126+IPI_plus!D118</f>
        <v>#REF!</v>
      </c>
      <c r="E126" s="19" t="e">
        <f>'25hike'!E126+IPI_plus!E118</f>
        <v>#REF!</v>
      </c>
      <c r="F126" s="19" t="e">
        <f>'25hike'!F126+IPI_plus!F118</f>
        <v>#REF!</v>
      </c>
      <c r="G126" s="19" t="e">
        <f>'25hike'!G126+IPI_plus!G118</f>
        <v>#REF!</v>
      </c>
    </row>
    <row r="127" spans="1:7" hidden="1" x14ac:dyDescent="0.55000000000000004">
      <c r="A127" s="5">
        <f t="shared" si="6"/>
        <v>30.25</v>
      </c>
      <c r="B127" s="4">
        <f t="shared" si="7"/>
        <v>0</v>
      </c>
      <c r="C127" s="19" t="e">
        <f>'25hike'!C127+IPI_plus!C119</f>
        <v>#REF!</v>
      </c>
      <c r="D127" s="19" t="e">
        <f>'25hike'!D127+IPI_plus!D119</f>
        <v>#REF!</v>
      </c>
      <c r="E127" s="19" t="e">
        <f>'25hike'!E127+IPI_plus!E119</f>
        <v>#REF!</v>
      </c>
      <c r="F127" s="19" t="e">
        <f>'25hike'!F127+IPI_plus!F119</f>
        <v>#REF!</v>
      </c>
      <c r="G127" s="19" t="e">
        <f>'25hike'!G127+IPI_plus!G119</f>
        <v>#REF!</v>
      </c>
    </row>
    <row r="128" spans="1:7" hidden="1" x14ac:dyDescent="0.55000000000000004">
      <c r="A128" s="5">
        <f t="shared" si="6"/>
        <v>30.5</v>
      </c>
      <c r="B128" s="4">
        <f t="shared" si="7"/>
        <v>0</v>
      </c>
      <c r="C128" s="19" t="e">
        <f>'25hike'!C128+IPI_plus!C120</f>
        <v>#REF!</v>
      </c>
      <c r="D128" s="19" t="e">
        <f>'25hike'!D128+IPI_plus!D120</f>
        <v>#REF!</v>
      </c>
      <c r="E128" s="19" t="e">
        <f>'25hike'!E128+IPI_plus!E120</f>
        <v>#REF!</v>
      </c>
      <c r="F128" s="19" t="e">
        <f>'25hike'!F128+IPI_plus!F120</f>
        <v>#REF!</v>
      </c>
      <c r="G128" s="19" t="e">
        <f>'25hike'!G128+IPI_plus!G120</f>
        <v>#REF!</v>
      </c>
    </row>
    <row r="129" spans="1:7" hidden="1" x14ac:dyDescent="0.55000000000000004">
      <c r="A129" s="5">
        <f t="shared" si="6"/>
        <v>30.75</v>
      </c>
      <c r="B129" s="4">
        <f t="shared" si="7"/>
        <v>0</v>
      </c>
      <c r="C129" s="19" t="e">
        <f>'25hike'!C129+IPI_plus!C121</f>
        <v>#REF!</v>
      </c>
      <c r="D129" s="19" t="e">
        <f>'25hike'!D129+IPI_plus!D121</f>
        <v>#REF!</v>
      </c>
      <c r="E129" s="19" t="e">
        <f>'25hike'!E129+IPI_plus!E121</f>
        <v>#REF!</v>
      </c>
      <c r="F129" s="19" t="e">
        <f>'25hike'!F129+IPI_plus!F121</f>
        <v>#REF!</v>
      </c>
      <c r="G129" s="19" t="e">
        <f>'25hike'!G129+IPI_plus!G121</f>
        <v>#REF!</v>
      </c>
    </row>
    <row r="130" spans="1:7" hidden="1" x14ac:dyDescent="0.55000000000000004">
      <c r="A130" s="5">
        <f t="shared" si="6"/>
        <v>31</v>
      </c>
      <c r="B130" s="4">
        <f t="shared" si="7"/>
        <v>0</v>
      </c>
      <c r="C130" s="19" t="e">
        <f>'25hike'!C130+IPI_plus!C122</f>
        <v>#REF!</v>
      </c>
      <c r="D130" s="19" t="e">
        <f>'25hike'!D130+IPI_plus!D122</f>
        <v>#REF!</v>
      </c>
      <c r="E130" s="19" t="e">
        <f>'25hike'!E130+IPI_plus!E122</f>
        <v>#REF!</v>
      </c>
      <c r="F130" s="19" t="e">
        <f>'25hike'!F130+IPI_plus!F122</f>
        <v>#REF!</v>
      </c>
      <c r="G130" s="19" t="e">
        <f>'25hike'!G130+IPI_plus!G122</f>
        <v>#REF!</v>
      </c>
    </row>
    <row r="131" spans="1:7" hidden="1" x14ac:dyDescent="0.55000000000000004">
      <c r="A131" s="5">
        <f t="shared" si="6"/>
        <v>31.25</v>
      </c>
      <c r="B131" s="4">
        <f t="shared" si="7"/>
        <v>0</v>
      </c>
      <c r="C131" s="19" t="e">
        <f>'25hike'!C131+IPI_plus!C123</f>
        <v>#REF!</v>
      </c>
      <c r="D131" s="19" t="e">
        <f>'25hike'!D131+IPI_plus!D123</f>
        <v>#REF!</v>
      </c>
      <c r="E131" s="19" t="e">
        <f>'25hike'!E131+IPI_plus!E123</f>
        <v>#REF!</v>
      </c>
      <c r="F131" s="19" t="e">
        <f>'25hike'!F131+IPI_plus!F123</f>
        <v>#REF!</v>
      </c>
      <c r="G131" s="19" t="e">
        <f>'25hike'!G131+IPI_plus!G123</f>
        <v>#REF!</v>
      </c>
    </row>
    <row r="132" spans="1:7" hidden="1" x14ac:dyDescent="0.55000000000000004">
      <c r="A132" s="5">
        <f t="shared" ref="A132:A195" si="8">A131+0.25</f>
        <v>31.5</v>
      </c>
      <c r="B132" s="4">
        <f t="shared" ref="B132:B195" si="9">B131</f>
        <v>0</v>
      </c>
      <c r="C132" s="19" t="e">
        <f>'25hike'!C132+IPI_plus!C124</f>
        <v>#REF!</v>
      </c>
      <c r="D132" s="19" t="e">
        <f>'25hike'!D132+IPI_plus!D124</f>
        <v>#REF!</v>
      </c>
      <c r="E132" s="19" t="e">
        <f>'25hike'!E132+IPI_plus!E124</f>
        <v>#REF!</v>
      </c>
      <c r="F132" s="19" t="e">
        <f>'25hike'!F132+IPI_plus!F124</f>
        <v>#REF!</v>
      </c>
      <c r="G132" s="19" t="e">
        <f>'25hike'!G132+IPI_plus!G124</f>
        <v>#REF!</v>
      </c>
    </row>
    <row r="133" spans="1:7" hidden="1" x14ac:dyDescent="0.55000000000000004">
      <c r="A133" s="5">
        <f t="shared" si="8"/>
        <v>31.75</v>
      </c>
      <c r="B133" s="4">
        <f t="shared" si="9"/>
        <v>0</v>
      </c>
      <c r="C133" s="19" t="e">
        <f>'25hike'!C133+IPI_plus!C125</f>
        <v>#REF!</v>
      </c>
      <c r="D133" s="19" t="e">
        <f>'25hike'!D133+IPI_plus!D125</f>
        <v>#REF!</v>
      </c>
      <c r="E133" s="19" t="e">
        <f>'25hike'!E133+IPI_plus!E125</f>
        <v>#REF!</v>
      </c>
      <c r="F133" s="19" t="e">
        <f>'25hike'!F133+IPI_plus!F125</f>
        <v>#REF!</v>
      </c>
      <c r="G133" s="19" t="e">
        <f>'25hike'!G133+IPI_plus!G125</f>
        <v>#REF!</v>
      </c>
    </row>
    <row r="134" spans="1:7" hidden="1" x14ac:dyDescent="0.55000000000000004">
      <c r="A134" s="5">
        <f t="shared" si="8"/>
        <v>32</v>
      </c>
      <c r="B134" s="4">
        <f t="shared" si="9"/>
        <v>0</v>
      </c>
      <c r="C134" s="19" t="e">
        <f>'25hike'!C134+IPI_plus!C126</f>
        <v>#REF!</v>
      </c>
      <c r="D134" s="19" t="e">
        <f>'25hike'!D134+IPI_plus!D126</f>
        <v>#REF!</v>
      </c>
      <c r="E134" s="19" t="e">
        <f>'25hike'!E134+IPI_plus!E126</f>
        <v>#REF!</v>
      </c>
      <c r="F134" s="19" t="e">
        <f>'25hike'!F134+IPI_plus!F126</f>
        <v>#REF!</v>
      </c>
      <c r="G134" s="19" t="e">
        <f>'25hike'!G134+IPI_plus!G126</f>
        <v>#REF!</v>
      </c>
    </row>
    <row r="135" spans="1:7" hidden="1" x14ac:dyDescent="0.55000000000000004">
      <c r="A135" s="5">
        <f t="shared" si="8"/>
        <v>32.25</v>
      </c>
      <c r="B135" s="4">
        <f t="shared" si="9"/>
        <v>0</v>
      </c>
      <c r="C135" s="19" t="e">
        <f>'25hike'!C135+IPI_plus!C127</f>
        <v>#REF!</v>
      </c>
      <c r="D135" s="19" t="e">
        <f>'25hike'!D135+IPI_plus!D127</f>
        <v>#REF!</v>
      </c>
      <c r="E135" s="19" t="e">
        <f>'25hike'!E135+IPI_plus!E127</f>
        <v>#REF!</v>
      </c>
      <c r="F135" s="19" t="e">
        <f>'25hike'!F135+IPI_plus!F127</f>
        <v>#REF!</v>
      </c>
      <c r="G135" s="19" t="e">
        <f>'25hike'!G135+IPI_plus!G127</f>
        <v>#REF!</v>
      </c>
    </row>
    <row r="136" spans="1:7" hidden="1" x14ac:dyDescent="0.55000000000000004">
      <c r="A136" s="5">
        <f t="shared" si="8"/>
        <v>32.5</v>
      </c>
      <c r="B136" s="4">
        <f t="shared" si="9"/>
        <v>0</v>
      </c>
      <c r="C136" s="19" t="e">
        <f>'25hike'!C136+IPI_plus!C128</f>
        <v>#REF!</v>
      </c>
      <c r="D136" s="19" t="e">
        <f>'25hike'!D136+IPI_plus!D128</f>
        <v>#REF!</v>
      </c>
      <c r="E136" s="19" t="e">
        <f>'25hike'!E136+IPI_plus!E128</f>
        <v>#REF!</v>
      </c>
      <c r="F136" s="19" t="e">
        <f>'25hike'!F136+IPI_plus!F128</f>
        <v>#REF!</v>
      </c>
      <c r="G136" s="19" t="e">
        <f>'25hike'!G136+IPI_plus!G128</f>
        <v>#REF!</v>
      </c>
    </row>
    <row r="137" spans="1:7" hidden="1" x14ac:dyDescent="0.55000000000000004">
      <c r="A137" s="5">
        <f t="shared" si="8"/>
        <v>32.75</v>
      </c>
      <c r="B137" s="4">
        <f t="shared" si="9"/>
        <v>0</v>
      </c>
      <c r="C137" s="19" t="e">
        <f>'25hike'!C137+IPI_plus!C129</f>
        <v>#REF!</v>
      </c>
      <c r="D137" s="19" t="e">
        <f>'25hike'!D137+IPI_plus!D129</f>
        <v>#REF!</v>
      </c>
      <c r="E137" s="19" t="e">
        <f>'25hike'!E137+IPI_plus!E129</f>
        <v>#REF!</v>
      </c>
      <c r="F137" s="19" t="e">
        <f>'25hike'!F137+IPI_plus!F129</f>
        <v>#REF!</v>
      </c>
      <c r="G137" s="19" t="e">
        <f>'25hike'!G137+IPI_plus!G129</f>
        <v>#REF!</v>
      </c>
    </row>
    <row r="138" spans="1:7" hidden="1" x14ac:dyDescent="0.55000000000000004">
      <c r="A138" s="5">
        <f t="shared" si="8"/>
        <v>33</v>
      </c>
      <c r="B138" s="4">
        <f t="shared" si="9"/>
        <v>0</v>
      </c>
      <c r="C138" s="19" t="e">
        <f>'25hike'!C138+IPI_plus!C130</f>
        <v>#REF!</v>
      </c>
      <c r="D138" s="19" t="e">
        <f>'25hike'!D138+IPI_plus!D130</f>
        <v>#REF!</v>
      </c>
      <c r="E138" s="19" t="e">
        <f>'25hike'!E138+IPI_plus!E130</f>
        <v>#REF!</v>
      </c>
      <c r="F138" s="19" t="e">
        <f>'25hike'!F138+IPI_plus!F130</f>
        <v>#REF!</v>
      </c>
      <c r="G138" s="19" t="e">
        <f>'25hike'!G138+IPI_plus!G130</f>
        <v>#REF!</v>
      </c>
    </row>
    <row r="139" spans="1:7" hidden="1" x14ac:dyDescent="0.55000000000000004">
      <c r="A139" s="5">
        <f t="shared" si="8"/>
        <v>33.25</v>
      </c>
      <c r="B139" s="4">
        <f t="shared" si="9"/>
        <v>0</v>
      </c>
      <c r="C139" s="19" t="e">
        <f>'25hike'!C139+IPI_plus!C131</f>
        <v>#REF!</v>
      </c>
      <c r="D139" s="19" t="e">
        <f>'25hike'!D139+IPI_plus!D131</f>
        <v>#REF!</v>
      </c>
      <c r="E139" s="19" t="e">
        <f>'25hike'!E139+IPI_plus!E131</f>
        <v>#REF!</v>
      </c>
      <c r="F139" s="19" t="e">
        <f>'25hike'!F139+IPI_plus!F131</f>
        <v>#REF!</v>
      </c>
      <c r="G139" s="19" t="e">
        <f>'25hike'!G139+IPI_plus!G131</f>
        <v>#REF!</v>
      </c>
    </row>
    <row r="140" spans="1:7" hidden="1" x14ac:dyDescent="0.55000000000000004">
      <c r="A140" s="5">
        <f t="shared" si="8"/>
        <v>33.5</v>
      </c>
      <c r="B140" s="4">
        <f t="shared" si="9"/>
        <v>0</v>
      </c>
      <c r="C140" s="19" t="e">
        <f>'25hike'!C140+IPI_plus!C132</f>
        <v>#REF!</v>
      </c>
      <c r="D140" s="19" t="e">
        <f>'25hike'!D140+IPI_plus!D132</f>
        <v>#REF!</v>
      </c>
      <c r="E140" s="19" t="e">
        <f>'25hike'!E140+IPI_plus!E132</f>
        <v>#REF!</v>
      </c>
      <c r="F140" s="19" t="e">
        <f>'25hike'!F140+IPI_plus!F132</f>
        <v>#REF!</v>
      </c>
      <c r="G140" s="19" t="e">
        <f>'25hike'!G140+IPI_plus!G132</f>
        <v>#REF!</v>
      </c>
    </row>
    <row r="141" spans="1:7" hidden="1" x14ac:dyDescent="0.55000000000000004">
      <c r="A141" s="5">
        <f t="shared" si="8"/>
        <v>33.75</v>
      </c>
      <c r="B141" s="4">
        <f t="shared" si="9"/>
        <v>0</v>
      </c>
      <c r="C141" s="19" t="e">
        <f>'25hike'!C141+IPI_plus!C133</f>
        <v>#REF!</v>
      </c>
      <c r="D141" s="19" t="e">
        <f>'25hike'!D141+IPI_plus!D133</f>
        <v>#REF!</v>
      </c>
      <c r="E141" s="19" t="e">
        <f>'25hike'!E141+IPI_plus!E133</f>
        <v>#REF!</v>
      </c>
      <c r="F141" s="19" t="e">
        <f>'25hike'!F141+IPI_plus!F133</f>
        <v>#REF!</v>
      </c>
      <c r="G141" s="19" t="e">
        <f>'25hike'!G141+IPI_plus!G133</f>
        <v>#REF!</v>
      </c>
    </row>
    <row r="142" spans="1:7" hidden="1" x14ac:dyDescent="0.55000000000000004">
      <c r="A142" s="5">
        <f t="shared" si="8"/>
        <v>34</v>
      </c>
      <c r="B142" s="4">
        <f t="shared" si="9"/>
        <v>0</v>
      </c>
      <c r="C142" s="19" t="e">
        <f>'25hike'!C142+IPI_plus!C134</f>
        <v>#REF!</v>
      </c>
      <c r="D142" s="19" t="e">
        <f>'25hike'!D142+IPI_plus!D134</f>
        <v>#REF!</v>
      </c>
      <c r="E142" s="19" t="e">
        <f>'25hike'!E142+IPI_plus!E134</f>
        <v>#REF!</v>
      </c>
      <c r="F142" s="19" t="e">
        <f>'25hike'!F142+IPI_plus!F134</f>
        <v>#REF!</v>
      </c>
      <c r="G142" s="19" t="e">
        <f>'25hike'!G142+IPI_plus!G134</f>
        <v>#REF!</v>
      </c>
    </row>
    <row r="143" spans="1:7" hidden="1" x14ac:dyDescent="0.55000000000000004">
      <c r="A143" s="5">
        <f t="shared" si="8"/>
        <v>34.25</v>
      </c>
      <c r="B143" s="4">
        <f t="shared" si="9"/>
        <v>0</v>
      </c>
      <c r="C143" s="19" t="e">
        <f>'25hike'!C143+IPI_plus!C135</f>
        <v>#REF!</v>
      </c>
      <c r="D143" s="19" t="e">
        <f>'25hike'!D143+IPI_plus!D135</f>
        <v>#REF!</v>
      </c>
      <c r="E143" s="19" t="e">
        <f>'25hike'!E143+IPI_plus!E135</f>
        <v>#REF!</v>
      </c>
      <c r="F143" s="19" t="e">
        <f>'25hike'!F143+IPI_plus!F135</f>
        <v>#REF!</v>
      </c>
      <c r="G143" s="19" t="e">
        <f>'25hike'!G143+IPI_plus!G135</f>
        <v>#REF!</v>
      </c>
    </row>
    <row r="144" spans="1:7" hidden="1" x14ac:dyDescent="0.55000000000000004">
      <c r="A144" s="5">
        <f t="shared" si="8"/>
        <v>34.5</v>
      </c>
      <c r="B144" s="4">
        <f t="shared" si="9"/>
        <v>0</v>
      </c>
      <c r="C144" s="19" t="e">
        <f>'25hike'!C144+IPI_plus!C136</f>
        <v>#REF!</v>
      </c>
      <c r="D144" s="19" t="e">
        <f>'25hike'!D144+IPI_plus!D136</f>
        <v>#REF!</v>
      </c>
      <c r="E144" s="19" t="e">
        <f>'25hike'!E144+IPI_plus!E136</f>
        <v>#REF!</v>
      </c>
      <c r="F144" s="19" t="e">
        <f>'25hike'!F144+IPI_plus!F136</f>
        <v>#REF!</v>
      </c>
      <c r="G144" s="19" t="e">
        <f>'25hike'!G144+IPI_plus!G136</f>
        <v>#REF!</v>
      </c>
    </row>
    <row r="145" spans="1:7" hidden="1" x14ac:dyDescent="0.55000000000000004">
      <c r="A145" s="5">
        <f t="shared" si="8"/>
        <v>34.75</v>
      </c>
      <c r="B145" s="4">
        <f t="shared" si="9"/>
        <v>0</v>
      </c>
      <c r="C145" s="19" t="e">
        <f>'25hike'!C145+IPI_plus!C137</f>
        <v>#REF!</v>
      </c>
      <c r="D145" s="19" t="e">
        <f>'25hike'!D145+IPI_plus!D137</f>
        <v>#REF!</v>
      </c>
      <c r="E145" s="19" t="e">
        <f>'25hike'!E145+IPI_plus!E137</f>
        <v>#REF!</v>
      </c>
      <c r="F145" s="19" t="e">
        <f>'25hike'!F145+IPI_plus!F137</f>
        <v>#REF!</v>
      </c>
      <c r="G145" s="19" t="e">
        <f>'25hike'!G145+IPI_plus!G137</f>
        <v>#REF!</v>
      </c>
    </row>
    <row r="146" spans="1:7" hidden="1" x14ac:dyDescent="0.55000000000000004">
      <c r="A146" s="5">
        <f t="shared" si="8"/>
        <v>35</v>
      </c>
      <c r="B146" s="4">
        <f t="shared" si="9"/>
        <v>0</v>
      </c>
      <c r="C146" s="19" t="e">
        <f>'25hike'!C146+IPI_plus!C138</f>
        <v>#REF!</v>
      </c>
      <c r="D146" s="19" t="e">
        <f>'25hike'!D146+IPI_plus!D138</f>
        <v>#REF!</v>
      </c>
      <c r="E146" s="19" t="e">
        <f>'25hike'!E146+IPI_plus!E138</f>
        <v>#REF!</v>
      </c>
      <c r="F146" s="19" t="e">
        <f>'25hike'!F146+IPI_plus!F138</f>
        <v>#REF!</v>
      </c>
      <c r="G146" s="19" t="e">
        <f>'25hike'!G146+IPI_plus!G138</f>
        <v>#REF!</v>
      </c>
    </row>
    <row r="147" spans="1:7" hidden="1" x14ac:dyDescent="0.55000000000000004">
      <c r="A147" s="5">
        <f t="shared" si="8"/>
        <v>35.25</v>
      </c>
      <c r="B147" s="4">
        <f t="shared" si="9"/>
        <v>0</v>
      </c>
      <c r="C147" s="19" t="e">
        <f>'25hike'!C147+IPI_plus!C139</f>
        <v>#REF!</v>
      </c>
      <c r="D147" s="19" t="e">
        <f>'25hike'!D147+IPI_plus!D139</f>
        <v>#REF!</v>
      </c>
      <c r="E147" s="19" t="e">
        <f>'25hike'!E147+IPI_plus!E139</f>
        <v>#REF!</v>
      </c>
      <c r="F147" s="19" t="e">
        <f>'25hike'!F147+IPI_plus!F139</f>
        <v>#REF!</v>
      </c>
      <c r="G147" s="19" t="e">
        <f>'25hike'!G147+IPI_plus!G139</f>
        <v>#REF!</v>
      </c>
    </row>
    <row r="148" spans="1:7" hidden="1" x14ac:dyDescent="0.55000000000000004">
      <c r="A148" s="5">
        <f t="shared" si="8"/>
        <v>35.5</v>
      </c>
      <c r="B148" s="4">
        <f t="shared" si="9"/>
        <v>0</v>
      </c>
      <c r="C148" s="19" t="e">
        <f>'25hike'!C148+IPI_plus!C140</f>
        <v>#REF!</v>
      </c>
      <c r="D148" s="19" t="e">
        <f>'25hike'!D148+IPI_plus!D140</f>
        <v>#REF!</v>
      </c>
      <c r="E148" s="19" t="e">
        <f>'25hike'!E148+IPI_plus!E140</f>
        <v>#REF!</v>
      </c>
      <c r="F148" s="19" t="e">
        <f>'25hike'!F148+IPI_plus!F140</f>
        <v>#REF!</v>
      </c>
      <c r="G148" s="19" t="e">
        <f>'25hike'!G148+IPI_plus!G140</f>
        <v>#REF!</v>
      </c>
    </row>
    <row r="149" spans="1:7" hidden="1" x14ac:dyDescent="0.55000000000000004">
      <c r="A149" s="5">
        <f t="shared" si="8"/>
        <v>35.75</v>
      </c>
      <c r="B149" s="4">
        <f t="shared" si="9"/>
        <v>0</v>
      </c>
      <c r="C149" s="19" t="e">
        <f>'25hike'!C149+IPI_plus!C141</f>
        <v>#REF!</v>
      </c>
      <c r="D149" s="19" t="e">
        <f>'25hike'!D149+IPI_plus!D141</f>
        <v>#REF!</v>
      </c>
      <c r="E149" s="19" t="e">
        <f>'25hike'!E149+IPI_plus!E141</f>
        <v>#REF!</v>
      </c>
      <c r="F149" s="19" t="e">
        <f>'25hike'!F149+IPI_plus!F141</f>
        <v>#REF!</v>
      </c>
      <c r="G149" s="19" t="e">
        <f>'25hike'!G149+IPI_plus!G141</f>
        <v>#REF!</v>
      </c>
    </row>
    <row r="150" spans="1:7" hidden="1" x14ac:dyDescent="0.55000000000000004">
      <c r="A150" s="5">
        <f t="shared" si="8"/>
        <v>36</v>
      </c>
      <c r="B150" s="4">
        <f t="shared" si="9"/>
        <v>0</v>
      </c>
      <c r="C150" s="19" t="e">
        <f>'25hike'!C150+IPI_plus!C142</f>
        <v>#REF!</v>
      </c>
      <c r="D150" s="19" t="e">
        <f>'25hike'!D150+IPI_plus!D142</f>
        <v>#REF!</v>
      </c>
      <c r="E150" s="19" t="e">
        <f>'25hike'!E150+IPI_plus!E142</f>
        <v>#REF!</v>
      </c>
      <c r="F150" s="19" t="e">
        <f>'25hike'!F150+IPI_plus!F142</f>
        <v>#REF!</v>
      </c>
      <c r="G150" s="19" t="e">
        <f>'25hike'!G150+IPI_plus!G142</f>
        <v>#REF!</v>
      </c>
    </row>
    <row r="151" spans="1:7" hidden="1" x14ac:dyDescent="0.55000000000000004">
      <c r="A151" s="5">
        <f t="shared" si="8"/>
        <v>36.25</v>
      </c>
      <c r="B151" s="4">
        <f t="shared" si="9"/>
        <v>0</v>
      </c>
      <c r="C151" s="19" t="e">
        <f>'25hike'!C151+IPI_plus!C143</f>
        <v>#REF!</v>
      </c>
      <c r="D151" s="19" t="e">
        <f>'25hike'!D151+IPI_plus!D143</f>
        <v>#REF!</v>
      </c>
      <c r="E151" s="19" t="e">
        <f>'25hike'!E151+IPI_plus!E143</f>
        <v>#REF!</v>
      </c>
      <c r="F151" s="19" t="e">
        <f>'25hike'!F151+IPI_plus!F143</f>
        <v>#REF!</v>
      </c>
      <c r="G151" s="19" t="e">
        <f>'25hike'!G151+IPI_plus!G143</f>
        <v>#REF!</v>
      </c>
    </row>
    <row r="152" spans="1:7" hidden="1" x14ac:dyDescent="0.55000000000000004">
      <c r="A152" s="5">
        <f t="shared" si="8"/>
        <v>36.5</v>
      </c>
      <c r="B152" s="4">
        <f t="shared" si="9"/>
        <v>0</v>
      </c>
      <c r="C152" s="19" t="e">
        <f>'25hike'!C152+IPI_plus!C144</f>
        <v>#REF!</v>
      </c>
      <c r="D152" s="19" t="e">
        <f>'25hike'!D152+IPI_plus!D144</f>
        <v>#REF!</v>
      </c>
      <c r="E152" s="19" t="e">
        <f>'25hike'!E152+IPI_plus!E144</f>
        <v>#REF!</v>
      </c>
      <c r="F152" s="19" t="e">
        <f>'25hike'!F152+IPI_plus!F144</f>
        <v>#REF!</v>
      </c>
      <c r="G152" s="19" t="e">
        <f>'25hike'!G152+IPI_plus!G144</f>
        <v>#REF!</v>
      </c>
    </row>
    <row r="153" spans="1:7" hidden="1" x14ac:dyDescent="0.55000000000000004">
      <c r="A153" s="5">
        <f t="shared" si="8"/>
        <v>36.75</v>
      </c>
      <c r="B153" s="4">
        <f t="shared" si="9"/>
        <v>0</v>
      </c>
      <c r="C153" s="19" t="e">
        <f>'25hike'!C153+IPI_plus!C145</f>
        <v>#REF!</v>
      </c>
      <c r="D153" s="19" t="e">
        <f>'25hike'!D153+IPI_plus!D145</f>
        <v>#REF!</v>
      </c>
      <c r="E153" s="19" t="e">
        <f>'25hike'!E153+IPI_plus!E145</f>
        <v>#REF!</v>
      </c>
      <c r="F153" s="19" t="e">
        <f>'25hike'!F153+IPI_plus!F145</f>
        <v>#REF!</v>
      </c>
      <c r="G153" s="19" t="e">
        <f>'25hike'!G153+IPI_plus!G145</f>
        <v>#REF!</v>
      </c>
    </row>
    <row r="154" spans="1:7" hidden="1" x14ac:dyDescent="0.55000000000000004">
      <c r="A154" s="5">
        <f t="shared" si="8"/>
        <v>37</v>
      </c>
      <c r="B154" s="4">
        <f t="shared" si="9"/>
        <v>0</v>
      </c>
      <c r="C154" s="19" t="e">
        <f>'25hike'!C154+IPI_plus!C146</f>
        <v>#REF!</v>
      </c>
      <c r="D154" s="19" t="e">
        <f>'25hike'!D154+IPI_plus!D146</f>
        <v>#REF!</v>
      </c>
      <c r="E154" s="19" t="e">
        <f>'25hike'!E154+IPI_plus!E146</f>
        <v>#REF!</v>
      </c>
      <c r="F154" s="19" t="e">
        <f>'25hike'!F154+IPI_plus!F146</f>
        <v>#REF!</v>
      </c>
      <c r="G154" s="19" t="e">
        <f>'25hike'!G154+IPI_plus!G146</f>
        <v>#REF!</v>
      </c>
    </row>
    <row r="155" spans="1:7" hidden="1" x14ac:dyDescent="0.55000000000000004">
      <c r="A155" s="5">
        <f t="shared" si="8"/>
        <v>37.25</v>
      </c>
      <c r="B155" s="4">
        <f t="shared" si="9"/>
        <v>0</v>
      </c>
      <c r="C155" s="19" t="e">
        <f>'25hike'!C155+IPI_plus!C147</f>
        <v>#REF!</v>
      </c>
      <c r="D155" s="19" t="e">
        <f>'25hike'!D155+IPI_plus!D147</f>
        <v>#REF!</v>
      </c>
      <c r="E155" s="19" t="e">
        <f>'25hike'!E155+IPI_plus!E147</f>
        <v>#REF!</v>
      </c>
      <c r="F155" s="19" t="e">
        <f>'25hike'!F155+IPI_plus!F147</f>
        <v>#REF!</v>
      </c>
      <c r="G155" s="19" t="e">
        <f>'25hike'!G155+IPI_plus!G147</f>
        <v>#REF!</v>
      </c>
    </row>
    <row r="156" spans="1:7" hidden="1" x14ac:dyDescent="0.55000000000000004">
      <c r="A156" s="5">
        <f t="shared" si="8"/>
        <v>37.5</v>
      </c>
      <c r="B156" s="4">
        <f t="shared" si="9"/>
        <v>0</v>
      </c>
      <c r="C156" s="19" t="e">
        <f>'25hike'!C156+IPI_plus!C148</f>
        <v>#REF!</v>
      </c>
      <c r="D156" s="19" t="e">
        <f>'25hike'!D156+IPI_plus!D148</f>
        <v>#REF!</v>
      </c>
      <c r="E156" s="19" t="e">
        <f>'25hike'!E156+IPI_plus!E148</f>
        <v>#REF!</v>
      </c>
      <c r="F156" s="19" t="e">
        <f>'25hike'!F156+IPI_plus!F148</f>
        <v>#REF!</v>
      </c>
      <c r="G156" s="19" t="e">
        <f>'25hike'!G156+IPI_plus!G148</f>
        <v>#REF!</v>
      </c>
    </row>
    <row r="157" spans="1:7" hidden="1" x14ac:dyDescent="0.55000000000000004">
      <c r="A157" s="5">
        <f t="shared" si="8"/>
        <v>37.75</v>
      </c>
      <c r="B157" s="4">
        <f t="shared" si="9"/>
        <v>0</v>
      </c>
      <c r="C157" s="19" t="e">
        <f>'25hike'!C157+IPI_plus!C149</f>
        <v>#REF!</v>
      </c>
      <c r="D157" s="19" t="e">
        <f>'25hike'!D157+IPI_plus!D149</f>
        <v>#REF!</v>
      </c>
      <c r="E157" s="19" t="e">
        <f>'25hike'!E157+IPI_plus!E149</f>
        <v>#REF!</v>
      </c>
      <c r="F157" s="19" t="e">
        <f>'25hike'!F157+IPI_plus!F149</f>
        <v>#REF!</v>
      </c>
      <c r="G157" s="19" t="e">
        <f>'25hike'!G157+IPI_plus!G149</f>
        <v>#REF!</v>
      </c>
    </row>
    <row r="158" spans="1:7" hidden="1" x14ac:dyDescent="0.55000000000000004">
      <c r="A158" s="5">
        <f t="shared" si="8"/>
        <v>38</v>
      </c>
      <c r="B158" s="4">
        <f t="shared" si="9"/>
        <v>0</v>
      </c>
      <c r="C158" s="19" t="e">
        <f>'25hike'!C158+IPI_plus!C150</f>
        <v>#REF!</v>
      </c>
      <c r="D158" s="19" t="e">
        <f>'25hike'!D158+IPI_plus!D150</f>
        <v>#REF!</v>
      </c>
      <c r="E158" s="19" t="e">
        <f>'25hike'!E158+IPI_plus!E150</f>
        <v>#REF!</v>
      </c>
      <c r="F158" s="19" t="e">
        <f>'25hike'!F158+IPI_plus!F150</f>
        <v>#REF!</v>
      </c>
      <c r="G158" s="19" t="e">
        <f>'25hike'!G158+IPI_plus!G150</f>
        <v>#REF!</v>
      </c>
    </row>
    <row r="159" spans="1:7" hidden="1" x14ac:dyDescent="0.55000000000000004">
      <c r="A159" s="5">
        <f t="shared" si="8"/>
        <v>38.25</v>
      </c>
      <c r="B159" s="4">
        <f t="shared" si="9"/>
        <v>0</v>
      </c>
      <c r="C159" s="19" t="e">
        <f>'25hike'!C159+IPI_plus!C151</f>
        <v>#REF!</v>
      </c>
      <c r="D159" s="19" t="e">
        <f>'25hike'!D159+IPI_plus!D151</f>
        <v>#REF!</v>
      </c>
      <c r="E159" s="19" t="e">
        <f>'25hike'!E159+IPI_plus!E151</f>
        <v>#REF!</v>
      </c>
      <c r="F159" s="19" t="e">
        <f>'25hike'!F159+IPI_plus!F151</f>
        <v>#REF!</v>
      </c>
      <c r="G159" s="19" t="e">
        <f>'25hike'!G159+IPI_plus!G151</f>
        <v>#REF!</v>
      </c>
    </row>
    <row r="160" spans="1:7" hidden="1" x14ac:dyDescent="0.55000000000000004">
      <c r="A160" s="5">
        <f t="shared" si="8"/>
        <v>38.5</v>
      </c>
      <c r="B160" s="4">
        <f t="shared" si="9"/>
        <v>0</v>
      </c>
      <c r="C160" s="19" t="e">
        <f>'25hike'!C160+IPI_plus!C152</f>
        <v>#REF!</v>
      </c>
      <c r="D160" s="19" t="e">
        <f>'25hike'!D160+IPI_plus!D152</f>
        <v>#REF!</v>
      </c>
      <c r="E160" s="19" t="e">
        <f>'25hike'!E160+IPI_plus!E152</f>
        <v>#REF!</v>
      </c>
      <c r="F160" s="19" t="e">
        <f>'25hike'!F160+IPI_plus!F152</f>
        <v>#REF!</v>
      </c>
      <c r="G160" s="19" t="e">
        <f>'25hike'!G160+IPI_plus!G152</f>
        <v>#REF!</v>
      </c>
    </row>
    <row r="161" spans="1:7" hidden="1" x14ac:dyDescent="0.55000000000000004">
      <c r="A161" s="5">
        <f t="shared" si="8"/>
        <v>38.75</v>
      </c>
      <c r="B161" s="4">
        <f t="shared" si="9"/>
        <v>0</v>
      </c>
      <c r="C161" s="19" t="e">
        <f>'25hike'!C161+IPI_plus!C153</f>
        <v>#REF!</v>
      </c>
      <c r="D161" s="19" t="e">
        <f>'25hike'!D161+IPI_plus!D153</f>
        <v>#REF!</v>
      </c>
      <c r="E161" s="19" t="e">
        <f>'25hike'!E161+IPI_plus!E153</f>
        <v>#REF!</v>
      </c>
      <c r="F161" s="19" t="e">
        <f>'25hike'!F161+IPI_plus!F153</f>
        <v>#REF!</v>
      </c>
      <c r="G161" s="19" t="e">
        <f>'25hike'!G161+IPI_plus!G153</f>
        <v>#REF!</v>
      </c>
    </row>
    <row r="162" spans="1:7" hidden="1" x14ac:dyDescent="0.55000000000000004">
      <c r="A162" s="5">
        <f t="shared" si="8"/>
        <v>39</v>
      </c>
      <c r="B162" s="4">
        <f t="shared" si="9"/>
        <v>0</v>
      </c>
      <c r="C162" s="19" t="e">
        <f>'25hike'!C162+IPI_plus!C154</f>
        <v>#REF!</v>
      </c>
      <c r="D162" s="19" t="e">
        <f>'25hike'!D162+IPI_plus!D154</f>
        <v>#REF!</v>
      </c>
      <c r="E162" s="19" t="e">
        <f>'25hike'!E162+IPI_plus!E154</f>
        <v>#REF!</v>
      </c>
      <c r="F162" s="19" t="e">
        <f>'25hike'!F162+IPI_plus!F154</f>
        <v>#REF!</v>
      </c>
      <c r="G162" s="19" t="e">
        <f>'25hike'!G162+IPI_plus!G154</f>
        <v>#REF!</v>
      </c>
    </row>
    <row r="163" spans="1:7" hidden="1" x14ac:dyDescent="0.55000000000000004">
      <c r="A163" s="5">
        <f t="shared" si="8"/>
        <v>39.25</v>
      </c>
      <c r="B163" s="4">
        <f t="shared" si="9"/>
        <v>0</v>
      </c>
      <c r="C163" s="19" t="e">
        <f>'25hike'!C163+IPI_plus!C155</f>
        <v>#REF!</v>
      </c>
      <c r="D163" s="19" t="e">
        <f>'25hike'!D163+IPI_plus!D155</f>
        <v>#REF!</v>
      </c>
      <c r="E163" s="19" t="e">
        <f>'25hike'!E163+IPI_plus!E155</f>
        <v>#REF!</v>
      </c>
      <c r="F163" s="19" t="e">
        <f>'25hike'!F163+IPI_plus!F155</f>
        <v>#REF!</v>
      </c>
      <c r="G163" s="19" t="e">
        <f>'25hike'!G163+IPI_plus!G155</f>
        <v>#REF!</v>
      </c>
    </row>
    <row r="164" spans="1:7" hidden="1" x14ac:dyDescent="0.55000000000000004">
      <c r="A164" s="5">
        <f t="shared" si="8"/>
        <v>39.5</v>
      </c>
      <c r="B164" s="4">
        <f t="shared" si="9"/>
        <v>0</v>
      </c>
      <c r="C164" s="19" t="e">
        <f>'25hike'!C164+IPI_plus!C156</f>
        <v>#REF!</v>
      </c>
      <c r="D164" s="19" t="e">
        <f>'25hike'!D164+IPI_plus!D156</f>
        <v>#REF!</v>
      </c>
      <c r="E164" s="19" t="e">
        <f>'25hike'!E164+IPI_plus!E156</f>
        <v>#REF!</v>
      </c>
      <c r="F164" s="19" t="e">
        <f>'25hike'!F164+IPI_plus!F156</f>
        <v>#REF!</v>
      </c>
      <c r="G164" s="19" t="e">
        <f>'25hike'!G164+IPI_plus!G156</f>
        <v>#REF!</v>
      </c>
    </row>
    <row r="165" spans="1:7" hidden="1" x14ac:dyDescent="0.55000000000000004">
      <c r="A165" s="5">
        <f t="shared" si="8"/>
        <v>39.75</v>
      </c>
      <c r="B165" s="4">
        <f t="shared" si="9"/>
        <v>0</v>
      </c>
      <c r="C165" s="19" t="e">
        <f>'25hike'!C165+IPI_plus!C157</f>
        <v>#REF!</v>
      </c>
      <c r="D165" s="19" t="e">
        <f>'25hike'!D165+IPI_plus!D157</f>
        <v>#REF!</v>
      </c>
      <c r="E165" s="19" t="e">
        <f>'25hike'!E165+IPI_plus!E157</f>
        <v>#REF!</v>
      </c>
      <c r="F165" s="19" t="e">
        <f>'25hike'!F165+IPI_plus!F157</f>
        <v>#REF!</v>
      </c>
      <c r="G165" s="19" t="e">
        <f>'25hike'!G165+IPI_plus!G157</f>
        <v>#REF!</v>
      </c>
    </row>
    <row r="166" spans="1:7" hidden="1" x14ac:dyDescent="0.55000000000000004">
      <c r="A166" s="5">
        <f t="shared" si="8"/>
        <v>40</v>
      </c>
      <c r="B166" s="4">
        <f t="shared" si="9"/>
        <v>0</v>
      </c>
      <c r="C166" s="19" t="e">
        <f>'25hike'!C166+IPI_plus!C158</f>
        <v>#REF!</v>
      </c>
      <c r="D166" s="19" t="e">
        <f>'25hike'!D166+IPI_plus!D158</f>
        <v>#REF!</v>
      </c>
      <c r="E166" s="19" t="e">
        <f>'25hike'!E166+IPI_plus!E158</f>
        <v>#REF!</v>
      </c>
      <c r="F166" s="19" t="e">
        <f>'25hike'!F166+IPI_plus!F158</f>
        <v>#REF!</v>
      </c>
      <c r="G166" s="19" t="e">
        <f>'25hike'!G166+IPI_plus!G158</f>
        <v>#REF!</v>
      </c>
    </row>
    <row r="167" spans="1:7" hidden="1" x14ac:dyDescent="0.55000000000000004">
      <c r="A167" s="5">
        <f t="shared" si="8"/>
        <v>40.25</v>
      </c>
      <c r="B167" s="4">
        <f t="shared" si="9"/>
        <v>0</v>
      </c>
      <c r="C167" s="19" t="e">
        <f>'25hike'!C167+IPI_plus!C159</f>
        <v>#REF!</v>
      </c>
      <c r="D167" s="19" t="e">
        <f>'25hike'!D167+IPI_plus!D159</f>
        <v>#REF!</v>
      </c>
      <c r="E167" s="19" t="e">
        <f>'25hike'!E167+IPI_plus!E159</f>
        <v>#REF!</v>
      </c>
      <c r="F167" s="19" t="e">
        <f>'25hike'!F167+IPI_plus!F159</f>
        <v>#REF!</v>
      </c>
      <c r="G167" s="19" t="e">
        <f>'25hike'!G167+IPI_plus!G159</f>
        <v>#REF!</v>
      </c>
    </row>
    <row r="168" spans="1:7" hidden="1" x14ac:dyDescent="0.55000000000000004">
      <c r="A168" s="5">
        <f t="shared" si="8"/>
        <v>40.5</v>
      </c>
      <c r="B168" s="4">
        <f t="shared" si="9"/>
        <v>0</v>
      </c>
      <c r="C168" s="19" t="e">
        <f>'25hike'!C168+IPI_plus!C160</f>
        <v>#REF!</v>
      </c>
      <c r="D168" s="19" t="e">
        <f>'25hike'!D168+IPI_plus!D160</f>
        <v>#REF!</v>
      </c>
      <c r="E168" s="19" t="e">
        <f>'25hike'!E168+IPI_plus!E160</f>
        <v>#REF!</v>
      </c>
      <c r="F168" s="19" t="e">
        <f>'25hike'!F168+IPI_plus!F160</f>
        <v>#REF!</v>
      </c>
      <c r="G168" s="19" t="e">
        <f>'25hike'!G168+IPI_plus!G160</f>
        <v>#REF!</v>
      </c>
    </row>
    <row r="169" spans="1:7" hidden="1" x14ac:dyDescent="0.55000000000000004">
      <c r="A169" s="5">
        <f t="shared" si="8"/>
        <v>40.75</v>
      </c>
      <c r="B169" s="4">
        <f t="shared" si="9"/>
        <v>0</v>
      </c>
      <c r="C169" s="19" t="e">
        <f>'25hike'!C169+IPI_plus!C161</f>
        <v>#REF!</v>
      </c>
      <c r="D169" s="19" t="e">
        <f>'25hike'!D169+IPI_plus!D161</f>
        <v>#REF!</v>
      </c>
      <c r="E169" s="19" t="e">
        <f>'25hike'!E169+IPI_plus!E161</f>
        <v>#REF!</v>
      </c>
      <c r="F169" s="19" t="e">
        <f>'25hike'!F169+IPI_plus!F161</f>
        <v>#REF!</v>
      </c>
      <c r="G169" s="19" t="e">
        <f>'25hike'!G169+IPI_plus!G161</f>
        <v>#REF!</v>
      </c>
    </row>
    <row r="170" spans="1:7" hidden="1" x14ac:dyDescent="0.55000000000000004">
      <c r="A170" s="5">
        <f t="shared" si="8"/>
        <v>41</v>
      </c>
      <c r="B170" s="4">
        <f t="shared" si="9"/>
        <v>0</v>
      </c>
      <c r="C170" s="19" t="e">
        <f>'25hike'!C170+IPI_plus!C162</f>
        <v>#REF!</v>
      </c>
      <c r="D170" s="19" t="e">
        <f>'25hike'!D170+IPI_plus!D162</f>
        <v>#REF!</v>
      </c>
      <c r="E170" s="19" t="e">
        <f>'25hike'!E170+IPI_plus!E162</f>
        <v>#REF!</v>
      </c>
      <c r="F170" s="19" t="e">
        <f>'25hike'!F170+IPI_plus!F162</f>
        <v>#REF!</v>
      </c>
      <c r="G170" s="19" t="e">
        <f>'25hike'!G170+IPI_plus!G162</f>
        <v>#REF!</v>
      </c>
    </row>
    <row r="171" spans="1:7" hidden="1" x14ac:dyDescent="0.55000000000000004">
      <c r="A171" s="5">
        <f t="shared" si="8"/>
        <v>41.25</v>
      </c>
      <c r="B171" s="4">
        <f t="shared" si="9"/>
        <v>0</v>
      </c>
      <c r="C171" s="19" t="e">
        <f>'25hike'!C171+IPI_plus!C163</f>
        <v>#REF!</v>
      </c>
      <c r="D171" s="19" t="e">
        <f>'25hike'!D171+IPI_plus!D163</f>
        <v>#REF!</v>
      </c>
      <c r="E171" s="19" t="e">
        <f>'25hike'!E171+IPI_plus!E163</f>
        <v>#REF!</v>
      </c>
      <c r="F171" s="19" t="e">
        <f>'25hike'!F171+IPI_plus!F163</f>
        <v>#REF!</v>
      </c>
      <c r="G171" s="19" t="e">
        <f>'25hike'!G171+IPI_plus!G163</f>
        <v>#REF!</v>
      </c>
    </row>
    <row r="172" spans="1:7" hidden="1" x14ac:dyDescent="0.55000000000000004">
      <c r="A172" s="5">
        <f t="shared" si="8"/>
        <v>41.5</v>
      </c>
      <c r="B172" s="4">
        <f t="shared" si="9"/>
        <v>0</v>
      </c>
      <c r="C172" s="19" t="e">
        <f>'25hike'!C172+IPI_plus!C164</f>
        <v>#REF!</v>
      </c>
      <c r="D172" s="19" t="e">
        <f>'25hike'!D172+IPI_plus!D164</f>
        <v>#REF!</v>
      </c>
      <c r="E172" s="19" t="e">
        <f>'25hike'!E172+IPI_plus!E164</f>
        <v>#REF!</v>
      </c>
      <c r="F172" s="19" t="e">
        <f>'25hike'!F172+IPI_plus!F164</f>
        <v>#REF!</v>
      </c>
      <c r="G172" s="19" t="e">
        <f>'25hike'!G172+IPI_plus!G164</f>
        <v>#REF!</v>
      </c>
    </row>
    <row r="173" spans="1:7" hidden="1" x14ac:dyDescent="0.55000000000000004">
      <c r="A173" s="5">
        <f t="shared" si="8"/>
        <v>41.75</v>
      </c>
      <c r="B173" s="4">
        <f t="shared" si="9"/>
        <v>0</v>
      </c>
      <c r="C173" s="19" t="e">
        <f>'25hike'!C173+IPI_plus!C165</f>
        <v>#REF!</v>
      </c>
      <c r="D173" s="19" t="e">
        <f>'25hike'!D173+IPI_plus!D165</f>
        <v>#REF!</v>
      </c>
      <c r="E173" s="19" t="e">
        <f>'25hike'!E173+IPI_plus!E165</f>
        <v>#REF!</v>
      </c>
      <c r="F173" s="19" t="e">
        <f>'25hike'!F173+IPI_plus!F165</f>
        <v>#REF!</v>
      </c>
      <c r="G173" s="19" t="e">
        <f>'25hike'!G173+IPI_plus!G165</f>
        <v>#REF!</v>
      </c>
    </row>
    <row r="174" spans="1:7" hidden="1" x14ac:dyDescent="0.55000000000000004">
      <c r="A174" s="5">
        <f t="shared" si="8"/>
        <v>42</v>
      </c>
      <c r="B174" s="4">
        <f t="shared" si="9"/>
        <v>0</v>
      </c>
      <c r="C174" s="19" t="e">
        <f>'25hike'!C174+IPI_plus!C166</f>
        <v>#REF!</v>
      </c>
      <c r="D174" s="19" t="e">
        <f>'25hike'!D174+IPI_plus!D166</f>
        <v>#REF!</v>
      </c>
      <c r="E174" s="19" t="e">
        <f>'25hike'!E174+IPI_plus!E166</f>
        <v>#REF!</v>
      </c>
      <c r="F174" s="19" t="e">
        <f>'25hike'!F174+IPI_plus!F166</f>
        <v>#REF!</v>
      </c>
      <c r="G174" s="19" t="e">
        <f>'25hike'!G174+IPI_plus!G166</f>
        <v>#REF!</v>
      </c>
    </row>
    <row r="175" spans="1:7" hidden="1" x14ac:dyDescent="0.55000000000000004">
      <c r="A175" s="5">
        <f t="shared" si="8"/>
        <v>42.25</v>
      </c>
      <c r="B175" s="4">
        <f t="shared" si="9"/>
        <v>0</v>
      </c>
      <c r="C175" s="19" t="e">
        <f>'25hike'!C175+IPI_plus!C167</f>
        <v>#REF!</v>
      </c>
      <c r="D175" s="19" t="e">
        <f>'25hike'!D175+IPI_plus!D167</f>
        <v>#REF!</v>
      </c>
      <c r="E175" s="19" t="e">
        <f>'25hike'!E175+IPI_plus!E167</f>
        <v>#REF!</v>
      </c>
      <c r="F175" s="19" t="e">
        <f>'25hike'!F175+IPI_plus!F167</f>
        <v>#REF!</v>
      </c>
      <c r="G175" s="19" t="e">
        <f>'25hike'!G175+IPI_plus!G167</f>
        <v>#REF!</v>
      </c>
    </row>
    <row r="176" spans="1:7" hidden="1" x14ac:dyDescent="0.55000000000000004">
      <c r="A176" s="5">
        <f t="shared" si="8"/>
        <v>42.5</v>
      </c>
      <c r="B176" s="4">
        <f t="shared" si="9"/>
        <v>0</v>
      </c>
      <c r="C176" s="19" t="e">
        <f>'25hike'!C176+IPI_plus!C168</f>
        <v>#REF!</v>
      </c>
      <c r="D176" s="19" t="e">
        <f>'25hike'!D176+IPI_plus!D168</f>
        <v>#REF!</v>
      </c>
      <c r="E176" s="19" t="e">
        <f>'25hike'!E176+IPI_plus!E168</f>
        <v>#REF!</v>
      </c>
      <c r="F176" s="19" t="e">
        <f>'25hike'!F176+IPI_plus!F168</f>
        <v>#REF!</v>
      </c>
      <c r="G176" s="19" t="e">
        <f>'25hike'!G176+IPI_plus!G168</f>
        <v>#REF!</v>
      </c>
    </row>
    <row r="177" spans="1:7" hidden="1" x14ac:dyDescent="0.55000000000000004">
      <c r="A177" s="5">
        <f t="shared" si="8"/>
        <v>42.75</v>
      </c>
      <c r="B177" s="4">
        <f t="shared" si="9"/>
        <v>0</v>
      </c>
      <c r="C177" s="19" t="e">
        <f>'25hike'!C177+IPI_plus!C169</f>
        <v>#REF!</v>
      </c>
      <c r="D177" s="19" t="e">
        <f>'25hike'!D177+IPI_plus!D169</f>
        <v>#REF!</v>
      </c>
      <c r="E177" s="19" t="e">
        <f>'25hike'!E177+IPI_plus!E169</f>
        <v>#REF!</v>
      </c>
      <c r="F177" s="19" t="e">
        <f>'25hike'!F177+IPI_plus!F169</f>
        <v>#REF!</v>
      </c>
      <c r="G177" s="19" t="e">
        <f>'25hike'!G177+IPI_plus!G169</f>
        <v>#REF!</v>
      </c>
    </row>
    <row r="178" spans="1:7" hidden="1" x14ac:dyDescent="0.55000000000000004">
      <c r="A178" s="5">
        <f t="shared" si="8"/>
        <v>43</v>
      </c>
      <c r="B178" s="4">
        <f t="shared" si="9"/>
        <v>0</v>
      </c>
      <c r="C178" s="19" t="e">
        <f>'25hike'!C178+IPI_plus!C170</f>
        <v>#REF!</v>
      </c>
      <c r="D178" s="19" t="e">
        <f>'25hike'!D178+IPI_plus!D170</f>
        <v>#REF!</v>
      </c>
      <c r="E178" s="19" t="e">
        <f>'25hike'!E178+IPI_plus!E170</f>
        <v>#REF!</v>
      </c>
      <c r="F178" s="19" t="e">
        <f>'25hike'!F178+IPI_plus!F170</f>
        <v>#REF!</v>
      </c>
      <c r="G178" s="19" t="e">
        <f>'25hike'!G178+IPI_plus!G170</f>
        <v>#REF!</v>
      </c>
    </row>
    <row r="179" spans="1:7" hidden="1" x14ac:dyDescent="0.55000000000000004">
      <c r="A179" s="5">
        <f t="shared" si="8"/>
        <v>43.25</v>
      </c>
      <c r="B179" s="4">
        <f t="shared" si="9"/>
        <v>0</v>
      </c>
      <c r="C179" s="19" t="e">
        <f>'25hike'!C179+IPI_plus!C171</f>
        <v>#REF!</v>
      </c>
      <c r="D179" s="19" t="e">
        <f>'25hike'!D179+IPI_plus!D171</f>
        <v>#REF!</v>
      </c>
      <c r="E179" s="19" t="e">
        <f>'25hike'!E179+IPI_plus!E171</f>
        <v>#REF!</v>
      </c>
      <c r="F179" s="19" t="e">
        <f>'25hike'!F179+IPI_plus!F171</f>
        <v>#REF!</v>
      </c>
      <c r="G179" s="19" t="e">
        <f>'25hike'!G179+IPI_plus!G171</f>
        <v>#REF!</v>
      </c>
    </row>
    <row r="180" spans="1:7" hidden="1" x14ac:dyDescent="0.55000000000000004">
      <c r="A180" s="5">
        <f t="shared" si="8"/>
        <v>43.5</v>
      </c>
      <c r="B180" s="4">
        <f t="shared" si="9"/>
        <v>0</v>
      </c>
      <c r="C180" s="19" t="e">
        <f>'25hike'!C180+IPI_plus!C172</f>
        <v>#REF!</v>
      </c>
      <c r="D180" s="19" t="e">
        <f>'25hike'!D180+IPI_plus!D172</f>
        <v>#REF!</v>
      </c>
      <c r="E180" s="19" t="e">
        <f>'25hike'!E180+IPI_plus!E172</f>
        <v>#REF!</v>
      </c>
      <c r="F180" s="19" t="e">
        <f>'25hike'!F180+IPI_plus!F172</f>
        <v>#REF!</v>
      </c>
      <c r="G180" s="19" t="e">
        <f>'25hike'!G180+IPI_plus!G172</f>
        <v>#REF!</v>
      </c>
    </row>
    <row r="181" spans="1:7" hidden="1" x14ac:dyDescent="0.55000000000000004">
      <c r="A181" s="5">
        <f t="shared" si="8"/>
        <v>43.75</v>
      </c>
      <c r="B181" s="4">
        <f t="shared" si="9"/>
        <v>0</v>
      </c>
      <c r="C181" s="19" t="e">
        <f>'25hike'!C181+IPI_plus!C173</f>
        <v>#REF!</v>
      </c>
      <c r="D181" s="19" t="e">
        <f>'25hike'!D181+IPI_plus!D173</f>
        <v>#REF!</v>
      </c>
      <c r="E181" s="19" t="e">
        <f>'25hike'!E181+IPI_plus!E173</f>
        <v>#REF!</v>
      </c>
      <c r="F181" s="19" t="e">
        <f>'25hike'!F181+IPI_plus!F173</f>
        <v>#REF!</v>
      </c>
      <c r="G181" s="19" t="e">
        <f>'25hike'!G181+IPI_plus!G173</f>
        <v>#REF!</v>
      </c>
    </row>
    <row r="182" spans="1:7" hidden="1" x14ac:dyDescent="0.55000000000000004">
      <c r="A182" s="5">
        <f t="shared" si="8"/>
        <v>44</v>
      </c>
      <c r="B182" s="4">
        <f t="shared" si="9"/>
        <v>0</v>
      </c>
      <c r="C182" s="19" t="e">
        <f>'25hike'!C182+IPI_plus!C174</f>
        <v>#REF!</v>
      </c>
      <c r="D182" s="19" t="e">
        <f>'25hike'!D182+IPI_plus!D174</f>
        <v>#REF!</v>
      </c>
      <c r="E182" s="19" t="e">
        <f>'25hike'!E182+IPI_plus!E174</f>
        <v>#REF!</v>
      </c>
      <c r="F182" s="19" t="e">
        <f>'25hike'!F182+IPI_plus!F174</f>
        <v>#REF!</v>
      </c>
      <c r="G182" s="19" t="e">
        <f>'25hike'!G182+IPI_plus!G174</f>
        <v>#REF!</v>
      </c>
    </row>
    <row r="183" spans="1:7" hidden="1" x14ac:dyDescent="0.55000000000000004">
      <c r="A183" s="5">
        <f t="shared" si="8"/>
        <v>44.25</v>
      </c>
      <c r="B183" s="4">
        <f t="shared" si="9"/>
        <v>0</v>
      </c>
      <c r="C183" s="19" t="e">
        <f>'25hike'!C183+IPI_plus!C175</f>
        <v>#REF!</v>
      </c>
      <c r="D183" s="19" t="e">
        <f>'25hike'!D183+IPI_plus!D175</f>
        <v>#REF!</v>
      </c>
      <c r="E183" s="19" t="e">
        <f>'25hike'!E183+IPI_plus!E175</f>
        <v>#REF!</v>
      </c>
      <c r="F183" s="19" t="e">
        <f>'25hike'!F183+IPI_plus!F175</f>
        <v>#REF!</v>
      </c>
      <c r="G183" s="19" t="e">
        <f>'25hike'!G183+IPI_plus!G175</f>
        <v>#REF!</v>
      </c>
    </row>
    <row r="184" spans="1:7" hidden="1" x14ac:dyDescent="0.55000000000000004">
      <c r="A184" s="5">
        <f t="shared" si="8"/>
        <v>44.5</v>
      </c>
      <c r="B184" s="4">
        <f t="shared" si="9"/>
        <v>0</v>
      </c>
      <c r="C184" s="19" t="e">
        <f>'25hike'!C184+IPI_plus!C176</f>
        <v>#REF!</v>
      </c>
      <c r="D184" s="19" t="e">
        <f>'25hike'!D184+IPI_plus!D176</f>
        <v>#REF!</v>
      </c>
      <c r="E184" s="19" t="e">
        <f>'25hike'!E184+IPI_plus!E176</f>
        <v>#REF!</v>
      </c>
      <c r="F184" s="19" t="e">
        <f>'25hike'!F184+IPI_plus!F176</f>
        <v>#REF!</v>
      </c>
      <c r="G184" s="19" t="e">
        <f>'25hike'!G184+IPI_plus!G176</f>
        <v>#REF!</v>
      </c>
    </row>
    <row r="185" spans="1:7" hidden="1" x14ac:dyDescent="0.55000000000000004">
      <c r="A185" s="5">
        <f t="shared" si="8"/>
        <v>44.75</v>
      </c>
      <c r="B185" s="4">
        <f t="shared" si="9"/>
        <v>0</v>
      </c>
      <c r="C185" s="19" t="e">
        <f>'25hike'!C185+IPI_plus!C177</f>
        <v>#REF!</v>
      </c>
      <c r="D185" s="19" t="e">
        <f>'25hike'!D185+IPI_plus!D177</f>
        <v>#REF!</v>
      </c>
      <c r="E185" s="19" t="e">
        <f>'25hike'!E185+IPI_plus!E177</f>
        <v>#REF!</v>
      </c>
      <c r="F185" s="19" t="e">
        <f>'25hike'!F185+IPI_plus!F177</f>
        <v>#REF!</v>
      </c>
      <c r="G185" s="19" t="e">
        <f>'25hike'!G185+IPI_plus!G177</f>
        <v>#REF!</v>
      </c>
    </row>
    <row r="186" spans="1:7" hidden="1" x14ac:dyDescent="0.55000000000000004">
      <c r="A186" s="5">
        <f t="shared" si="8"/>
        <v>45</v>
      </c>
      <c r="B186" s="4">
        <f t="shared" si="9"/>
        <v>0</v>
      </c>
      <c r="C186" s="19" t="e">
        <f>'25hike'!C186+IPI_plus!C178</f>
        <v>#REF!</v>
      </c>
      <c r="D186" s="19" t="e">
        <f>'25hike'!D186+IPI_plus!D178</f>
        <v>#REF!</v>
      </c>
      <c r="E186" s="19" t="e">
        <f>'25hike'!E186+IPI_plus!E178</f>
        <v>#REF!</v>
      </c>
      <c r="F186" s="19" t="e">
        <f>'25hike'!F186+IPI_plus!F178</f>
        <v>#REF!</v>
      </c>
      <c r="G186" s="19" t="e">
        <f>'25hike'!G186+IPI_plus!G178</f>
        <v>#REF!</v>
      </c>
    </row>
    <row r="187" spans="1:7" hidden="1" x14ac:dyDescent="0.55000000000000004">
      <c r="A187" s="5">
        <f t="shared" si="8"/>
        <v>45.25</v>
      </c>
      <c r="B187" s="4">
        <f t="shared" si="9"/>
        <v>0</v>
      </c>
      <c r="C187" s="19" t="e">
        <f>'25hike'!C187+IPI_plus!C179</f>
        <v>#REF!</v>
      </c>
      <c r="D187" s="19" t="e">
        <f>'25hike'!D187+IPI_plus!D179</f>
        <v>#REF!</v>
      </c>
      <c r="E187" s="19" t="e">
        <f>'25hike'!E187+IPI_plus!E179</f>
        <v>#REF!</v>
      </c>
      <c r="F187" s="19" t="e">
        <f>'25hike'!F187+IPI_plus!F179</f>
        <v>#REF!</v>
      </c>
      <c r="G187" s="19" t="e">
        <f>'25hike'!G187+IPI_plus!G179</f>
        <v>#REF!</v>
      </c>
    </row>
    <row r="188" spans="1:7" hidden="1" x14ac:dyDescent="0.55000000000000004">
      <c r="A188" s="5">
        <f t="shared" si="8"/>
        <v>45.5</v>
      </c>
      <c r="B188" s="4">
        <f t="shared" si="9"/>
        <v>0</v>
      </c>
      <c r="C188" s="19" t="e">
        <f>'25hike'!C188+IPI_plus!C180</f>
        <v>#REF!</v>
      </c>
      <c r="D188" s="19" t="e">
        <f>'25hike'!D188+IPI_plus!D180</f>
        <v>#REF!</v>
      </c>
      <c r="E188" s="19" t="e">
        <f>'25hike'!E188+IPI_plus!E180</f>
        <v>#REF!</v>
      </c>
      <c r="F188" s="19" t="e">
        <f>'25hike'!F188+IPI_plus!F180</f>
        <v>#REF!</v>
      </c>
      <c r="G188" s="19" t="e">
        <f>'25hike'!G188+IPI_plus!G180</f>
        <v>#REF!</v>
      </c>
    </row>
    <row r="189" spans="1:7" hidden="1" x14ac:dyDescent="0.55000000000000004">
      <c r="A189" s="5">
        <f t="shared" si="8"/>
        <v>45.75</v>
      </c>
      <c r="B189" s="4">
        <f t="shared" si="9"/>
        <v>0</v>
      </c>
      <c r="C189" s="19" t="e">
        <f>'25hike'!C189+IPI_plus!C181</f>
        <v>#REF!</v>
      </c>
      <c r="D189" s="19" t="e">
        <f>'25hike'!D189+IPI_plus!D181</f>
        <v>#REF!</v>
      </c>
      <c r="E189" s="19" t="e">
        <f>'25hike'!E189+IPI_plus!E181</f>
        <v>#REF!</v>
      </c>
      <c r="F189" s="19" t="e">
        <f>'25hike'!F189+IPI_plus!F181</f>
        <v>#REF!</v>
      </c>
      <c r="G189" s="19" t="e">
        <f>'25hike'!G189+IPI_plus!G181</f>
        <v>#REF!</v>
      </c>
    </row>
    <row r="190" spans="1:7" hidden="1" x14ac:dyDescent="0.55000000000000004">
      <c r="A190" s="5">
        <f t="shared" si="8"/>
        <v>46</v>
      </c>
      <c r="B190" s="4">
        <f t="shared" si="9"/>
        <v>0</v>
      </c>
      <c r="C190" s="19" t="e">
        <f>'25hike'!C190+IPI_plus!C182</f>
        <v>#REF!</v>
      </c>
      <c r="D190" s="19" t="e">
        <f>'25hike'!D190+IPI_plus!D182</f>
        <v>#REF!</v>
      </c>
      <c r="E190" s="19" t="e">
        <f>'25hike'!E190+IPI_plus!E182</f>
        <v>#REF!</v>
      </c>
      <c r="F190" s="19" t="e">
        <f>'25hike'!F190+IPI_plus!F182</f>
        <v>#REF!</v>
      </c>
      <c r="G190" s="19" t="e">
        <f>'25hike'!G190+IPI_plus!G182</f>
        <v>#REF!</v>
      </c>
    </row>
    <row r="191" spans="1:7" hidden="1" x14ac:dyDescent="0.55000000000000004">
      <c r="A191" s="5">
        <f t="shared" si="8"/>
        <v>46.25</v>
      </c>
      <c r="B191" s="4">
        <f t="shared" si="9"/>
        <v>0</v>
      </c>
      <c r="C191" s="19" t="e">
        <f>'25hike'!C191+IPI_plus!C183</f>
        <v>#REF!</v>
      </c>
      <c r="D191" s="19" t="e">
        <f>'25hike'!D191+IPI_plus!D183</f>
        <v>#REF!</v>
      </c>
      <c r="E191" s="19" t="e">
        <f>'25hike'!E191+IPI_plus!E183</f>
        <v>#REF!</v>
      </c>
      <c r="F191" s="19" t="e">
        <f>'25hike'!F191+IPI_plus!F183</f>
        <v>#REF!</v>
      </c>
      <c r="G191" s="19" t="e">
        <f>'25hike'!G191+IPI_plus!G183</f>
        <v>#REF!</v>
      </c>
    </row>
    <row r="192" spans="1:7" hidden="1" x14ac:dyDescent="0.55000000000000004">
      <c r="A192" s="5">
        <f t="shared" si="8"/>
        <v>46.5</v>
      </c>
      <c r="B192" s="4">
        <f t="shared" si="9"/>
        <v>0</v>
      </c>
      <c r="C192" s="19" t="e">
        <f>'25hike'!C192+IPI_plus!C184</f>
        <v>#REF!</v>
      </c>
      <c r="D192" s="19" t="e">
        <f>'25hike'!D192+IPI_plus!D184</f>
        <v>#REF!</v>
      </c>
      <c r="E192" s="19" t="e">
        <f>'25hike'!E192+IPI_plus!E184</f>
        <v>#REF!</v>
      </c>
      <c r="F192" s="19" t="e">
        <f>'25hike'!F192+IPI_plus!F184</f>
        <v>#REF!</v>
      </c>
      <c r="G192" s="19" t="e">
        <f>'25hike'!G192+IPI_plus!G184</f>
        <v>#REF!</v>
      </c>
    </row>
    <row r="193" spans="1:7" hidden="1" x14ac:dyDescent="0.55000000000000004">
      <c r="A193" s="5">
        <f t="shared" si="8"/>
        <v>46.75</v>
      </c>
      <c r="B193" s="4">
        <f t="shared" si="9"/>
        <v>0</v>
      </c>
      <c r="C193" s="19" t="e">
        <f>'25hike'!C193+IPI_plus!C185</f>
        <v>#REF!</v>
      </c>
      <c r="D193" s="19" t="e">
        <f>'25hike'!D193+IPI_plus!D185</f>
        <v>#REF!</v>
      </c>
      <c r="E193" s="19" t="e">
        <f>'25hike'!E193+IPI_plus!E185</f>
        <v>#REF!</v>
      </c>
      <c r="F193" s="19" t="e">
        <f>'25hike'!F193+IPI_plus!F185</f>
        <v>#REF!</v>
      </c>
      <c r="G193" s="19" t="e">
        <f>'25hike'!G193+IPI_plus!G185</f>
        <v>#REF!</v>
      </c>
    </row>
    <row r="194" spans="1:7" hidden="1" x14ac:dyDescent="0.55000000000000004">
      <c r="A194" s="5">
        <f t="shared" si="8"/>
        <v>47</v>
      </c>
      <c r="B194" s="4">
        <f t="shared" si="9"/>
        <v>0</v>
      </c>
      <c r="C194" s="19" t="e">
        <f>'25hike'!C194+IPI_plus!C186</f>
        <v>#REF!</v>
      </c>
      <c r="D194" s="19" t="e">
        <f>'25hike'!D194+IPI_plus!D186</f>
        <v>#REF!</v>
      </c>
      <c r="E194" s="19" t="e">
        <f>'25hike'!E194+IPI_plus!E186</f>
        <v>#REF!</v>
      </c>
      <c r="F194" s="19" t="e">
        <f>'25hike'!F194+IPI_plus!F186</f>
        <v>#REF!</v>
      </c>
      <c r="G194" s="19" t="e">
        <f>'25hike'!G194+IPI_plus!G186</f>
        <v>#REF!</v>
      </c>
    </row>
    <row r="195" spans="1:7" hidden="1" x14ac:dyDescent="0.55000000000000004">
      <c r="A195" s="5">
        <f t="shared" si="8"/>
        <v>47.25</v>
      </c>
      <c r="B195" s="4">
        <f t="shared" si="9"/>
        <v>0</v>
      </c>
      <c r="C195" s="19" t="e">
        <f>'25hike'!C195+IPI_plus!C187</f>
        <v>#REF!</v>
      </c>
      <c r="D195" s="19" t="e">
        <f>'25hike'!D195+IPI_plus!D187</f>
        <v>#REF!</v>
      </c>
      <c r="E195" s="19" t="e">
        <f>'25hike'!E195+IPI_plus!E187</f>
        <v>#REF!</v>
      </c>
      <c r="F195" s="19" t="e">
        <f>'25hike'!F195+IPI_plus!F187</f>
        <v>#REF!</v>
      </c>
      <c r="G195" s="19" t="e">
        <f>'25hike'!G195+IPI_plus!G187</f>
        <v>#REF!</v>
      </c>
    </row>
    <row r="196" spans="1:7" hidden="1" x14ac:dyDescent="0.55000000000000004">
      <c r="A196" s="5">
        <f t="shared" ref="A196:A200" si="10">A195+0.25</f>
        <v>47.5</v>
      </c>
      <c r="B196" s="4">
        <f t="shared" ref="B196:B200" si="11">B195</f>
        <v>0</v>
      </c>
      <c r="C196" s="19" t="e">
        <f>'25hike'!C196+IPI_plus!C188</f>
        <v>#REF!</v>
      </c>
      <c r="D196" s="19" t="e">
        <f>'25hike'!D196+IPI_plus!D188</f>
        <v>#REF!</v>
      </c>
      <c r="E196" s="19" t="e">
        <f>'25hike'!E196+IPI_plus!E188</f>
        <v>#REF!</v>
      </c>
      <c r="F196" s="19" t="e">
        <f>'25hike'!F196+IPI_plus!F188</f>
        <v>#REF!</v>
      </c>
      <c r="G196" s="19" t="e">
        <f>'25hike'!G196+IPI_plus!G188</f>
        <v>#REF!</v>
      </c>
    </row>
    <row r="197" spans="1:7" hidden="1" x14ac:dyDescent="0.55000000000000004">
      <c r="A197" s="5">
        <f t="shared" si="10"/>
        <v>47.75</v>
      </c>
      <c r="B197" s="4">
        <f t="shared" si="11"/>
        <v>0</v>
      </c>
      <c r="C197" s="19" t="e">
        <f>'25hike'!C197+IPI_plus!C189</f>
        <v>#REF!</v>
      </c>
      <c r="D197" s="19" t="e">
        <f>'25hike'!D197+IPI_plus!D189</f>
        <v>#REF!</v>
      </c>
      <c r="E197" s="19" t="e">
        <f>'25hike'!E197+IPI_plus!E189</f>
        <v>#REF!</v>
      </c>
      <c r="F197" s="19" t="e">
        <f>'25hike'!F197+IPI_plus!F189</f>
        <v>#REF!</v>
      </c>
      <c r="G197" s="19" t="e">
        <f>'25hike'!G197+IPI_plus!G189</f>
        <v>#REF!</v>
      </c>
    </row>
    <row r="198" spans="1:7" hidden="1" x14ac:dyDescent="0.55000000000000004">
      <c r="A198" s="5">
        <f t="shared" si="10"/>
        <v>48</v>
      </c>
      <c r="B198" s="4">
        <f t="shared" si="11"/>
        <v>0</v>
      </c>
      <c r="C198" s="19" t="e">
        <f>'25hike'!C198+IPI_plus!C190</f>
        <v>#REF!</v>
      </c>
      <c r="D198" s="19" t="e">
        <f>'25hike'!D198+IPI_plus!D190</f>
        <v>#REF!</v>
      </c>
      <c r="E198" s="19" t="e">
        <f>'25hike'!E198+IPI_plus!E190</f>
        <v>#REF!</v>
      </c>
      <c r="F198" s="19" t="e">
        <f>'25hike'!F198+IPI_plus!F190</f>
        <v>#REF!</v>
      </c>
      <c r="G198" s="19" t="e">
        <f>'25hike'!G198+IPI_plus!G190</f>
        <v>#REF!</v>
      </c>
    </row>
    <row r="199" spans="1:7" hidden="1" x14ac:dyDescent="0.55000000000000004">
      <c r="A199" s="5">
        <f t="shared" si="10"/>
        <v>48.25</v>
      </c>
      <c r="B199" s="4">
        <f t="shared" si="11"/>
        <v>0</v>
      </c>
      <c r="C199" s="19" t="e">
        <f>'25hike'!C199+IPI_plus!C191</f>
        <v>#REF!</v>
      </c>
      <c r="D199" s="19" t="e">
        <f>'25hike'!D199+IPI_plus!D191</f>
        <v>#REF!</v>
      </c>
      <c r="E199" s="19" t="e">
        <f>'25hike'!E199+IPI_plus!E191</f>
        <v>#REF!</v>
      </c>
      <c r="F199" s="19" t="e">
        <f>'25hike'!F199+IPI_plus!F191</f>
        <v>#REF!</v>
      </c>
      <c r="G199" s="19" t="e">
        <f>'25hike'!G199+IPI_plus!G191</f>
        <v>#REF!</v>
      </c>
    </row>
    <row r="200" spans="1:7" hidden="1" x14ac:dyDescent="0.55000000000000004">
      <c r="A200" s="5">
        <f t="shared" si="10"/>
        <v>48.5</v>
      </c>
      <c r="B200" s="4">
        <f t="shared" si="11"/>
        <v>0</v>
      </c>
      <c r="C200" s="19" t="e">
        <f>'25hike'!C200+IPI_plus!C192</f>
        <v>#REF!</v>
      </c>
      <c r="D200" s="19" t="e">
        <f>'25hike'!D200+IPI_plus!D192</f>
        <v>#REF!</v>
      </c>
      <c r="E200" s="19" t="e">
        <f>'25hike'!E200+IPI_plus!E192</f>
        <v>#REF!</v>
      </c>
      <c r="F200" s="19" t="e">
        <f>'25hike'!F200+IPI_plus!F192</f>
        <v>#REF!</v>
      </c>
      <c r="G200" s="19" t="e">
        <f>'25hike'!G200+IPI_plus!G192</f>
        <v>#REF!</v>
      </c>
    </row>
  </sheetData>
  <phoneticPr fontId="1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811ED3-4959-49CB-9ABC-DB4DCE0193C9}">
  <sheetPr codeName="Sheet9">
    <tabColor theme="8" tint="0.79998168889431442"/>
  </sheetPr>
  <dimension ref="A1:J200"/>
  <sheetViews>
    <sheetView zoomScaleNormal="100"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N25" sqref="N25"/>
    </sheetView>
  </sheetViews>
  <sheetFormatPr defaultRowHeight="18" x14ac:dyDescent="0.55000000000000004"/>
  <cols>
    <col min="1" max="1" width="8.6640625" style="5"/>
    <col min="2" max="2" width="4.75" style="4" bestFit="1" customWidth="1"/>
    <col min="3" max="7" width="8.6640625" style="14"/>
    <col min="8" max="10" width="8.6640625" style="17"/>
  </cols>
  <sheetData>
    <row r="1" spans="1:10" s="1" customFormat="1" ht="33" x14ac:dyDescent="0.55000000000000004">
      <c r="A1" s="3" t="s">
        <v>15</v>
      </c>
      <c r="B1" s="3" t="s">
        <v>0</v>
      </c>
      <c r="C1" s="13" t="s">
        <v>10</v>
      </c>
      <c r="D1" s="13" t="s">
        <v>11</v>
      </c>
      <c r="E1" s="13" t="s">
        <v>12</v>
      </c>
      <c r="F1" s="13" t="s">
        <v>13</v>
      </c>
      <c r="G1" s="13" t="s">
        <v>14</v>
      </c>
      <c r="H1" s="15" t="s">
        <v>16</v>
      </c>
      <c r="I1" s="15" t="s">
        <v>17</v>
      </c>
      <c r="J1" s="15" t="s">
        <v>18</v>
      </c>
    </row>
    <row r="2" spans="1:10" x14ac:dyDescent="0.55000000000000004">
      <c r="A2" s="5">
        <v>-1</v>
      </c>
      <c r="B2" s="4">
        <v>0</v>
      </c>
      <c r="C2" s="14">
        <f>'25hike'!C2</f>
        <v>0</v>
      </c>
      <c r="D2" s="14">
        <f>'25hike'!D2</f>
        <v>1.5</v>
      </c>
      <c r="E2" s="14">
        <f>'25hike'!E2</f>
        <v>1.5</v>
      </c>
      <c r="F2" s="14">
        <f>'25hike'!F2</f>
        <v>1.5</v>
      </c>
      <c r="G2" s="14">
        <f>'25hike'!G2</f>
        <v>0</v>
      </c>
      <c r="H2" s="16">
        <v>2</v>
      </c>
      <c r="I2" s="16">
        <v>0.5</v>
      </c>
      <c r="J2" s="16">
        <v>-200</v>
      </c>
    </row>
    <row r="3" spans="1:10" ht="18" customHeight="1" x14ac:dyDescent="0.55000000000000004">
      <c r="A3" s="5">
        <f>A2+0.25</f>
        <v>-0.75</v>
      </c>
      <c r="B3" s="4">
        <f>B2</f>
        <v>0</v>
      </c>
      <c r="C3" s="14">
        <f>'25hike'!C3</f>
        <v>3.1117072709414391E-2</v>
      </c>
      <c r="D3" s="14">
        <f>'25hike'!D3</f>
        <v>1.6462433417342477</v>
      </c>
      <c r="E3" s="14">
        <f>'25hike'!E3</f>
        <v>1.610677470400173</v>
      </c>
      <c r="F3" s="14">
        <f>'25hike'!F3</f>
        <v>1.5131619007560824</v>
      </c>
      <c r="G3" s="14">
        <f>'25hike'!G3</f>
        <v>-9.9999999999997789E-6</v>
      </c>
      <c r="H3" s="16">
        <f>H2</f>
        <v>2</v>
      </c>
      <c r="I3" s="16">
        <f>I2</f>
        <v>0.5</v>
      </c>
      <c r="J3" s="16">
        <v>-200</v>
      </c>
    </row>
    <row r="4" spans="1:10" x14ac:dyDescent="0.55000000000000004">
      <c r="A4" s="5">
        <f t="shared" ref="A4:A67" si="0">A3+0.25</f>
        <v>-0.5</v>
      </c>
      <c r="B4" s="4">
        <f t="shared" ref="B4:B67" si="1">B3</f>
        <v>0</v>
      </c>
      <c r="C4" s="14">
        <f>'25hike'!C4</f>
        <v>8.3897235166905282E-2</v>
      </c>
      <c r="D4" s="14">
        <f>'25hike'!D4</f>
        <v>1.7657322218491545</v>
      </c>
      <c r="E4" s="14">
        <f>'25hike'!E4</f>
        <v>1.6866924362564863</v>
      </c>
      <c r="F4" s="14">
        <f>'25hike'!F4</f>
        <v>1.5358932296544587</v>
      </c>
      <c r="G4" s="14">
        <f>'25hike'!G4</f>
        <v>-9.9999999999977494E-6</v>
      </c>
      <c r="H4" s="16">
        <f t="shared" ref="H4:I19" si="2">H3</f>
        <v>2</v>
      </c>
      <c r="I4" s="16">
        <f t="shared" si="2"/>
        <v>0.5</v>
      </c>
      <c r="J4" s="16">
        <v>-200</v>
      </c>
    </row>
    <row r="5" spans="1:10" x14ac:dyDescent="0.55000000000000004">
      <c r="A5" s="5">
        <f t="shared" si="0"/>
        <v>-0.25</v>
      </c>
      <c r="B5" s="4">
        <f t="shared" si="1"/>
        <v>0</v>
      </c>
      <c r="C5" s="14">
        <f>'25hike'!C5</f>
        <v>0.15307479395180196</v>
      </c>
      <c r="D5" s="14">
        <f>'25hike'!D5</f>
        <v>1.8818733517853243</v>
      </c>
      <c r="E5" s="14">
        <f>'25hike'!E5</f>
        <v>1.7513251220551751</v>
      </c>
      <c r="F5" s="14">
        <f>'25hike'!F5</f>
        <v>1.5670314406462367</v>
      </c>
      <c r="G5" s="14">
        <f>'25hike'!G5</f>
        <v>-9.9999999999683675E-6</v>
      </c>
      <c r="H5" s="16">
        <f t="shared" si="2"/>
        <v>2</v>
      </c>
      <c r="I5" s="16">
        <f t="shared" si="2"/>
        <v>0.5</v>
      </c>
      <c r="J5" s="16">
        <v>-200</v>
      </c>
    </row>
    <row r="6" spans="1:10" x14ac:dyDescent="0.55000000000000004">
      <c r="A6" s="5">
        <f t="shared" si="0"/>
        <v>0</v>
      </c>
      <c r="B6" s="4">
        <f t="shared" si="1"/>
        <v>0</v>
      </c>
      <c r="C6" s="14">
        <f>'25hike'!C6</f>
        <v>0.19213376074924216</v>
      </c>
      <c r="D6" s="14">
        <f>'25hike'!D6</f>
        <v>1.9703615215428429</v>
      </c>
      <c r="E6" s="14">
        <f>'25hike'!E6</f>
        <v>1.8098180846363439</v>
      </c>
      <c r="F6" s="14">
        <f>'25hike'!F6</f>
        <v>1.6033311479269312</v>
      </c>
      <c r="G6" s="14">
        <f>'25hike'!G6</f>
        <v>0.24999999999999997</v>
      </c>
      <c r="H6" s="16">
        <f t="shared" si="2"/>
        <v>2</v>
      </c>
      <c r="I6" s="16">
        <f t="shared" si="2"/>
        <v>0.5</v>
      </c>
      <c r="J6" s="16">
        <v>100</v>
      </c>
    </row>
    <row r="7" spans="1:10" x14ac:dyDescent="0.55000000000000004">
      <c r="A7" s="5">
        <f t="shared" si="0"/>
        <v>0.25</v>
      </c>
      <c r="B7" s="4">
        <f t="shared" si="1"/>
        <v>0</v>
      </c>
      <c r="C7" s="19">
        <f>'25hike'!C7+IPI_minus!C2</f>
        <v>0.22468439304038165</v>
      </c>
      <c r="D7" s="19">
        <f>'25hike'!D7+IPI_minus!D2</f>
        <v>1.3209255268300484</v>
      </c>
      <c r="E7" s="19">
        <f>'25hike'!E7+IPI_minus!E2</f>
        <v>1.6413263967302993</v>
      </c>
      <c r="F7" s="19">
        <f>'25hike'!F7+IPI_minus!F2</f>
        <v>1.5779146420282117</v>
      </c>
      <c r="G7" s="19">
        <f>'25hike'!G7+IPI_minus!G2</f>
        <v>3.0654070210329731E-3</v>
      </c>
      <c r="H7" s="16">
        <f t="shared" si="2"/>
        <v>2</v>
      </c>
      <c r="I7" s="16">
        <f t="shared" si="2"/>
        <v>0.5</v>
      </c>
      <c r="J7" s="16">
        <v>-200</v>
      </c>
    </row>
    <row r="8" spans="1:10" x14ac:dyDescent="0.55000000000000004">
      <c r="A8" s="5">
        <f t="shared" si="0"/>
        <v>0.5</v>
      </c>
      <c r="B8" s="4">
        <f t="shared" si="1"/>
        <v>0</v>
      </c>
      <c r="C8" s="19">
        <f>'25hike'!C8+IPI_minus!C3</f>
        <v>0.24673234087754908</v>
      </c>
      <c r="D8" s="19">
        <f>'25hike'!D8+IPI_minus!D3</f>
        <v>1.5623724270649422</v>
      </c>
      <c r="E8" s="19">
        <f>'25hike'!E8+IPI_minus!E3</f>
        <v>1.6438988334045699</v>
      </c>
      <c r="F8" s="19">
        <f>'25hike'!F8+IPI_minus!F3</f>
        <v>1.5765158426815173</v>
      </c>
      <c r="G8" s="19">
        <f>'25hike'!G8+IPI_minus!G3</f>
        <v>0.15107210422482914</v>
      </c>
      <c r="H8" s="16">
        <f t="shared" si="2"/>
        <v>2</v>
      </c>
      <c r="I8" s="16">
        <f t="shared" si="2"/>
        <v>0.5</v>
      </c>
      <c r="J8" s="16">
        <v>-200</v>
      </c>
    </row>
    <row r="9" spans="1:10" x14ac:dyDescent="0.55000000000000004">
      <c r="A9" s="5">
        <f t="shared" si="0"/>
        <v>0.75</v>
      </c>
      <c r="B9" s="4">
        <f t="shared" si="1"/>
        <v>0</v>
      </c>
      <c r="C9" s="19">
        <f>'25hike'!C9+IPI_minus!C4</f>
        <v>0.26416632905123949</v>
      </c>
      <c r="D9" s="19">
        <f>'25hike'!D9+IPI_minus!D4</f>
        <v>1.8288931742156853</v>
      </c>
      <c r="E9" s="19">
        <f>'25hike'!E9+IPI_minus!E4</f>
        <v>1.7495875403713039</v>
      </c>
      <c r="F9" s="19">
        <f>'25hike'!F9+IPI_minus!F4</f>
        <v>1.5992298025195926</v>
      </c>
      <c r="G9" s="19">
        <f>'25hike'!G9+IPI_minus!G4</f>
        <v>0.23313701640321874</v>
      </c>
      <c r="H9" s="16">
        <f t="shared" si="2"/>
        <v>2</v>
      </c>
      <c r="I9" s="16">
        <f t="shared" si="2"/>
        <v>0.5</v>
      </c>
      <c r="J9" s="16">
        <v>-200</v>
      </c>
    </row>
    <row r="10" spans="1:10" x14ac:dyDescent="0.55000000000000004">
      <c r="A10" s="5">
        <f t="shared" si="0"/>
        <v>1</v>
      </c>
      <c r="B10" s="4">
        <f t="shared" si="1"/>
        <v>0</v>
      </c>
      <c r="C10" s="19">
        <f>'25hike'!C10+IPI_minus!C5</f>
        <v>0.27897277730489284</v>
      </c>
      <c r="D10" s="19">
        <f>'25hike'!D10+IPI_minus!D5</f>
        <v>1.9971477995417157</v>
      </c>
      <c r="E10" s="19">
        <f>'25hike'!E10+IPI_minus!E5</f>
        <v>1.8318834457345783</v>
      </c>
      <c r="F10" s="19">
        <f>'25hike'!F10+IPI_minus!F5</f>
        <v>1.6350424222515836</v>
      </c>
      <c r="G10" s="19">
        <f>'25hike'!G10+IPI_minus!G5</f>
        <v>0.283864357392282</v>
      </c>
      <c r="H10" s="16">
        <f t="shared" si="2"/>
        <v>2</v>
      </c>
      <c r="I10" s="16">
        <f t="shared" si="2"/>
        <v>0.5</v>
      </c>
      <c r="J10" s="16">
        <v>-200</v>
      </c>
    </row>
    <row r="11" spans="1:10" x14ac:dyDescent="0.55000000000000004">
      <c r="A11" s="5">
        <f t="shared" si="0"/>
        <v>1.25</v>
      </c>
      <c r="B11" s="4">
        <f t="shared" si="1"/>
        <v>0</v>
      </c>
      <c r="C11" s="19">
        <f>'25hike'!C11+IPI_minus!C6</f>
        <v>0.26788651896762017</v>
      </c>
      <c r="D11" s="19">
        <f>'25hike'!D11+IPI_minus!D6</f>
        <v>2.0751100845377728</v>
      </c>
      <c r="E11" s="19">
        <f>'25hike'!E11+IPI_minus!E6</f>
        <v>1.8805034931074109</v>
      </c>
      <c r="F11" s="19">
        <f>'25hike'!F11+IPI_minus!F6</f>
        <v>1.6746485118573406</v>
      </c>
      <c r="G11" s="19">
        <f>'25hike'!G11+IPI_minus!G6</f>
        <v>0.45474412829806121</v>
      </c>
      <c r="H11" s="16">
        <f t="shared" si="2"/>
        <v>2</v>
      </c>
      <c r="I11" s="16">
        <f t="shared" si="2"/>
        <v>0.5</v>
      </c>
      <c r="J11" s="16">
        <v>-200</v>
      </c>
    </row>
    <row r="12" spans="1:10" x14ac:dyDescent="0.55000000000000004">
      <c r="A12" s="5">
        <f t="shared" si="0"/>
        <v>1.5</v>
      </c>
      <c r="B12" s="4">
        <f t="shared" si="1"/>
        <v>0</v>
      </c>
      <c r="C12" s="19">
        <f>'25hike'!C12+IPI_minus!C7</f>
        <v>0.23587928482101217</v>
      </c>
      <c r="D12" s="19">
        <f>'25hike'!D12+IPI_minus!D7</f>
        <v>2.0939746293639665</v>
      </c>
      <c r="E12" s="19">
        <f>'25hike'!E12+IPI_minus!E7</f>
        <v>1.904682976170976</v>
      </c>
      <c r="F12" s="19">
        <f>'25hike'!F12+IPI_minus!F7</f>
        <v>1.7123878624329367</v>
      </c>
      <c r="G12" s="19">
        <f>'25hike'!G12+IPI_minus!G7</f>
        <v>0.53374543315575573</v>
      </c>
      <c r="H12" s="16">
        <f t="shared" si="2"/>
        <v>2</v>
      </c>
      <c r="I12" s="16">
        <f t="shared" si="2"/>
        <v>0.5</v>
      </c>
      <c r="J12" s="16">
        <v>-200</v>
      </c>
    </row>
    <row r="13" spans="1:10" x14ac:dyDescent="0.55000000000000004">
      <c r="A13" s="5">
        <f t="shared" si="0"/>
        <v>1.75</v>
      </c>
      <c r="B13" s="4">
        <f t="shared" si="1"/>
        <v>0</v>
      </c>
      <c r="C13" s="19">
        <f>'25hike'!C13+IPI_minus!C8</f>
        <v>0.19597949276400484</v>
      </c>
      <c r="D13" s="19">
        <f>'25hike'!D13+IPI_minus!D8</f>
        <v>2.0827282919571499</v>
      </c>
      <c r="E13" s="19">
        <f>'25hike'!E13+IPI_minus!E8</f>
        <v>1.9151982706992607</v>
      </c>
      <c r="F13" s="19">
        <f>'25hike'!F13+IPI_minus!F8</f>
        <v>1.7457185010901162</v>
      </c>
      <c r="G13" s="19">
        <f>'25hike'!G13+IPI_minus!G8</f>
        <v>0.54404904084351402</v>
      </c>
      <c r="H13" s="16">
        <f t="shared" si="2"/>
        <v>2</v>
      </c>
      <c r="I13" s="16">
        <f t="shared" si="2"/>
        <v>0.5</v>
      </c>
      <c r="J13" s="16">
        <v>-200</v>
      </c>
    </row>
    <row r="14" spans="1:10" x14ac:dyDescent="0.55000000000000004">
      <c r="A14" s="5">
        <f t="shared" si="0"/>
        <v>2</v>
      </c>
      <c r="B14" s="4">
        <f t="shared" si="1"/>
        <v>0</v>
      </c>
      <c r="C14" s="19">
        <f>'25hike'!C14+IPI_minus!C9</f>
        <v>0.15898595463673526</v>
      </c>
      <c r="D14" s="19">
        <f>'25hike'!D14+IPI_minus!D9</f>
        <v>2.061901411596609</v>
      </c>
      <c r="E14" s="19">
        <f>'25hike'!E14+IPI_minus!E9</f>
        <v>1.9200850536235183</v>
      </c>
      <c r="F14" s="19">
        <f>'25hike'!F14+IPI_minus!F9</f>
        <v>1.7741749630357002</v>
      </c>
      <c r="G14" s="19">
        <f>'25hike'!G14+IPI_minus!G9</f>
        <v>0.51973857189515371</v>
      </c>
      <c r="H14" s="16">
        <f t="shared" si="2"/>
        <v>2</v>
      </c>
      <c r="I14" s="16">
        <f t="shared" si="2"/>
        <v>0.5</v>
      </c>
      <c r="J14" s="16">
        <v>-200</v>
      </c>
    </row>
    <row r="15" spans="1:10" x14ac:dyDescent="0.55000000000000004">
      <c r="A15" s="5">
        <f t="shared" si="0"/>
        <v>2.25</v>
      </c>
      <c r="B15" s="4">
        <f t="shared" si="1"/>
        <v>0</v>
      </c>
      <c r="C15" s="19">
        <f>'25hike'!C15+IPI_minus!C10</f>
        <v>0.13025510608844248</v>
      </c>
      <c r="D15" s="19">
        <f>'25hike'!D15+IPI_minus!D10</f>
        <v>2.0429936125027144</v>
      </c>
      <c r="E15" s="19">
        <f>'25hike'!E15+IPI_minus!E10</f>
        <v>1.9240251777190338</v>
      </c>
      <c r="F15" s="19">
        <f>'25hike'!F15+IPI_minus!F10</f>
        <v>1.7983686414877316</v>
      </c>
      <c r="G15" s="19">
        <f>'25hike'!G15+IPI_minus!G10</f>
        <v>0.48838636505355276</v>
      </c>
      <c r="H15" s="16">
        <f t="shared" si="2"/>
        <v>2</v>
      </c>
      <c r="I15" s="16">
        <f t="shared" si="2"/>
        <v>0.5</v>
      </c>
      <c r="J15" s="16">
        <v>-200</v>
      </c>
    </row>
    <row r="16" spans="1:10" x14ac:dyDescent="0.55000000000000004">
      <c r="A16" s="5">
        <f t="shared" si="0"/>
        <v>2.5</v>
      </c>
      <c r="B16" s="4">
        <f t="shared" si="1"/>
        <v>0</v>
      </c>
      <c r="C16" s="19">
        <f>'25hike'!C16+IPI_minus!C11</f>
        <v>0.11039861744460239</v>
      </c>
      <c r="D16" s="19">
        <f>'25hike'!D16+IPI_minus!D11</f>
        <v>2.0303364213771102</v>
      </c>
      <c r="E16" s="19">
        <f>'25hike'!E16+IPI_minus!E11</f>
        <v>1.928964012528583</v>
      </c>
      <c r="F16" s="19">
        <f>'25hike'!F16+IPI_minus!F11</f>
        <v>1.8192457416777759</v>
      </c>
      <c r="G16" s="19">
        <f>'25hike'!G16+IPI_minus!G11</f>
        <v>0.46530048145898567</v>
      </c>
      <c r="H16" s="16">
        <f t="shared" si="2"/>
        <v>2</v>
      </c>
      <c r="I16" s="16">
        <f t="shared" si="2"/>
        <v>0.5</v>
      </c>
      <c r="J16" s="16">
        <v>-200</v>
      </c>
    </row>
    <row r="17" spans="1:10" x14ac:dyDescent="0.55000000000000004">
      <c r="A17" s="5">
        <f t="shared" si="0"/>
        <v>2.75</v>
      </c>
      <c r="B17" s="4">
        <f t="shared" si="1"/>
        <v>0</v>
      </c>
      <c r="C17" s="19">
        <f>'25hike'!C17+IPI_minus!C12</f>
        <v>9.7368128153493133E-2</v>
      </c>
      <c r="D17" s="19">
        <f>'25hike'!D17+IPI_minus!D12</f>
        <v>2.0238227240534075</v>
      </c>
      <c r="E17" s="19">
        <f>'25hike'!E17+IPI_minus!E12</f>
        <v>1.9351138033819719</v>
      </c>
      <c r="F17" s="19">
        <f>'25hike'!F17+IPI_minus!F12</f>
        <v>1.8376576700915825</v>
      </c>
      <c r="G17" s="19">
        <f>'25hike'!G17+IPI_minus!G12</f>
        <v>0.45493325089141295</v>
      </c>
      <c r="H17" s="16">
        <f t="shared" si="2"/>
        <v>2</v>
      </c>
      <c r="I17" s="16">
        <f t="shared" si="2"/>
        <v>0.5</v>
      </c>
      <c r="J17" s="16">
        <v>-200</v>
      </c>
    </row>
    <row r="18" spans="1:10" x14ac:dyDescent="0.55000000000000004">
      <c r="A18" s="5">
        <f t="shared" si="0"/>
        <v>3</v>
      </c>
      <c r="B18" s="4">
        <f t="shared" si="1"/>
        <v>0</v>
      </c>
      <c r="C18" s="19">
        <f>'25hike'!C18+IPI_minus!C13</f>
        <v>8.8406572247935078E-2</v>
      </c>
      <c r="D18" s="19">
        <f>'25hike'!D18+IPI_minus!D13</f>
        <v>2.0214173137048972</v>
      </c>
      <c r="E18" s="19">
        <f>'25hike'!E18+IPI_minus!E13</f>
        <v>1.9418948603927413</v>
      </c>
      <c r="F18" s="19">
        <f>'25hike'!F18+IPI_minus!F13</f>
        <v>1.8541960380167808</v>
      </c>
      <c r="G18" s="19">
        <f>'25hike'!G18+IPI_minus!G13</f>
        <v>0.45512761329380669</v>
      </c>
      <c r="H18" s="16">
        <f t="shared" si="2"/>
        <v>2</v>
      </c>
      <c r="I18" s="16">
        <f t="shared" si="2"/>
        <v>0.5</v>
      </c>
      <c r="J18" s="16">
        <v>-200</v>
      </c>
    </row>
    <row r="19" spans="1:10" x14ac:dyDescent="0.55000000000000004">
      <c r="A19" s="5">
        <f t="shared" si="0"/>
        <v>3.25</v>
      </c>
      <c r="B19" s="4">
        <f t="shared" si="1"/>
        <v>0</v>
      </c>
      <c r="C19" s="19">
        <f>'25hike'!C19+IPI_minus!C14</f>
        <v>8.1249641864073047E-2</v>
      </c>
      <c r="D19" s="19">
        <f>'25hike'!D19+IPI_minus!D14</f>
        <v>2.0208807966387252</v>
      </c>
      <c r="E19" s="19">
        <f>'25hike'!E19+IPI_minus!E14</f>
        <v>1.9485940565118161</v>
      </c>
      <c r="F19" s="19">
        <f>'25hike'!F19+IPI_minus!F14</f>
        <v>1.8691976662927561</v>
      </c>
      <c r="G19" s="19">
        <f>'25hike'!G19+IPI_minus!G14</f>
        <v>0.46129675983040147</v>
      </c>
      <c r="H19" s="16">
        <f t="shared" si="2"/>
        <v>2</v>
      </c>
      <c r="I19" s="16">
        <f t="shared" si="2"/>
        <v>0.5</v>
      </c>
      <c r="J19" s="16">
        <v>-200</v>
      </c>
    </row>
    <row r="20" spans="1:10" x14ac:dyDescent="0.55000000000000004">
      <c r="A20" s="5">
        <f t="shared" si="0"/>
        <v>3.5</v>
      </c>
      <c r="B20" s="4">
        <f t="shared" si="1"/>
        <v>0</v>
      </c>
      <c r="C20" s="19">
        <f>'25hike'!C20+IPI_minus!C15</f>
        <v>7.4557088075253949E-2</v>
      </c>
      <c r="D20" s="19">
        <f>'25hike'!D20+IPI_minus!D15</f>
        <v>2.0206181920187447</v>
      </c>
      <c r="E20" s="19">
        <f>'25hike'!E20+IPI_minus!E15</f>
        <v>1.9547007079965297</v>
      </c>
      <c r="F20" s="19">
        <f>'25hike'!F20+IPI_minus!F15</f>
        <v>1.8828255136080949</v>
      </c>
      <c r="G20" s="19">
        <f>'25hike'!G20+IPI_minus!G15</f>
        <v>0.46920363844180679</v>
      </c>
      <c r="H20" s="16">
        <f t="shared" ref="H20:I35" si="3">H19</f>
        <v>2</v>
      </c>
      <c r="I20" s="16">
        <f t="shared" si="3"/>
        <v>0.5</v>
      </c>
      <c r="J20" s="16">
        <v>-200</v>
      </c>
    </row>
    <row r="21" spans="1:10" x14ac:dyDescent="0.55000000000000004">
      <c r="A21" s="5">
        <f t="shared" si="0"/>
        <v>3.75</v>
      </c>
      <c r="B21" s="4">
        <f t="shared" si="1"/>
        <v>0</v>
      </c>
      <c r="C21" s="19">
        <f>'25hike'!C21+IPI_minus!C16</f>
        <v>6.7827489515417241E-2</v>
      </c>
      <c r="D21" s="19">
        <f>'25hike'!D21+IPI_minus!D16</f>
        <v>2.0198593041123925</v>
      </c>
      <c r="E21" s="19">
        <f>'25hike'!E21+IPI_minus!E16</f>
        <v>1.9599910525196307</v>
      </c>
      <c r="F21" s="19">
        <f>'25hike'!F21+IPI_minus!F16</f>
        <v>1.8951585547534817</v>
      </c>
      <c r="G21" s="19">
        <f>'25hike'!G21+IPI_minus!G16</f>
        <v>0.47616858001614032</v>
      </c>
      <c r="H21" s="16">
        <f t="shared" si="3"/>
        <v>2</v>
      </c>
      <c r="I21" s="16">
        <f t="shared" si="3"/>
        <v>0.5</v>
      </c>
      <c r="J21" s="16">
        <v>-200</v>
      </c>
    </row>
    <row r="22" spans="1:10" x14ac:dyDescent="0.55000000000000004">
      <c r="A22" s="5">
        <f t="shared" si="0"/>
        <v>4</v>
      </c>
      <c r="B22" s="4">
        <f t="shared" si="1"/>
        <v>0</v>
      </c>
      <c r="C22" s="19">
        <f>'25hike'!C22+IPI_minus!C17</f>
        <v>6.1090677102048088E-2</v>
      </c>
      <c r="D22" s="19">
        <f>'25hike'!D22+IPI_minus!D17</f>
        <v>2.0184717012430009</v>
      </c>
      <c r="E22" s="19">
        <f>'25hike'!E22+IPI_minus!E17</f>
        <v>1.9644702871491733</v>
      </c>
      <c r="F22" s="19">
        <f>'25hike'!F22+IPI_minus!F17</f>
        <v>1.9062567379375384</v>
      </c>
      <c r="G22" s="19">
        <f>'25hike'!G22+IPI_minus!G17</f>
        <v>0.48113600321225286</v>
      </c>
      <c r="H22" s="16">
        <f t="shared" si="3"/>
        <v>2</v>
      </c>
      <c r="I22" s="16">
        <f t="shared" si="3"/>
        <v>0.5</v>
      </c>
      <c r="J22" s="16">
        <v>-200</v>
      </c>
    </row>
    <row r="23" spans="1:10" x14ac:dyDescent="0.55000000000000004">
      <c r="A23" s="5">
        <f t="shared" si="0"/>
        <v>4.25</v>
      </c>
      <c r="B23" s="4">
        <f t="shared" si="1"/>
        <v>0</v>
      </c>
      <c r="C23" s="19">
        <f>'25hike'!C23+IPI_minus!C18</f>
        <v>5.4592477336137951E-2</v>
      </c>
      <c r="D23" s="19">
        <f>'25hike'!D23+IPI_minus!D18</f>
        <v>2.0166630445298441</v>
      </c>
      <c r="E23" s="19">
        <f>'25hike'!E23+IPI_minus!E18</f>
        <v>1.9682675615612408</v>
      </c>
      <c r="F23" s="19">
        <f>'25hike'!F23+IPI_minus!F18</f>
        <v>1.916193305530846</v>
      </c>
      <c r="G23" s="19">
        <f>'25hike'!G23+IPI_minus!G18</f>
        <v>0.48417650633701925</v>
      </c>
      <c r="H23" s="16">
        <f t="shared" si="3"/>
        <v>2</v>
      </c>
      <c r="I23" s="16">
        <f t="shared" si="3"/>
        <v>0.5</v>
      </c>
      <c r="J23" s="16">
        <v>-200</v>
      </c>
    </row>
    <row r="24" spans="1:10" x14ac:dyDescent="0.55000000000000004">
      <c r="A24" s="5">
        <f t="shared" si="0"/>
        <v>4.5</v>
      </c>
      <c r="B24" s="4">
        <f t="shared" si="1"/>
        <v>0</v>
      </c>
      <c r="C24" s="19">
        <f>'25hike'!C24+IPI_minus!C19</f>
        <v>4.8577433235488063E-2</v>
      </c>
      <c r="D24" s="19">
        <f>'25hike'!D24+IPI_minus!D19</f>
        <v>2.0147287166359367</v>
      </c>
      <c r="E24" s="19">
        <f>'25hike'!E24+IPI_minus!E19</f>
        <v>1.9715435619224089</v>
      </c>
      <c r="F24" s="19">
        <f>'25hike'!F24+IPI_minus!F19</f>
        <v>1.9250614925303042</v>
      </c>
      <c r="G24" s="19">
        <f>'25hike'!G24+IPI_minus!G19</f>
        <v>0.48588224492925963</v>
      </c>
      <c r="H24" s="16">
        <f t="shared" si="3"/>
        <v>2</v>
      </c>
      <c r="I24" s="16">
        <f t="shared" si="3"/>
        <v>0.5</v>
      </c>
      <c r="J24" s="16">
        <v>-200</v>
      </c>
    </row>
    <row r="25" spans="1:10" x14ac:dyDescent="0.55000000000000004">
      <c r="A25" s="5">
        <f t="shared" si="0"/>
        <v>4.75</v>
      </c>
      <c r="B25" s="4">
        <f t="shared" si="1"/>
        <v>0</v>
      </c>
      <c r="C25" s="19">
        <f>'25hike'!C25+IPI_minus!C20</f>
        <v>4.3188354302667681E-2</v>
      </c>
      <c r="D25" s="19">
        <f>'25hike'!D25+IPI_minus!D20</f>
        <v>2.0129034989083081</v>
      </c>
      <c r="E25" s="19">
        <f>'25hike'!E25+IPI_minus!E20</f>
        <v>1.9744345217121402</v>
      </c>
      <c r="F25" s="19">
        <f>'25hike'!F25+IPI_minus!F20</f>
        <v>1.9329672731043246</v>
      </c>
      <c r="G25" s="19">
        <f>'25hike'!G25+IPI_minus!G20</f>
        <v>0.48690829558421461</v>
      </c>
      <c r="H25" s="16">
        <f t="shared" si="3"/>
        <v>2</v>
      </c>
      <c r="I25" s="16">
        <f t="shared" si="3"/>
        <v>0.5</v>
      </c>
      <c r="J25" s="16">
        <v>-200</v>
      </c>
    </row>
    <row r="26" spans="1:10" x14ac:dyDescent="0.55000000000000004">
      <c r="A26" s="5">
        <f t="shared" si="0"/>
        <v>5</v>
      </c>
      <c r="B26" s="4">
        <f t="shared" si="1"/>
        <v>0</v>
      </c>
      <c r="C26" s="19">
        <f>'25hike'!C26+IPI_minus!C21</f>
        <v>3.8453841468072888E-2</v>
      </c>
      <c r="D26" s="19">
        <f>'25hike'!D26+IPI_minus!D21</f>
        <v>2.0113110617163574</v>
      </c>
      <c r="E26" s="19">
        <f>'25hike'!E26+IPI_minus!E21</f>
        <v>1.9770320605191618</v>
      </c>
      <c r="F26" s="19">
        <f>'25hike'!F26+IPI_minus!F21</f>
        <v>1.9400182140794073</v>
      </c>
      <c r="G26" s="19">
        <f>'25hike'!G26+IPI_minus!G21</f>
        <v>0.48773277910459495</v>
      </c>
      <c r="H26" s="16">
        <f t="shared" si="3"/>
        <v>2</v>
      </c>
      <c r="I26" s="16">
        <f t="shared" si="3"/>
        <v>0.5</v>
      </c>
      <c r="J26" s="16">
        <v>-200</v>
      </c>
    </row>
    <row r="27" spans="1:10" x14ac:dyDescent="0.55000000000000004">
      <c r="A27" s="5">
        <f t="shared" si="0"/>
        <v>5.25</v>
      </c>
      <c r="B27" s="4">
        <f t="shared" si="1"/>
        <v>0</v>
      </c>
      <c r="C27" s="19">
        <f>'25hike'!C27+IPI_minus!C22</f>
        <v>3.4321525003593409E-2</v>
      </c>
      <c r="D27" s="19">
        <f>'25hike'!D27+IPI_minus!D22</f>
        <v>2.0099765253113828</v>
      </c>
      <c r="E27" s="19">
        <f>'25hike'!E27+IPI_minus!E22</f>
        <v>1.9793867058383368</v>
      </c>
      <c r="F27" s="19">
        <f>'25hike'!F27+IPI_minus!F22</f>
        <v>1.9463144620902852</v>
      </c>
      <c r="G27" s="19">
        <f>'25hike'!G27+IPI_minus!G22</f>
        <v>0.48859931892326502</v>
      </c>
      <c r="H27" s="16">
        <f t="shared" si="3"/>
        <v>2</v>
      </c>
      <c r="I27" s="16">
        <f t="shared" si="3"/>
        <v>0.5</v>
      </c>
      <c r="J27" s="16">
        <v>-200</v>
      </c>
    </row>
    <row r="28" spans="1:10" x14ac:dyDescent="0.55000000000000004">
      <c r="A28" s="5">
        <f t="shared" si="0"/>
        <v>5.5</v>
      </c>
      <c r="B28" s="4">
        <f t="shared" si="1"/>
        <v>0</v>
      </c>
      <c r="C28" s="19">
        <f>'25hike'!C28+IPI_minus!C23</f>
        <v>3.0702035956559164E-2</v>
      </c>
      <c r="D28" s="19">
        <f>'25hike'!D28+IPI_minus!D23</f>
        <v>2.0088647077490038</v>
      </c>
      <c r="E28" s="19">
        <f>'25hike'!E28+IPI_minus!E23</f>
        <v>1.9815218008635174</v>
      </c>
      <c r="F28" s="19">
        <f>'25hike'!F28+IPI_minus!F23</f>
        <v>1.9519439841995698</v>
      </c>
      <c r="G28" s="19">
        <f>'25hike'!G28+IPI_minus!G23</f>
        <v>0.48956497956614936</v>
      </c>
      <c r="H28" s="16">
        <f t="shared" si="3"/>
        <v>2</v>
      </c>
      <c r="I28" s="16">
        <f t="shared" si="3"/>
        <v>0.5</v>
      </c>
      <c r="J28" s="16">
        <v>-200</v>
      </c>
    </row>
    <row r="29" spans="1:10" x14ac:dyDescent="0.55000000000000004">
      <c r="A29" s="5">
        <f t="shared" si="0"/>
        <v>5.75</v>
      </c>
      <c r="B29" s="4">
        <f t="shared" si="1"/>
        <v>0</v>
      </c>
      <c r="C29" s="19">
        <f>'25hike'!C29+IPI_minus!C24</f>
        <v>2.7503630707036285E-2</v>
      </c>
      <c r="D29" s="19">
        <f>'25hike'!D29+IPI_minus!D24</f>
        <v>2.0079183739511919</v>
      </c>
      <c r="E29" s="19">
        <f>'25hike'!E29+IPI_minus!E24</f>
        <v>1.983447601323604</v>
      </c>
      <c r="F29" s="19">
        <f>'25hike'!F29+IPI_minus!F24</f>
        <v>1.9569816792772159</v>
      </c>
      <c r="G29" s="19">
        <f>'25hike'!G29+IPI_minus!G24</f>
        <v>0.49058305232283428</v>
      </c>
      <c r="H29" s="16">
        <f t="shared" si="3"/>
        <v>2</v>
      </c>
      <c r="I29" s="16">
        <f t="shared" si="3"/>
        <v>0.5</v>
      </c>
      <c r="J29" s="16">
        <v>-200</v>
      </c>
    </row>
    <row r="30" spans="1:10" x14ac:dyDescent="0.55000000000000004">
      <c r="A30" s="5">
        <f t="shared" si="0"/>
        <v>6</v>
      </c>
      <c r="B30" s="4">
        <f t="shared" si="1"/>
        <v>0</v>
      </c>
      <c r="C30" s="19">
        <f>'25hike'!C30+IPI_minus!C25</f>
        <v>2.4650878162126615E-2</v>
      </c>
      <c r="D30" s="19">
        <f>'25hike'!D30+IPI_minus!D25</f>
        <v>2.0070832605299875</v>
      </c>
      <c r="E30" s="19">
        <f>'25hike'!E30+IPI_minus!E25</f>
        <v>1.9851714223251156</v>
      </c>
      <c r="F30" s="19">
        <f>'25hike'!F30+IPI_minus!F25</f>
        <v>1.9614908215899653</v>
      </c>
      <c r="G30" s="19">
        <f>'25hike'!G30+IPI_minus!G25</f>
        <v>0.49157505263164336</v>
      </c>
      <c r="H30" s="16">
        <f t="shared" si="3"/>
        <v>2</v>
      </c>
      <c r="I30" s="16">
        <f t="shared" si="3"/>
        <v>0.5</v>
      </c>
      <c r="J30" s="16">
        <v>-200</v>
      </c>
    </row>
    <row r="31" spans="1:10" x14ac:dyDescent="0.55000000000000004">
      <c r="A31" s="5">
        <f t="shared" si="0"/>
        <v>6.25</v>
      </c>
      <c r="B31" s="4">
        <f t="shared" si="1"/>
        <v>0</v>
      </c>
      <c r="C31" s="19">
        <f>'25hike'!C31+IPI_minus!C26</f>
        <v>2.2089628444457547E-2</v>
      </c>
      <c r="D31" s="19">
        <f>'25hike'!D31+IPI_minus!D26</f>
        <v>2.0063195876729023</v>
      </c>
      <c r="E31" s="19">
        <f>'25hike'!E31+IPI_minus!E26</f>
        <v>1.9867015548583642</v>
      </c>
      <c r="F31" s="19">
        <f>'25hike'!F31+IPI_minus!F26</f>
        <v>1.9655254105374298</v>
      </c>
      <c r="G31" s="19">
        <f>'25hike'!G31+IPI_minus!G26</f>
        <v>0.49247473832717747</v>
      </c>
      <c r="H31" s="16">
        <f t="shared" si="3"/>
        <v>2</v>
      </c>
      <c r="I31" s="16">
        <f t="shared" si="3"/>
        <v>0.5</v>
      </c>
      <c r="J31" s="16">
        <v>-200</v>
      </c>
    </row>
    <row r="32" spans="1:10" x14ac:dyDescent="0.55000000000000004">
      <c r="A32" s="5">
        <f t="shared" si="0"/>
        <v>6.5</v>
      </c>
      <c r="B32" s="4">
        <f t="shared" si="1"/>
        <v>0</v>
      </c>
      <c r="C32" s="19">
        <f>'25hike'!C32+IPI_minus!C27</f>
        <v>1.9783502713048559E-2</v>
      </c>
      <c r="D32" s="19">
        <f>'25hike'!D32+IPI_minus!D27</f>
        <v>2.005600947466065</v>
      </c>
      <c r="E32" s="19">
        <f>'25hike'!E32+IPI_minus!E27</f>
        <v>1.9880486738927399</v>
      </c>
      <c r="F32" s="19">
        <f>'25hike'!F32+IPI_minus!F27</f>
        <v>1.969132208861007</v>
      </c>
      <c r="G32" s="19">
        <f>'25hike'!G32+IPI_minus!G27</f>
        <v>0.49324287592717503</v>
      </c>
      <c r="H32" s="16">
        <f t="shared" si="3"/>
        <v>2</v>
      </c>
      <c r="I32" s="16">
        <f t="shared" si="3"/>
        <v>0.5</v>
      </c>
      <c r="J32" s="16">
        <v>-200</v>
      </c>
    </row>
    <row r="33" spans="1:10" x14ac:dyDescent="0.55000000000000004">
      <c r="A33" s="5">
        <f t="shared" si="0"/>
        <v>6.75</v>
      </c>
      <c r="B33" s="4">
        <f t="shared" si="1"/>
        <v>0</v>
      </c>
      <c r="C33" s="19">
        <f>'25hike'!C33+IPI_minus!C28</f>
        <v>1.770771951033661E-2</v>
      </c>
      <c r="D33" s="19">
        <f>'25hike'!D33+IPI_minus!D28</f>
        <v>2.0049110930944267</v>
      </c>
      <c r="E33" s="19">
        <f>'25hike'!E33+IPI_minus!E28</f>
        <v>1.989221904015009</v>
      </c>
      <c r="F33" s="19">
        <f>'25hike'!F33+IPI_minus!F28</f>
        <v>1.9723523084420147</v>
      </c>
      <c r="G33" s="19">
        <f>'25hike'!G33+IPI_minus!G28</f>
        <v>0.49386537808194464</v>
      </c>
      <c r="H33" s="16">
        <f t="shared" si="3"/>
        <v>2</v>
      </c>
      <c r="I33" s="16">
        <f t="shared" si="3"/>
        <v>0.5</v>
      </c>
      <c r="J33" s="16">
        <v>-200</v>
      </c>
    </row>
    <row r="34" spans="1:10" x14ac:dyDescent="0.55000000000000004">
      <c r="A34" s="5">
        <f t="shared" si="0"/>
        <v>7</v>
      </c>
      <c r="B34" s="4">
        <f t="shared" si="1"/>
        <v>0</v>
      </c>
      <c r="C34" s="19">
        <f>'25hike'!C34+IPI_minus!C29</f>
        <v>1.584288878688685E-2</v>
      </c>
      <c r="D34" s="19">
        <f>'25hike'!D34+IPI_minus!D29</f>
        <v>2.0042327715578696</v>
      </c>
      <c r="E34" s="19">
        <f>'25hike'!E34+IPI_minus!E29</f>
        <v>1.9902296760216343</v>
      </c>
      <c r="F34" s="19">
        <f>'25hike'!F34+IPI_minus!F29</f>
        <v>1.9752215501224417</v>
      </c>
      <c r="G34" s="19">
        <f>'25hike'!G34+IPI_minus!G29</f>
        <v>0.4943388308342056</v>
      </c>
      <c r="H34" s="16">
        <f t="shared" si="3"/>
        <v>2</v>
      </c>
      <c r="I34" s="16">
        <f t="shared" si="3"/>
        <v>0.5</v>
      </c>
      <c r="J34" s="16">
        <v>-200</v>
      </c>
    </row>
    <row r="35" spans="1:10" x14ac:dyDescent="0.55000000000000004">
      <c r="A35" s="5">
        <f t="shared" si="0"/>
        <v>7.25</v>
      </c>
      <c r="B35" s="4">
        <f t="shared" si="1"/>
        <v>0</v>
      </c>
      <c r="C35" s="19">
        <f>'25hike'!C35+IPI_minus!C30</f>
        <v>1.4171945585453882E-2</v>
      </c>
      <c r="D35" s="19">
        <f>'25hike'!D35+IPI_minus!D30</f>
        <v>2.0035493069576393</v>
      </c>
      <c r="E35" s="19">
        <f>'25hike'!E35+IPI_minus!E30</f>
        <v>1.9910700217075508</v>
      </c>
      <c r="F35" s="19">
        <f>'25hike'!F35+IPI_minus!F30</f>
        <v>1.9777710482376096</v>
      </c>
      <c r="G35" s="19">
        <f>'25hike'!G35+IPI_minus!G30</f>
        <v>0.49466249944842</v>
      </c>
      <c r="H35" s="16">
        <f t="shared" si="3"/>
        <v>2</v>
      </c>
      <c r="I35" s="16">
        <f t="shared" si="3"/>
        <v>0.5</v>
      </c>
      <c r="J35" s="16">
        <v>-200</v>
      </c>
    </row>
    <row r="36" spans="1:10" x14ac:dyDescent="0.55000000000000004">
      <c r="A36" s="5">
        <f t="shared" si="0"/>
        <v>7.5</v>
      </c>
      <c r="B36" s="4">
        <f t="shared" si="1"/>
        <v>0</v>
      </c>
      <c r="C36" s="19">
        <f>'25hike'!C36+IPI_minus!C31</f>
        <v>1.2677198178893163E-2</v>
      </c>
      <c r="D36" s="19">
        <f>'25hike'!D36+IPI_minus!D31</f>
        <v>2.002824883543318</v>
      </c>
      <c r="E36" s="19">
        <f>'25hike'!E36+IPI_minus!E31</f>
        <v>1.9917403742709272</v>
      </c>
      <c r="F36" s="19">
        <f>'25hike'!F36+IPI_minus!F31</f>
        <v>1.9800258934151234</v>
      </c>
      <c r="G36" s="19">
        <f>'25hike'!G36+IPI_minus!G31</f>
        <v>0.49481846113515393</v>
      </c>
      <c r="H36" s="16">
        <f t="shared" ref="H36:I51" si="4">H35</f>
        <v>2</v>
      </c>
      <c r="I36" s="16">
        <f t="shared" si="4"/>
        <v>0.5</v>
      </c>
      <c r="J36" s="16">
        <v>-200</v>
      </c>
    </row>
    <row r="37" spans="1:10" x14ac:dyDescent="0.55000000000000004">
      <c r="A37" s="5">
        <f t="shared" si="0"/>
        <v>7.75</v>
      </c>
      <c r="B37" s="4">
        <f t="shared" si="1"/>
        <v>0</v>
      </c>
      <c r="C37" s="19">
        <f>'25hike'!C37+IPI_minus!C32</f>
        <v>1.134258547284421E-2</v>
      </c>
      <c r="D37" s="19">
        <f>'25hike'!D37+IPI_minus!D32</f>
        <v>2.0020269599430431</v>
      </c>
      <c r="E37" s="19">
        <f>'25hike'!E37+IPI_minus!E32</f>
        <v>1.9922106774004387</v>
      </c>
      <c r="F37" s="19">
        <f>'25hike'!F37+IPI_minus!F32</f>
        <v>1.9820059894026361</v>
      </c>
      <c r="G37" s="19">
        <f>'25hike'!G37+IPI_minus!G32</f>
        <v>0.49478065238993685</v>
      </c>
      <c r="H37" s="16">
        <f t="shared" si="4"/>
        <v>2</v>
      </c>
      <c r="I37" s="16">
        <f t="shared" si="4"/>
        <v>0.5</v>
      </c>
      <c r="J37" s="16">
        <v>-200</v>
      </c>
    </row>
    <row r="38" spans="1:10" x14ac:dyDescent="0.55000000000000004">
      <c r="A38" s="5">
        <f t="shared" si="0"/>
        <v>8</v>
      </c>
      <c r="B38" s="4">
        <f t="shared" si="1"/>
        <v>0</v>
      </c>
      <c r="C38" s="19">
        <f>'25hike'!C38+IPI_minus!C33</f>
        <v>1.0149677731250483E-2</v>
      </c>
      <c r="D38" s="19">
        <f>'25hike'!D38+IPI_minus!D33</f>
        <v>2.0010701562388591</v>
      </c>
      <c r="E38" s="19">
        <f>'25hike'!E38+IPI_minus!E33</f>
        <v>1.9924628959128023</v>
      </c>
      <c r="F38" s="19">
        <f>'25hike'!F38+IPI_minus!F33</f>
        <v>1.9837217644178964</v>
      </c>
      <c r="G38" s="19">
        <f>'25hike'!G38+IPI_minus!G33</f>
        <v>0.49447573239468712</v>
      </c>
      <c r="H38" s="16">
        <f t="shared" si="4"/>
        <v>2</v>
      </c>
      <c r="I38" s="16">
        <f t="shared" si="4"/>
        <v>0.5</v>
      </c>
      <c r="J38" s="16">
        <v>-200</v>
      </c>
    </row>
    <row r="39" spans="1:10" x14ac:dyDescent="0.55000000000000004">
      <c r="A39" s="5">
        <f t="shared" si="0"/>
        <v>8.25</v>
      </c>
      <c r="B39" s="4">
        <f t="shared" si="1"/>
        <v>0</v>
      </c>
      <c r="C39" s="19">
        <f>'25hike'!C39+IPI_minus!C34</f>
        <v>9.086721406554258E-3</v>
      </c>
      <c r="D39" s="19">
        <f>'25hike'!D39+IPI_minus!D34</f>
        <v>1.9999021741063698</v>
      </c>
      <c r="E39" s="19">
        <f>'25hike'!E39+IPI_minus!E34</f>
        <v>1.9924028683000283</v>
      </c>
      <c r="F39" s="19">
        <f>'25hike'!F39+IPI_minus!F34</f>
        <v>1.985178001289859</v>
      </c>
      <c r="G39" s="19">
        <f>'25hike'!G39+IPI_minus!G34</f>
        <v>0.49383366439942089</v>
      </c>
      <c r="H39" s="16">
        <f t="shared" si="4"/>
        <v>2</v>
      </c>
      <c r="I39" s="16">
        <f t="shared" si="4"/>
        <v>0.5</v>
      </c>
      <c r="J39" s="16">
        <v>-200</v>
      </c>
    </row>
    <row r="40" spans="1:10" x14ac:dyDescent="0.55000000000000004">
      <c r="A40" s="5">
        <f t="shared" si="0"/>
        <v>8.5</v>
      </c>
      <c r="B40" s="4">
        <f t="shared" si="1"/>
        <v>0</v>
      </c>
      <c r="C40" s="19">
        <f>'25hike'!C40+IPI_minus!C35</f>
        <v>8.1334240564716991E-3</v>
      </c>
      <c r="D40" s="19">
        <f>'25hike'!D40+IPI_minus!D35</f>
        <v>1.9983168307059818</v>
      </c>
      <c r="E40" s="19">
        <f>'25hike'!E40+IPI_minus!E35</f>
        <v>1.9920026980937022</v>
      </c>
      <c r="F40" s="19">
        <f>'25hike'!F40+IPI_minus!F35</f>
        <v>1.98636049593731</v>
      </c>
      <c r="G40" s="19">
        <f>'25hike'!G40+IPI_minus!G35</f>
        <v>0.4926641689884334</v>
      </c>
      <c r="H40" s="16">
        <f t="shared" si="4"/>
        <v>2</v>
      </c>
      <c r="I40" s="16">
        <f t="shared" si="4"/>
        <v>0.5</v>
      </c>
      <c r="J40" s="16">
        <v>-200</v>
      </c>
    </row>
    <row r="41" spans="1:10" x14ac:dyDescent="0.55000000000000004">
      <c r="A41" s="5">
        <f t="shared" si="0"/>
        <v>8.75</v>
      </c>
      <c r="B41" s="4">
        <f t="shared" si="1"/>
        <v>0</v>
      </c>
      <c r="C41" s="19">
        <f>'25hike'!C41+IPI_minus!C36</f>
        <v>7.2902557325357966E-3</v>
      </c>
      <c r="D41" s="19">
        <f>'25hike'!D41+IPI_minus!D36</f>
        <v>1.9962610046064655</v>
      </c>
      <c r="E41" s="19">
        <f>'25hike'!E41+IPI_minus!E36</f>
        <v>1.9910035351614253</v>
      </c>
      <c r="F41" s="19">
        <f>'25hike'!F41+IPI_minus!F36</f>
        <v>1.987251541717534</v>
      </c>
      <c r="G41" s="19">
        <f>'25hike'!G41+IPI_minus!G36</f>
        <v>0.49084211895582969</v>
      </c>
      <c r="H41" s="16">
        <f t="shared" si="4"/>
        <v>2</v>
      </c>
      <c r="I41" s="16">
        <f t="shared" si="4"/>
        <v>0.5</v>
      </c>
      <c r="J41" s="16">
        <v>-200</v>
      </c>
    </row>
    <row r="42" spans="1:10" x14ac:dyDescent="0.55000000000000004">
      <c r="A42" s="5">
        <f t="shared" si="0"/>
        <v>9</v>
      </c>
      <c r="B42" s="4">
        <f t="shared" si="1"/>
        <v>0</v>
      </c>
      <c r="C42" s="19">
        <f>'25hike'!C42+IPI_minus!C37</f>
        <v>6.5242427775190747E-3</v>
      </c>
      <c r="D42" s="19">
        <f>'25hike'!D42+IPI_minus!D37</f>
        <v>1.9932022462585934</v>
      </c>
      <c r="E42" s="19">
        <f>'25hike'!E42+IPI_minus!E37</f>
        <v>1.9894206433005674</v>
      </c>
      <c r="F42" s="19">
        <f>'25hike'!F42+IPI_minus!F37</f>
        <v>1.9877871051262292</v>
      </c>
      <c r="G42" s="19">
        <f>'25hike'!G42+IPI_minus!G37</f>
        <v>0.48789439179673999</v>
      </c>
      <c r="H42" s="16">
        <f t="shared" si="4"/>
        <v>2</v>
      </c>
      <c r="I42" s="16">
        <f t="shared" si="4"/>
        <v>0.5</v>
      </c>
      <c r="J42" s="16">
        <v>-200</v>
      </c>
    </row>
    <row r="43" spans="1:10" x14ac:dyDescent="0.55000000000000004">
      <c r="A43" s="5">
        <f t="shared" si="0"/>
        <v>9.25</v>
      </c>
      <c r="B43" s="4">
        <f t="shared" si="1"/>
        <v>0</v>
      </c>
      <c r="C43" s="19">
        <f>'25hike'!C43+IPI_minus!C38</f>
        <v>5.8697007465188999E-3</v>
      </c>
      <c r="D43" s="19">
        <f>'25hike'!D43+IPI_minus!D38</f>
        <v>1.9892147641657782</v>
      </c>
      <c r="E43" s="19">
        <f>'25hike'!E43+IPI_minus!E38</f>
        <v>1.98653298387707</v>
      </c>
      <c r="F43" s="19">
        <f>'25hike'!F43+IPI_minus!F38</f>
        <v>1.9879155944397886</v>
      </c>
      <c r="G43" s="19">
        <f>'25hike'!G43+IPI_minus!G38</f>
        <v>0.48366585055377431</v>
      </c>
      <c r="H43" s="16">
        <f t="shared" si="4"/>
        <v>2</v>
      </c>
      <c r="I43" s="16">
        <f t="shared" si="4"/>
        <v>0.5</v>
      </c>
      <c r="J43" s="16">
        <v>-200</v>
      </c>
    </row>
    <row r="44" spans="1:10" x14ac:dyDescent="0.55000000000000004">
      <c r="A44" s="5">
        <f t="shared" si="0"/>
        <v>9.5</v>
      </c>
      <c r="B44" s="4">
        <f t="shared" si="1"/>
        <v>0</v>
      </c>
      <c r="C44" s="19">
        <f>'25hike'!C44+IPI_minus!C39</f>
        <v>5.2405735980170422E-3</v>
      </c>
      <c r="D44" s="19">
        <f>'25hike'!D44+IPI_minus!D39</f>
        <v>1.9828257787900616</v>
      </c>
      <c r="E44" s="19">
        <f>'25hike'!E44+IPI_minus!E39</f>
        <v>1.9826594716051649</v>
      </c>
      <c r="F44" s="19">
        <f>'25hike'!F44+IPI_minus!F39</f>
        <v>1.9874575110313135</v>
      </c>
      <c r="G44" s="19">
        <f>'25hike'!G44+IPI_minus!G39</f>
        <v>0.47692800684448028</v>
      </c>
      <c r="H44" s="16">
        <f t="shared" si="4"/>
        <v>2</v>
      </c>
      <c r="I44" s="16">
        <f t="shared" si="4"/>
        <v>0.5</v>
      </c>
      <c r="J44" s="16">
        <v>-200</v>
      </c>
    </row>
    <row r="45" spans="1:10" x14ac:dyDescent="0.55000000000000004">
      <c r="A45" s="5">
        <f t="shared" si="0"/>
        <v>9.75</v>
      </c>
      <c r="B45" s="4">
        <f t="shared" si="1"/>
        <v>0</v>
      </c>
      <c r="C45" s="19">
        <f>'25hike'!C45+IPI_minus!C40</f>
        <v>4.7795278949087153E-3</v>
      </c>
      <c r="D45" s="19">
        <f>'25hike'!D45+IPI_minus!D40</f>
        <v>1.9748279634829524</v>
      </c>
      <c r="E45" s="19">
        <f>'25hike'!E45+IPI_minus!E40</f>
        <v>1.9757021459185231</v>
      </c>
      <c r="F45" s="19">
        <f>'25hike'!F45+IPI_minus!F40</f>
        <v>1.9863208517519608</v>
      </c>
      <c r="G45" s="19">
        <f>'25hike'!G45+IPI_minus!G40</f>
        <v>0.46774426605341479</v>
      </c>
      <c r="H45" s="16">
        <f t="shared" si="4"/>
        <v>2</v>
      </c>
      <c r="I45" s="16">
        <f t="shared" si="4"/>
        <v>0.5</v>
      </c>
      <c r="J45" s="16">
        <v>-200</v>
      </c>
    </row>
    <row r="46" spans="1:10" x14ac:dyDescent="0.55000000000000004">
      <c r="A46" s="5">
        <f t="shared" si="0"/>
        <v>10</v>
      </c>
      <c r="B46" s="4">
        <f t="shared" si="1"/>
        <v>0</v>
      </c>
      <c r="C46" s="19">
        <f>'25hike'!C46+IPI_minus!C41</f>
        <v>4.2087236581674903E-3</v>
      </c>
      <c r="D46" s="19">
        <f>'25hike'!D46+IPI_minus!D41</f>
        <v>1.9609014359374297</v>
      </c>
      <c r="E46" s="19">
        <f>'25hike'!E46+IPI_minus!E41</f>
        <v>1.9673557049809922</v>
      </c>
      <c r="F46" s="19">
        <f>'25hike'!F46+IPI_minus!F41</f>
        <v>1.984033104328653</v>
      </c>
      <c r="G46" s="19">
        <f>'25hike'!G46+IPI_minus!G41</f>
        <v>0.45274214070227764</v>
      </c>
      <c r="H46" s="16">
        <f t="shared" si="4"/>
        <v>2</v>
      </c>
      <c r="I46" s="16">
        <f t="shared" si="4"/>
        <v>0.5</v>
      </c>
      <c r="J46" s="16">
        <v>-200</v>
      </c>
    </row>
    <row r="47" spans="1:10" x14ac:dyDescent="0.55000000000000004">
      <c r="A47" s="5">
        <f t="shared" si="0"/>
        <v>10.25</v>
      </c>
      <c r="B47" s="4">
        <f t="shared" si="1"/>
        <v>0</v>
      </c>
      <c r="C47" s="19">
        <f>'25hike'!C47+IPI_minus!C42</f>
        <v>4.0385941049200635E-3</v>
      </c>
      <c r="D47" s="19">
        <f>'25hike'!D47+IPI_minus!D42</f>
        <v>1.9449253810902143</v>
      </c>
      <c r="E47" s="19">
        <f>'25hike'!E47+IPI_minus!E42</f>
        <v>1.9512288145060008</v>
      </c>
      <c r="F47" s="19">
        <f>'25hike'!F47+IPI_minus!F42</f>
        <v>1.9805134092371934</v>
      </c>
      <c r="G47" s="19">
        <f>'25hike'!G47+IPI_minus!G42</f>
        <v>0.43343180709813717</v>
      </c>
      <c r="H47" s="16">
        <f t="shared" si="4"/>
        <v>2</v>
      </c>
      <c r="I47" s="16">
        <f t="shared" si="4"/>
        <v>0.5</v>
      </c>
      <c r="J47" s="16">
        <v>-200</v>
      </c>
    </row>
    <row r="48" spans="1:10" x14ac:dyDescent="0.55000000000000004">
      <c r="A48" s="5">
        <f t="shared" si="0"/>
        <v>10.5</v>
      </c>
      <c r="B48" s="4">
        <f t="shared" si="1"/>
        <v>0</v>
      </c>
      <c r="C48" s="19">
        <f>'25hike'!C48+IPI_minus!C43</f>
        <v>3.3202657368727366E-3</v>
      </c>
      <c r="D48" s="19">
        <f>'25hike'!D48+IPI_minus!D43</f>
        <v>1.9136020369481761</v>
      </c>
      <c r="E48" s="19">
        <f>'25hike'!E48+IPI_minus!E43</f>
        <v>1.9344700336968927</v>
      </c>
      <c r="F48" s="19">
        <f>'25hike'!F48+IPI_minus!F43</f>
        <v>1.9744913857311821</v>
      </c>
      <c r="G48" s="19">
        <f>'25hike'!G48+IPI_minus!G43</f>
        <v>0.40002964962358978</v>
      </c>
      <c r="H48" s="16">
        <f t="shared" si="4"/>
        <v>2</v>
      </c>
      <c r="I48" s="16">
        <f t="shared" si="4"/>
        <v>0.5</v>
      </c>
      <c r="J48" s="16">
        <v>-200</v>
      </c>
    </row>
    <row r="49" spans="1:10" x14ac:dyDescent="0.55000000000000004">
      <c r="A49" s="5">
        <f t="shared" si="0"/>
        <v>10.75</v>
      </c>
      <c r="B49" s="4">
        <f t="shared" si="1"/>
        <v>0</v>
      </c>
      <c r="C49" s="19">
        <f>'25hike'!C49+IPI_minus!C44</f>
        <v>3.8297998161331039E-3</v>
      </c>
      <c r="D49" s="19">
        <f>'25hike'!D49+IPI_minus!D44</f>
        <v>1.882781905471878</v>
      </c>
      <c r="E49" s="19">
        <f>'25hike'!E49+IPI_minus!E44</f>
        <v>1.8968345217355955</v>
      </c>
      <c r="F49" s="19">
        <f>'25hike'!F49+IPI_minus!F44</f>
        <v>1.9662375325078445</v>
      </c>
      <c r="G49" s="19">
        <f>'25hike'!G49+IPI_minus!G44</f>
        <v>0.36053429541976706</v>
      </c>
      <c r="H49" s="16">
        <f t="shared" si="4"/>
        <v>2</v>
      </c>
      <c r="I49" s="16">
        <f t="shared" si="4"/>
        <v>0.5</v>
      </c>
      <c r="J49" s="16">
        <v>-200</v>
      </c>
    </row>
    <row r="50" spans="1:10" x14ac:dyDescent="0.55000000000000004">
      <c r="A50" s="5">
        <f t="shared" si="0"/>
        <v>11</v>
      </c>
      <c r="B50" s="4">
        <f t="shared" si="1"/>
        <v>0</v>
      </c>
      <c r="C50" s="19">
        <f>'25hike'!C50+IPI_minus!C45</f>
        <v>2.2865423616931437E-3</v>
      </c>
      <c r="D50" s="19">
        <f>'25hike'!D50+IPI_minus!D45</f>
        <v>1.8099692688569069</v>
      </c>
      <c r="E50" s="19">
        <f>'25hike'!E50+IPI_minus!E45</f>
        <v>1.8658269364071143</v>
      </c>
      <c r="F50" s="19">
        <f>'25hike'!F50+IPI_minus!F45</f>
        <v>1.9521733887792603</v>
      </c>
      <c r="G50" s="19">
        <f>'25hike'!G50+IPI_minus!G45</f>
        <v>0.28513251909534298</v>
      </c>
      <c r="H50" s="16">
        <f t="shared" si="4"/>
        <v>2</v>
      </c>
      <c r="I50" s="16">
        <f t="shared" si="4"/>
        <v>0.5</v>
      </c>
      <c r="J50" s="16">
        <v>-200</v>
      </c>
    </row>
    <row r="51" spans="1:10" x14ac:dyDescent="0.55000000000000004">
      <c r="A51" s="5">
        <f t="shared" si="0"/>
        <v>11.25</v>
      </c>
      <c r="B51" s="4">
        <f t="shared" si="1"/>
        <v>0</v>
      </c>
      <c r="C51" s="19">
        <f>'25hike'!C51+IPI_minus!C46</f>
        <v>4.8370737043425035E-3</v>
      </c>
      <c r="D51" s="19">
        <f>'25hike'!D51+IPI_minus!D46</f>
        <v>1.7552117172729458</v>
      </c>
      <c r="E51" s="19">
        <f>'25hike'!E51+IPI_minus!E46</f>
        <v>1.7754006006348935</v>
      </c>
      <c r="F51" s="19">
        <f>'25hike'!F51+IPI_minus!F46</f>
        <v>1.9344468383436921</v>
      </c>
      <c r="G51" s="19">
        <f>'25hike'!G51+IPI_minus!G46</f>
        <v>0.20745136479080764</v>
      </c>
      <c r="H51" s="16">
        <f t="shared" si="4"/>
        <v>2</v>
      </c>
      <c r="I51" s="16">
        <f t="shared" si="4"/>
        <v>0.5</v>
      </c>
      <c r="J51" s="16">
        <v>-200</v>
      </c>
    </row>
    <row r="52" spans="1:10" x14ac:dyDescent="0.55000000000000004">
      <c r="A52" s="5">
        <f t="shared" si="0"/>
        <v>11.5</v>
      </c>
      <c r="B52" s="4">
        <f t="shared" si="1"/>
        <v>0</v>
      </c>
      <c r="C52" s="19">
        <f>'25hike'!C52+IPI_minus!C47</f>
        <v>1.1409171138568655E-4</v>
      </c>
      <c r="D52" s="19">
        <f>'25hike'!D52+IPI_minus!D47</f>
        <v>1.5789628962077986</v>
      </c>
      <c r="E52" s="19">
        <f>'25hike'!E52+IPI_minus!E47</f>
        <v>1.7266847574679318</v>
      </c>
      <c r="F52" s="19">
        <f>'25hike'!F52+IPI_minus!F47</f>
        <v>1.9024532835514616</v>
      </c>
      <c r="G52" s="19">
        <f>'25hike'!G52+IPI_minus!G47</f>
        <v>3.2968477246126761E-2</v>
      </c>
      <c r="H52" s="16">
        <f t="shared" ref="H52:I53" si="5">H51</f>
        <v>2</v>
      </c>
      <c r="I52" s="16">
        <f t="shared" si="5"/>
        <v>0.5</v>
      </c>
      <c r="J52" s="16">
        <v>-200</v>
      </c>
    </row>
    <row r="53" spans="1:10" x14ac:dyDescent="0.55000000000000004">
      <c r="A53" s="5">
        <f t="shared" si="0"/>
        <v>11.75</v>
      </c>
      <c r="B53" s="4">
        <f t="shared" si="1"/>
        <v>0</v>
      </c>
      <c r="C53" s="19">
        <f>'25hike'!C53+IPI_minus!C48</f>
        <v>5.6913406420518663E-4</v>
      </c>
      <c r="D53" s="19">
        <f>'25hike'!D53+IPI_minus!D48</f>
        <v>1.5001687766026395</v>
      </c>
      <c r="E53" s="19">
        <f>'25hike'!E53+IPI_minus!E48</f>
        <v>1.4996860470939271</v>
      </c>
      <c r="F53" s="19">
        <f>'25hike'!F53+IPI_minus!F48</f>
        <v>1.4991140639342631</v>
      </c>
      <c r="G53" s="19">
        <f>'25hike'!G53+IPI_minus!G48</f>
        <v>-1.7834240208850901E-4</v>
      </c>
      <c r="H53" s="16">
        <f t="shared" si="5"/>
        <v>2</v>
      </c>
      <c r="I53" s="16">
        <f t="shared" si="5"/>
        <v>0.5</v>
      </c>
      <c r="J53" s="16">
        <v>-200</v>
      </c>
    </row>
    <row r="54" spans="1:10" hidden="1" x14ac:dyDescent="0.55000000000000004">
      <c r="A54" s="5">
        <f t="shared" si="0"/>
        <v>12</v>
      </c>
      <c r="B54" s="4">
        <f t="shared" si="1"/>
        <v>0</v>
      </c>
      <c r="C54" s="19" t="e">
        <f>'25hike'!C54+IPI_plus!C49</f>
        <v>#REF!</v>
      </c>
      <c r="D54" s="19" t="e">
        <f>'25hike'!D54+IPI_plus!D49</f>
        <v>#REF!</v>
      </c>
      <c r="E54" s="19" t="e">
        <f>'25hike'!E54+IPI_plus!E49</f>
        <v>#REF!</v>
      </c>
      <c r="F54" s="19" t="e">
        <f>'25hike'!F54+IPI_plus!F49</f>
        <v>#REF!</v>
      </c>
      <c r="G54" s="19" t="e">
        <f>'25hike'!G54+IPI_plus!G49</f>
        <v>#REF!</v>
      </c>
    </row>
    <row r="55" spans="1:10" hidden="1" x14ac:dyDescent="0.55000000000000004">
      <c r="A55" s="5">
        <f t="shared" si="0"/>
        <v>12.25</v>
      </c>
      <c r="B55" s="4">
        <f t="shared" si="1"/>
        <v>0</v>
      </c>
      <c r="C55" s="19" t="e">
        <f>'25hike'!C55+IPI_plus!C50</f>
        <v>#REF!</v>
      </c>
      <c r="D55" s="19" t="e">
        <f>'25hike'!D55+IPI_plus!D50</f>
        <v>#REF!</v>
      </c>
      <c r="E55" s="19" t="e">
        <f>'25hike'!E55+IPI_plus!E50</f>
        <v>#REF!</v>
      </c>
      <c r="F55" s="19" t="e">
        <f>'25hike'!F55+IPI_plus!F50</f>
        <v>#REF!</v>
      </c>
      <c r="G55" s="19" t="e">
        <f>'25hike'!G55+IPI_plus!G50</f>
        <v>#REF!</v>
      </c>
    </row>
    <row r="56" spans="1:10" hidden="1" x14ac:dyDescent="0.55000000000000004">
      <c r="A56" s="5">
        <f t="shared" si="0"/>
        <v>12.5</v>
      </c>
      <c r="B56" s="4">
        <f t="shared" si="1"/>
        <v>0</v>
      </c>
      <c r="C56" s="19" t="e">
        <f>'25hike'!C56+IPI_plus!C51</f>
        <v>#REF!</v>
      </c>
      <c r="D56" s="19" t="e">
        <f>'25hike'!D56+IPI_plus!D51</f>
        <v>#REF!</v>
      </c>
      <c r="E56" s="19" t="e">
        <f>'25hike'!E56+IPI_plus!E51</f>
        <v>#REF!</v>
      </c>
      <c r="F56" s="19" t="e">
        <f>'25hike'!F56+IPI_plus!F51</f>
        <v>#REF!</v>
      </c>
      <c r="G56" s="19" t="e">
        <f>'25hike'!G56+IPI_plus!G51</f>
        <v>#REF!</v>
      </c>
    </row>
    <row r="57" spans="1:10" hidden="1" x14ac:dyDescent="0.55000000000000004">
      <c r="A57" s="5">
        <f t="shared" si="0"/>
        <v>12.75</v>
      </c>
      <c r="B57" s="4">
        <f t="shared" si="1"/>
        <v>0</v>
      </c>
      <c r="C57" s="19" t="e">
        <f>'25hike'!C57+IPI_plus!C52</f>
        <v>#REF!</v>
      </c>
      <c r="D57" s="19" t="e">
        <f>'25hike'!D57+IPI_plus!D52</f>
        <v>#REF!</v>
      </c>
      <c r="E57" s="19" t="e">
        <f>'25hike'!E57+IPI_plus!E52</f>
        <v>#REF!</v>
      </c>
      <c r="F57" s="19" t="e">
        <f>'25hike'!F57+IPI_plus!F52</f>
        <v>#REF!</v>
      </c>
      <c r="G57" s="19" t="e">
        <f>'25hike'!G57+IPI_plus!G52</f>
        <v>#REF!</v>
      </c>
    </row>
    <row r="58" spans="1:10" hidden="1" x14ac:dyDescent="0.55000000000000004">
      <c r="A58" s="5">
        <f t="shared" si="0"/>
        <v>13</v>
      </c>
      <c r="B58" s="4">
        <f t="shared" si="1"/>
        <v>0</v>
      </c>
      <c r="C58" s="19" t="e">
        <f>'25hike'!C58+IPI_plus!C53</f>
        <v>#REF!</v>
      </c>
      <c r="D58" s="19" t="e">
        <f>'25hike'!D58+IPI_plus!D53</f>
        <v>#REF!</v>
      </c>
      <c r="E58" s="19" t="e">
        <f>'25hike'!E58+IPI_plus!E53</f>
        <v>#REF!</v>
      </c>
      <c r="F58" s="19" t="e">
        <f>'25hike'!F58+IPI_plus!F53</f>
        <v>#REF!</v>
      </c>
      <c r="G58" s="19" t="e">
        <f>'25hike'!G58+IPI_plus!G53</f>
        <v>#REF!</v>
      </c>
    </row>
    <row r="59" spans="1:10" hidden="1" x14ac:dyDescent="0.55000000000000004">
      <c r="A59" s="5">
        <f t="shared" si="0"/>
        <v>13.25</v>
      </c>
      <c r="B59" s="4">
        <f t="shared" si="1"/>
        <v>0</v>
      </c>
      <c r="C59" s="19" t="e">
        <f>'25hike'!C59+IPI_plus!C54</f>
        <v>#REF!</v>
      </c>
      <c r="D59" s="19" t="e">
        <f>'25hike'!D59+IPI_plus!D54</f>
        <v>#REF!</v>
      </c>
      <c r="E59" s="19" t="e">
        <f>'25hike'!E59+IPI_plus!E54</f>
        <v>#REF!</v>
      </c>
      <c r="F59" s="19" t="e">
        <f>'25hike'!F59+IPI_plus!F54</f>
        <v>#REF!</v>
      </c>
      <c r="G59" s="19" t="e">
        <f>'25hike'!G59+IPI_plus!G54</f>
        <v>#REF!</v>
      </c>
    </row>
    <row r="60" spans="1:10" hidden="1" x14ac:dyDescent="0.55000000000000004">
      <c r="A60" s="5">
        <f t="shared" si="0"/>
        <v>13.5</v>
      </c>
      <c r="B60" s="4">
        <f t="shared" si="1"/>
        <v>0</v>
      </c>
      <c r="C60" s="19" t="e">
        <f>'25hike'!C60+IPI_plus!C55</f>
        <v>#REF!</v>
      </c>
      <c r="D60" s="19" t="e">
        <f>'25hike'!D60+IPI_plus!D55</f>
        <v>#REF!</v>
      </c>
      <c r="E60" s="19" t="e">
        <f>'25hike'!E60+IPI_plus!E55</f>
        <v>#REF!</v>
      </c>
      <c r="F60" s="19" t="e">
        <f>'25hike'!F60+IPI_plus!F55</f>
        <v>#REF!</v>
      </c>
      <c r="G60" s="19" t="e">
        <f>'25hike'!G60+IPI_plus!G55</f>
        <v>#REF!</v>
      </c>
    </row>
    <row r="61" spans="1:10" hidden="1" x14ac:dyDescent="0.55000000000000004">
      <c r="A61" s="5">
        <f t="shared" si="0"/>
        <v>13.75</v>
      </c>
      <c r="B61" s="4">
        <f t="shared" si="1"/>
        <v>0</v>
      </c>
      <c r="C61" s="19" t="e">
        <f>'25hike'!C61+IPI_plus!C56</f>
        <v>#REF!</v>
      </c>
      <c r="D61" s="19" t="e">
        <f>'25hike'!D61+IPI_plus!D56</f>
        <v>#REF!</v>
      </c>
      <c r="E61" s="19" t="e">
        <f>'25hike'!E61+IPI_plus!E56</f>
        <v>#REF!</v>
      </c>
      <c r="F61" s="19" t="e">
        <f>'25hike'!F61+IPI_plus!F56</f>
        <v>#REF!</v>
      </c>
      <c r="G61" s="19" t="e">
        <f>'25hike'!G61+IPI_plus!G56</f>
        <v>#REF!</v>
      </c>
    </row>
    <row r="62" spans="1:10" hidden="1" x14ac:dyDescent="0.55000000000000004">
      <c r="A62" s="5">
        <f t="shared" si="0"/>
        <v>14</v>
      </c>
      <c r="B62" s="4">
        <f t="shared" si="1"/>
        <v>0</v>
      </c>
      <c r="C62" s="19" t="e">
        <f>'25hike'!C62+IPI_plus!C57</f>
        <v>#REF!</v>
      </c>
      <c r="D62" s="19" t="e">
        <f>'25hike'!D62+IPI_plus!D57</f>
        <v>#REF!</v>
      </c>
      <c r="E62" s="19" t="e">
        <f>'25hike'!E62+IPI_plus!E57</f>
        <v>#REF!</v>
      </c>
      <c r="F62" s="19" t="e">
        <f>'25hike'!F62+IPI_plus!F57</f>
        <v>#REF!</v>
      </c>
      <c r="G62" s="19" t="e">
        <f>'25hike'!G62+IPI_plus!G57</f>
        <v>#REF!</v>
      </c>
    </row>
    <row r="63" spans="1:10" hidden="1" x14ac:dyDescent="0.55000000000000004">
      <c r="A63" s="5">
        <f t="shared" si="0"/>
        <v>14.25</v>
      </c>
      <c r="B63" s="4">
        <f t="shared" si="1"/>
        <v>0</v>
      </c>
      <c r="C63" s="19" t="e">
        <f>'25hike'!C63+IPI_plus!C58</f>
        <v>#REF!</v>
      </c>
      <c r="D63" s="19" t="e">
        <f>'25hike'!D63+IPI_plus!D58</f>
        <v>#REF!</v>
      </c>
      <c r="E63" s="19" t="e">
        <f>'25hike'!E63+IPI_plus!E58</f>
        <v>#REF!</v>
      </c>
      <c r="F63" s="19" t="e">
        <f>'25hike'!F63+IPI_plus!F58</f>
        <v>#REF!</v>
      </c>
      <c r="G63" s="19" t="e">
        <f>'25hike'!G63+IPI_plus!G58</f>
        <v>#REF!</v>
      </c>
    </row>
    <row r="64" spans="1:10" hidden="1" x14ac:dyDescent="0.55000000000000004">
      <c r="A64" s="5">
        <f t="shared" si="0"/>
        <v>14.5</v>
      </c>
      <c r="B64" s="4">
        <f t="shared" si="1"/>
        <v>0</v>
      </c>
      <c r="C64" s="19" t="e">
        <f>'25hike'!C64+IPI_plus!C59</f>
        <v>#REF!</v>
      </c>
      <c r="D64" s="19" t="e">
        <f>'25hike'!D64+IPI_plus!D59</f>
        <v>#REF!</v>
      </c>
      <c r="E64" s="19" t="e">
        <f>'25hike'!E64+IPI_plus!E59</f>
        <v>#REF!</v>
      </c>
      <c r="F64" s="19" t="e">
        <f>'25hike'!F64+IPI_plus!F59</f>
        <v>#REF!</v>
      </c>
      <c r="G64" s="19" t="e">
        <f>'25hike'!G64+IPI_plus!G59</f>
        <v>#REF!</v>
      </c>
    </row>
    <row r="65" spans="1:7" hidden="1" x14ac:dyDescent="0.55000000000000004">
      <c r="A65" s="5">
        <f t="shared" si="0"/>
        <v>14.75</v>
      </c>
      <c r="B65" s="4">
        <f t="shared" si="1"/>
        <v>0</v>
      </c>
      <c r="C65" s="19" t="e">
        <f>'25hike'!C65+IPI_plus!C60</f>
        <v>#REF!</v>
      </c>
      <c r="D65" s="19" t="e">
        <f>'25hike'!D65+IPI_plus!D60</f>
        <v>#REF!</v>
      </c>
      <c r="E65" s="19" t="e">
        <f>'25hike'!E65+IPI_plus!E60</f>
        <v>#REF!</v>
      </c>
      <c r="F65" s="19" t="e">
        <f>'25hike'!F65+IPI_plus!F60</f>
        <v>#REF!</v>
      </c>
      <c r="G65" s="19" t="e">
        <f>'25hike'!G65+IPI_plus!G60</f>
        <v>#REF!</v>
      </c>
    </row>
    <row r="66" spans="1:7" hidden="1" x14ac:dyDescent="0.55000000000000004">
      <c r="A66" s="5">
        <f t="shared" si="0"/>
        <v>15</v>
      </c>
      <c r="B66" s="4">
        <f t="shared" si="1"/>
        <v>0</v>
      </c>
      <c r="C66" s="19" t="e">
        <f>'25hike'!C66+IPI_plus!C61</f>
        <v>#REF!</v>
      </c>
      <c r="D66" s="19" t="e">
        <f>'25hike'!D66+IPI_plus!D61</f>
        <v>#REF!</v>
      </c>
      <c r="E66" s="19" t="e">
        <f>'25hike'!E66+IPI_plus!E61</f>
        <v>#REF!</v>
      </c>
      <c r="F66" s="19" t="e">
        <f>'25hike'!F66+IPI_plus!F61</f>
        <v>#REF!</v>
      </c>
      <c r="G66" s="19" t="e">
        <f>'25hike'!G66+IPI_plus!G61</f>
        <v>#REF!</v>
      </c>
    </row>
    <row r="67" spans="1:7" hidden="1" x14ac:dyDescent="0.55000000000000004">
      <c r="A67" s="5">
        <f t="shared" si="0"/>
        <v>15.25</v>
      </c>
      <c r="B67" s="4">
        <f t="shared" si="1"/>
        <v>0</v>
      </c>
      <c r="C67" s="19" t="e">
        <f>'25hike'!C67+IPI_plus!C62</f>
        <v>#REF!</v>
      </c>
      <c r="D67" s="19" t="e">
        <f>'25hike'!D67+IPI_plus!D62</f>
        <v>#REF!</v>
      </c>
      <c r="E67" s="19" t="e">
        <f>'25hike'!E67+IPI_plus!E62</f>
        <v>#REF!</v>
      </c>
      <c r="F67" s="19" t="e">
        <f>'25hike'!F67+IPI_plus!F62</f>
        <v>#REF!</v>
      </c>
      <c r="G67" s="19" t="e">
        <f>'25hike'!G67+IPI_plus!G62</f>
        <v>#REF!</v>
      </c>
    </row>
    <row r="68" spans="1:7" hidden="1" x14ac:dyDescent="0.55000000000000004">
      <c r="A68" s="5">
        <f t="shared" ref="A68:A131" si="6">A67+0.25</f>
        <v>15.5</v>
      </c>
      <c r="B68" s="4">
        <f t="shared" ref="B68:B131" si="7">B67</f>
        <v>0</v>
      </c>
      <c r="C68" s="19" t="e">
        <f>'25hike'!C68+IPI_plus!C63</f>
        <v>#REF!</v>
      </c>
      <c r="D68" s="19" t="e">
        <f>'25hike'!D68+IPI_plus!D63</f>
        <v>#REF!</v>
      </c>
      <c r="E68" s="19" t="e">
        <f>'25hike'!E68+IPI_plus!E63</f>
        <v>#REF!</v>
      </c>
      <c r="F68" s="19" t="e">
        <f>'25hike'!F68+IPI_plus!F63</f>
        <v>#REF!</v>
      </c>
      <c r="G68" s="19" t="e">
        <f>'25hike'!G68+IPI_plus!G63</f>
        <v>#REF!</v>
      </c>
    </row>
    <row r="69" spans="1:7" hidden="1" x14ac:dyDescent="0.55000000000000004">
      <c r="A69" s="5">
        <f t="shared" si="6"/>
        <v>15.75</v>
      </c>
      <c r="B69" s="4">
        <f t="shared" si="7"/>
        <v>0</v>
      </c>
      <c r="C69" s="19" t="e">
        <f>'25hike'!C69+IPI_plus!C64</f>
        <v>#REF!</v>
      </c>
      <c r="D69" s="19" t="e">
        <f>'25hike'!D69+IPI_plus!D64</f>
        <v>#REF!</v>
      </c>
      <c r="E69" s="19" t="e">
        <f>'25hike'!E69+IPI_plus!E64</f>
        <v>#REF!</v>
      </c>
      <c r="F69" s="19" t="e">
        <f>'25hike'!F69+IPI_plus!F64</f>
        <v>#REF!</v>
      </c>
      <c r="G69" s="19" t="e">
        <f>'25hike'!G69+IPI_plus!G64</f>
        <v>#REF!</v>
      </c>
    </row>
    <row r="70" spans="1:7" hidden="1" x14ac:dyDescent="0.55000000000000004">
      <c r="A70" s="5">
        <f t="shared" si="6"/>
        <v>16</v>
      </c>
      <c r="B70" s="4">
        <f t="shared" si="7"/>
        <v>0</v>
      </c>
      <c r="C70" s="19" t="e">
        <f>'25hike'!C70+IPI_plus!C65</f>
        <v>#REF!</v>
      </c>
      <c r="D70" s="19" t="e">
        <f>'25hike'!D70+IPI_plus!D65</f>
        <v>#REF!</v>
      </c>
      <c r="E70" s="19" t="e">
        <f>'25hike'!E70+IPI_plus!E65</f>
        <v>#REF!</v>
      </c>
      <c r="F70" s="19" t="e">
        <f>'25hike'!F70+IPI_plus!F65</f>
        <v>#REF!</v>
      </c>
      <c r="G70" s="19" t="e">
        <f>'25hike'!G70+IPI_plus!G65</f>
        <v>#REF!</v>
      </c>
    </row>
    <row r="71" spans="1:7" hidden="1" x14ac:dyDescent="0.55000000000000004">
      <c r="A71" s="5">
        <f t="shared" si="6"/>
        <v>16.25</v>
      </c>
      <c r="B71" s="4">
        <f t="shared" si="7"/>
        <v>0</v>
      </c>
      <c r="C71" s="19" t="e">
        <f>'25hike'!C71+IPI_plus!C66</f>
        <v>#REF!</v>
      </c>
      <c r="D71" s="19" t="e">
        <f>'25hike'!D71+IPI_plus!D66</f>
        <v>#REF!</v>
      </c>
      <c r="E71" s="19" t="e">
        <f>'25hike'!E71+IPI_plus!E66</f>
        <v>#REF!</v>
      </c>
      <c r="F71" s="19" t="e">
        <f>'25hike'!F71+IPI_plus!F66</f>
        <v>#REF!</v>
      </c>
      <c r="G71" s="19" t="e">
        <f>'25hike'!G71+IPI_plus!G66</f>
        <v>#REF!</v>
      </c>
    </row>
    <row r="72" spans="1:7" hidden="1" x14ac:dyDescent="0.55000000000000004">
      <c r="A72" s="5">
        <f t="shared" si="6"/>
        <v>16.5</v>
      </c>
      <c r="B72" s="4">
        <f t="shared" si="7"/>
        <v>0</v>
      </c>
      <c r="C72" s="19" t="e">
        <f>'25hike'!C72+IPI_plus!C67</f>
        <v>#REF!</v>
      </c>
      <c r="D72" s="19" t="e">
        <f>'25hike'!D72+IPI_plus!D67</f>
        <v>#REF!</v>
      </c>
      <c r="E72" s="19" t="e">
        <f>'25hike'!E72+IPI_plus!E67</f>
        <v>#REF!</v>
      </c>
      <c r="F72" s="19" t="e">
        <f>'25hike'!F72+IPI_plus!F67</f>
        <v>#REF!</v>
      </c>
      <c r="G72" s="19" t="e">
        <f>'25hike'!G72+IPI_plus!G67</f>
        <v>#REF!</v>
      </c>
    </row>
    <row r="73" spans="1:7" hidden="1" x14ac:dyDescent="0.55000000000000004">
      <c r="A73" s="5">
        <f t="shared" si="6"/>
        <v>16.75</v>
      </c>
      <c r="B73" s="4">
        <f t="shared" si="7"/>
        <v>0</v>
      </c>
      <c r="C73" s="19" t="e">
        <f>'25hike'!C73+IPI_plus!C68</f>
        <v>#REF!</v>
      </c>
      <c r="D73" s="19" t="e">
        <f>'25hike'!D73+IPI_plus!D68</f>
        <v>#REF!</v>
      </c>
      <c r="E73" s="19" t="e">
        <f>'25hike'!E73+IPI_plus!E68</f>
        <v>#REF!</v>
      </c>
      <c r="F73" s="19" t="e">
        <f>'25hike'!F73+IPI_plus!F68</f>
        <v>#REF!</v>
      </c>
      <c r="G73" s="19" t="e">
        <f>'25hike'!G73+IPI_plus!G68</f>
        <v>#REF!</v>
      </c>
    </row>
    <row r="74" spans="1:7" hidden="1" x14ac:dyDescent="0.55000000000000004">
      <c r="A74" s="5">
        <f t="shared" si="6"/>
        <v>17</v>
      </c>
      <c r="B74" s="4">
        <f t="shared" si="7"/>
        <v>0</v>
      </c>
      <c r="C74" s="19" t="e">
        <f>'25hike'!C74+IPI_plus!C69</f>
        <v>#REF!</v>
      </c>
      <c r="D74" s="19" t="e">
        <f>'25hike'!D74+IPI_plus!D69</f>
        <v>#REF!</v>
      </c>
      <c r="E74" s="19" t="e">
        <f>'25hike'!E74+IPI_plus!E69</f>
        <v>#REF!</v>
      </c>
      <c r="F74" s="19" t="e">
        <f>'25hike'!F74+IPI_plus!F69</f>
        <v>#REF!</v>
      </c>
      <c r="G74" s="19" t="e">
        <f>'25hike'!G74+IPI_plus!G69</f>
        <v>#REF!</v>
      </c>
    </row>
    <row r="75" spans="1:7" hidden="1" x14ac:dyDescent="0.55000000000000004">
      <c r="A75" s="5">
        <f t="shared" si="6"/>
        <v>17.25</v>
      </c>
      <c r="B75" s="4">
        <f t="shared" si="7"/>
        <v>0</v>
      </c>
      <c r="C75" s="19" t="e">
        <f>'25hike'!C75+IPI_plus!C70</f>
        <v>#REF!</v>
      </c>
      <c r="D75" s="19" t="e">
        <f>'25hike'!D75+IPI_plus!D70</f>
        <v>#REF!</v>
      </c>
      <c r="E75" s="19" t="e">
        <f>'25hike'!E75+IPI_plus!E70</f>
        <v>#REF!</v>
      </c>
      <c r="F75" s="19" t="e">
        <f>'25hike'!F75+IPI_plus!F70</f>
        <v>#REF!</v>
      </c>
      <c r="G75" s="19" t="e">
        <f>'25hike'!G75+IPI_plus!G70</f>
        <v>#REF!</v>
      </c>
    </row>
    <row r="76" spans="1:7" hidden="1" x14ac:dyDescent="0.55000000000000004">
      <c r="A76" s="5">
        <f t="shared" si="6"/>
        <v>17.5</v>
      </c>
      <c r="B76" s="4">
        <f t="shared" si="7"/>
        <v>0</v>
      </c>
      <c r="C76" s="19" t="e">
        <f>'25hike'!C76+IPI_plus!C71</f>
        <v>#REF!</v>
      </c>
      <c r="D76" s="19" t="e">
        <f>'25hike'!D76+IPI_plus!D71</f>
        <v>#REF!</v>
      </c>
      <c r="E76" s="19" t="e">
        <f>'25hike'!E76+IPI_plus!E71</f>
        <v>#REF!</v>
      </c>
      <c r="F76" s="19" t="e">
        <f>'25hike'!F76+IPI_plus!F71</f>
        <v>#REF!</v>
      </c>
      <c r="G76" s="19" t="e">
        <f>'25hike'!G76+IPI_plus!G71</f>
        <v>#REF!</v>
      </c>
    </row>
    <row r="77" spans="1:7" hidden="1" x14ac:dyDescent="0.55000000000000004">
      <c r="A77" s="5">
        <f t="shared" si="6"/>
        <v>17.75</v>
      </c>
      <c r="B77" s="4">
        <f t="shared" si="7"/>
        <v>0</v>
      </c>
      <c r="C77" s="19" t="e">
        <f>'25hike'!C77+IPI_plus!C72</f>
        <v>#REF!</v>
      </c>
      <c r="D77" s="19" t="e">
        <f>'25hike'!D77+IPI_plus!D72</f>
        <v>#REF!</v>
      </c>
      <c r="E77" s="19" t="e">
        <f>'25hike'!E77+IPI_plus!E72</f>
        <v>#REF!</v>
      </c>
      <c r="F77" s="19" t="e">
        <f>'25hike'!F77+IPI_plus!F72</f>
        <v>#REF!</v>
      </c>
      <c r="G77" s="19" t="e">
        <f>'25hike'!G77+IPI_plus!G72</f>
        <v>#REF!</v>
      </c>
    </row>
    <row r="78" spans="1:7" hidden="1" x14ac:dyDescent="0.55000000000000004">
      <c r="A78" s="5">
        <f t="shared" si="6"/>
        <v>18</v>
      </c>
      <c r="B78" s="4">
        <f t="shared" si="7"/>
        <v>0</v>
      </c>
      <c r="C78" s="19" t="e">
        <f>'25hike'!C78+IPI_plus!C73</f>
        <v>#REF!</v>
      </c>
      <c r="D78" s="19" t="e">
        <f>'25hike'!D78+IPI_plus!D73</f>
        <v>#REF!</v>
      </c>
      <c r="E78" s="19" t="e">
        <f>'25hike'!E78+IPI_plus!E73</f>
        <v>#REF!</v>
      </c>
      <c r="F78" s="19" t="e">
        <f>'25hike'!F78+IPI_plus!F73</f>
        <v>#REF!</v>
      </c>
      <c r="G78" s="19" t="e">
        <f>'25hike'!G78+IPI_plus!G73</f>
        <v>#REF!</v>
      </c>
    </row>
    <row r="79" spans="1:7" hidden="1" x14ac:dyDescent="0.55000000000000004">
      <c r="A79" s="5">
        <f t="shared" si="6"/>
        <v>18.25</v>
      </c>
      <c r="B79" s="4">
        <f t="shared" si="7"/>
        <v>0</v>
      </c>
      <c r="C79" s="19" t="e">
        <f>'25hike'!C79+IPI_plus!C74</f>
        <v>#REF!</v>
      </c>
      <c r="D79" s="19" t="e">
        <f>'25hike'!D79+IPI_plus!D74</f>
        <v>#REF!</v>
      </c>
      <c r="E79" s="19" t="e">
        <f>'25hike'!E79+IPI_plus!E74</f>
        <v>#REF!</v>
      </c>
      <c r="F79" s="19" t="e">
        <f>'25hike'!F79+IPI_plus!F74</f>
        <v>#REF!</v>
      </c>
      <c r="G79" s="19" t="e">
        <f>'25hike'!G79+IPI_plus!G74</f>
        <v>#REF!</v>
      </c>
    </row>
    <row r="80" spans="1:7" hidden="1" x14ac:dyDescent="0.55000000000000004">
      <c r="A80" s="5">
        <f t="shared" si="6"/>
        <v>18.5</v>
      </c>
      <c r="B80" s="4">
        <f t="shared" si="7"/>
        <v>0</v>
      </c>
      <c r="C80" s="19" t="e">
        <f>'25hike'!C80+IPI_plus!C75</f>
        <v>#REF!</v>
      </c>
      <c r="D80" s="19" t="e">
        <f>'25hike'!D80+IPI_plus!D75</f>
        <v>#REF!</v>
      </c>
      <c r="E80" s="19" t="e">
        <f>'25hike'!E80+IPI_plus!E75</f>
        <v>#REF!</v>
      </c>
      <c r="F80" s="19" t="e">
        <f>'25hike'!F80+IPI_plus!F75</f>
        <v>#REF!</v>
      </c>
      <c r="G80" s="19" t="e">
        <f>'25hike'!G80+IPI_plus!G75</f>
        <v>#REF!</v>
      </c>
    </row>
    <row r="81" spans="1:7" hidden="1" x14ac:dyDescent="0.55000000000000004">
      <c r="A81" s="5">
        <f t="shared" si="6"/>
        <v>18.75</v>
      </c>
      <c r="B81" s="4">
        <f t="shared" si="7"/>
        <v>0</v>
      </c>
      <c r="C81" s="19" t="e">
        <f>'25hike'!C81+IPI_plus!C76</f>
        <v>#REF!</v>
      </c>
      <c r="D81" s="19" t="e">
        <f>'25hike'!D81+IPI_plus!D76</f>
        <v>#REF!</v>
      </c>
      <c r="E81" s="19" t="e">
        <f>'25hike'!E81+IPI_plus!E76</f>
        <v>#REF!</v>
      </c>
      <c r="F81" s="19" t="e">
        <f>'25hike'!F81+IPI_plus!F76</f>
        <v>#REF!</v>
      </c>
      <c r="G81" s="19" t="e">
        <f>'25hike'!G81+IPI_plus!G76</f>
        <v>#REF!</v>
      </c>
    </row>
    <row r="82" spans="1:7" hidden="1" x14ac:dyDescent="0.55000000000000004">
      <c r="A82" s="5">
        <f t="shared" si="6"/>
        <v>19</v>
      </c>
      <c r="B82" s="4">
        <f t="shared" si="7"/>
        <v>0</v>
      </c>
      <c r="C82" s="19" t="e">
        <f>'25hike'!C82+IPI_plus!C77</f>
        <v>#REF!</v>
      </c>
      <c r="D82" s="19" t="e">
        <f>'25hike'!D82+IPI_plus!D77</f>
        <v>#REF!</v>
      </c>
      <c r="E82" s="19" t="e">
        <f>'25hike'!E82+IPI_plus!E77</f>
        <v>#REF!</v>
      </c>
      <c r="F82" s="19" t="e">
        <f>'25hike'!F82+IPI_plus!F77</f>
        <v>#REF!</v>
      </c>
      <c r="G82" s="19" t="e">
        <f>'25hike'!G82+IPI_plus!G77</f>
        <v>#REF!</v>
      </c>
    </row>
    <row r="83" spans="1:7" hidden="1" x14ac:dyDescent="0.55000000000000004">
      <c r="A83" s="5">
        <f t="shared" si="6"/>
        <v>19.25</v>
      </c>
      <c r="B83" s="4">
        <f t="shared" si="7"/>
        <v>0</v>
      </c>
      <c r="C83" s="19" t="e">
        <f>'25hike'!C83+IPI_plus!C78</f>
        <v>#REF!</v>
      </c>
      <c r="D83" s="19" t="e">
        <f>'25hike'!D83+IPI_plus!D78</f>
        <v>#REF!</v>
      </c>
      <c r="E83" s="19" t="e">
        <f>'25hike'!E83+IPI_plus!E78</f>
        <v>#REF!</v>
      </c>
      <c r="F83" s="19" t="e">
        <f>'25hike'!F83+IPI_plus!F78</f>
        <v>#REF!</v>
      </c>
      <c r="G83" s="19" t="e">
        <f>'25hike'!G83+IPI_plus!G78</f>
        <v>#REF!</v>
      </c>
    </row>
    <row r="84" spans="1:7" hidden="1" x14ac:dyDescent="0.55000000000000004">
      <c r="A84" s="5">
        <f t="shared" si="6"/>
        <v>19.5</v>
      </c>
      <c r="B84" s="4">
        <f t="shared" si="7"/>
        <v>0</v>
      </c>
      <c r="C84" s="19" t="e">
        <f>'25hike'!C84+IPI_plus!C79</f>
        <v>#REF!</v>
      </c>
      <c r="D84" s="19" t="e">
        <f>'25hike'!D84+IPI_plus!D79</f>
        <v>#REF!</v>
      </c>
      <c r="E84" s="19" t="e">
        <f>'25hike'!E84+IPI_plus!E79</f>
        <v>#REF!</v>
      </c>
      <c r="F84" s="19" t="e">
        <f>'25hike'!F84+IPI_plus!F79</f>
        <v>#REF!</v>
      </c>
      <c r="G84" s="19" t="e">
        <f>'25hike'!G84+IPI_plus!G79</f>
        <v>#REF!</v>
      </c>
    </row>
    <row r="85" spans="1:7" hidden="1" x14ac:dyDescent="0.55000000000000004">
      <c r="A85" s="5">
        <f t="shared" si="6"/>
        <v>19.75</v>
      </c>
      <c r="B85" s="4">
        <f t="shared" si="7"/>
        <v>0</v>
      </c>
      <c r="C85" s="19" t="e">
        <f>'25hike'!C85+IPI_plus!C80</f>
        <v>#REF!</v>
      </c>
      <c r="D85" s="19" t="e">
        <f>'25hike'!D85+IPI_plus!D80</f>
        <v>#REF!</v>
      </c>
      <c r="E85" s="19" t="e">
        <f>'25hike'!E85+IPI_plus!E80</f>
        <v>#REF!</v>
      </c>
      <c r="F85" s="19" t="e">
        <f>'25hike'!F85+IPI_plus!F80</f>
        <v>#REF!</v>
      </c>
      <c r="G85" s="19" t="e">
        <f>'25hike'!G85+IPI_plus!G80</f>
        <v>#REF!</v>
      </c>
    </row>
    <row r="86" spans="1:7" hidden="1" x14ac:dyDescent="0.55000000000000004">
      <c r="A86" s="5">
        <f t="shared" si="6"/>
        <v>20</v>
      </c>
      <c r="B86" s="4">
        <f t="shared" si="7"/>
        <v>0</v>
      </c>
      <c r="C86" s="19" t="e">
        <f>'25hike'!C86+IPI_plus!C81</f>
        <v>#REF!</v>
      </c>
      <c r="D86" s="19" t="e">
        <f>'25hike'!D86+IPI_plus!D81</f>
        <v>#REF!</v>
      </c>
      <c r="E86" s="19" t="e">
        <f>'25hike'!E86+IPI_plus!E81</f>
        <v>#REF!</v>
      </c>
      <c r="F86" s="19" t="e">
        <f>'25hike'!F86+IPI_plus!F81</f>
        <v>#REF!</v>
      </c>
      <c r="G86" s="19" t="e">
        <f>'25hike'!G86+IPI_plus!G81</f>
        <v>#REF!</v>
      </c>
    </row>
    <row r="87" spans="1:7" hidden="1" x14ac:dyDescent="0.55000000000000004">
      <c r="A87" s="5">
        <f t="shared" si="6"/>
        <v>20.25</v>
      </c>
      <c r="B87" s="4">
        <f t="shared" si="7"/>
        <v>0</v>
      </c>
      <c r="C87" s="19" t="e">
        <f>'25hike'!C87+IPI_plus!C82</f>
        <v>#REF!</v>
      </c>
      <c r="D87" s="19" t="e">
        <f>'25hike'!D87+IPI_plus!D82</f>
        <v>#REF!</v>
      </c>
      <c r="E87" s="19" t="e">
        <f>'25hike'!E87+IPI_plus!E82</f>
        <v>#REF!</v>
      </c>
      <c r="F87" s="19" t="e">
        <f>'25hike'!F87+IPI_plus!F82</f>
        <v>#REF!</v>
      </c>
      <c r="G87" s="19" t="e">
        <f>'25hike'!G87+IPI_plus!G82</f>
        <v>#REF!</v>
      </c>
    </row>
    <row r="88" spans="1:7" hidden="1" x14ac:dyDescent="0.55000000000000004">
      <c r="A88" s="5">
        <f t="shared" si="6"/>
        <v>20.5</v>
      </c>
      <c r="B88" s="4">
        <f t="shared" si="7"/>
        <v>0</v>
      </c>
      <c r="C88" s="19" t="e">
        <f>'25hike'!C88+IPI_plus!C83</f>
        <v>#REF!</v>
      </c>
      <c r="D88" s="19" t="e">
        <f>'25hike'!D88+IPI_plus!D83</f>
        <v>#REF!</v>
      </c>
      <c r="E88" s="19" t="e">
        <f>'25hike'!E88+IPI_plus!E83</f>
        <v>#REF!</v>
      </c>
      <c r="F88" s="19" t="e">
        <f>'25hike'!F88+IPI_plus!F83</f>
        <v>#REF!</v>
      </c>
      <c r="G88" s="19" t="e">
        <f>'25hike'!G88+IPI_plus!G83</f>
        <v>#REF!</v>
      </c>
    </row>
    <row r="89" spans="1:7" hidden="1" x14ac:dyDescent="0.55000000000000004">
      <c r="A89" s="5">
        <f t="shared" si="6"/>
        <v>20.75</v>
      </c>
      <c r="B89" s="4">
        <f t="shared" si="7"/>
        <v>0</v>
      </c>
      <c r="C89" s="19" t="e">
        <f>'25hike'!C89+IPI_plus!C84</f>
        <v>#REF!</v>
      </c>
      <c r="D89" s="19" t="e">
        <f>'25hike'!D89+IPI_plus!D84</f>
        <v>#REF!</v>
      </c>
      <c r="E89" s="19" t="e">
        <f>'25hike'!E89+IPI_plus!E84</f>
        <v>#REF!</v>
      </c>
      <c r="F89" s="19" t="e">
        <f>'25hike'!F89+IPI_plus!F84</f>
        <v>#REF!</v>
      </c>
      <c r="G89" s="19" t="e">
        <f>'25hike'!G89+IPI_plus!G84</f>
        <v>#REF!</v>
      </c>
    </row>
    <row r="90" spans="1:7" hidden="1" x14ac:dyDescent="0.55000000000000004">
      <c r="A90" s="5">
        <f t="shared" si="6"/>
        <v>21</v>
      </c>
      <c r="B90" s="4">
        <f t="shared" si="7"/>
        <v>0</v>
      </c>
      <c r="C90" s="19" t="e">
        <f>'25hike'!C90+IPI_plus!C85</f>
        <v>#REF!</v>
      </c>
      <c r="D90" s="19" t="e">
        <f>'25hike'!D90+IPI_plus!D85</f>
        <v>#REF!</v>
      </c>
      <c r="E90" s="19" t="e">
        <f>'25hike'!E90+IPI_plus!E85</f>
        <v>#REF!</v>
      </c>
      <c r="F90" s="19" t="e">
        <f>'25hike'!F90+IPI_plus!F85</f>
        <v>#REF!</v>
      </c>
      <c r="G90" s="19" t="e">
        <f>'25hike'!G90+IPI_plus!G85</f>
        <v>#REF!</v>
      </c>
    </row>
    <row r="91" spans="1:7" hidden="1" x14ac:dyDescent="0.55000000000000004">
      <c r="A91" s="5">
        <f t="shared" si="6"/>
        <v>21.25</v>
      </c>
      <c r="B91" s="4">
        <f t="shared" si="7"/>
        <v>0</v>
      </c>
      <c r="C91" s="19" t="e">
        <f>'25hike'!C91+IPI_plus!C86</f>
        <v>#REF!</v>
      </c>
      <c r="D91" s="19" t="e">
        <f>'25hike'!D91+IPI_plus!D86</f>
        <v>#REF!</v>
      </c>
      <c r="E91" s="19" t="e">
        <f>'25hike'!E91+IPI_plus!E86</f>
        <v>#REF!</v>
      </c>
      <c r="F91" s="19" t="e">
        <f>'25hike'!F91+IPI_plus!F86</f>
        <v>#REF!</v>
      </c>
      <c r="G91" s="19" t="e">
        <f>'25hike'!G91+IPI_plus!G86</f>
        <v>#REF!</v>
      </c>
    </row>
    <row r="92" spans="1:7" hidden="1" x14ac:dyDescent="0.55000000000000004">
      <c r="A92" s="5">
        <f t="shared" si="6"/>
        <v>21.5</v>
      </c>
      <c r="B92" s="4">
        <f t="shared" si="7"/>
        <v>0</v>
      </c>
      <c r="C92" s="19" t="e">
        <f>'25hike'!C92+IPI_plus!C87</f>
        <v>#REF!</v>
      </c>
      <c r="D92" s="19" t="e">
        <f>'25hike'!D92+IPI_plus!D87</f>
        <v>#REF!</v>
      </c>
      <c r="E92" s="19" t="e">
        <f>'25hike'!E92+IPI_plus!E87</f>
        <v>#REF!</v>
      </c>
      <c r="F92" s="19" t="e">
        <f>'25hike'!F92+IPI_plus!F87</f>
        <v>#REF!</v>
      </c>
      <c r="G92" s="19" t="e">
        <f>'25hike'!G92+IPI_plus!G87</f>
        <v>#REF!</v>
      </c>
    </row>
    <row r="93" spans="1:7" hidden="1" x14ac:dyDescent="0.55000000000000004">
      <c r="A93" s="5">
        <f t="shared" si="6"/>
        <v>21.75</v>
      </c>
      <c r="B93" s="4">
        <f t="shared" si="7"/>
        <v>0</v>
      </c>
      <c r="C93" s="19" t="e">
        <f>'25hike'!C93+IPI_plus!C88</f>
        <v>#REF!</v>
      </c>
      <c r="D93" s="19" t="e">
        <f>'25hike'!D93+IPI_plus!D88</f>
        <v>#REF!</v>
      </c>
      <c r="E93" s="19" t="e">
        <f>'25hike'!E93+IPI_plus!E88</f>
        <v>#REF!</v>
      </c>
      <c r="F93" s="19" t="e">
        <f>'25hike'!F93+IPI_plus!F88</f>
        <v>#REF!</v>
      </c>
      <c r="G93" s="19" t="e">
        <f>'25hike'!G93+IPI_plus!G88</f>
        <v>#REF!</v>
      </c>
    </row>
    <row r="94" spans="1:7" hidden="1" x14ac:dyDescent="0.55000000000000004">
      <c r="A94" s="5">
        <f t="shared" si="6"/>
        <v>22</v>
      </c>
      <c r="B94" s="4">
        <f t="shared" si="7"/>
        <v>0</v>
      </c>
      <c r="C94" s="19" t="e">
        <f>'25hike'!C94+IPI_plus!C89</f>
        <v>#REF!</v>
      </c>
      <c r="D94" s="19" t="e">
        <f>'25hike'!D94+IPI_plus!D89</f>
        <v>#REF!</v>
      </c>
      <c r="E94" s="19" t="e">
        <f>'25hike'!E94+IPI_plus!E89</f>
        <v>#REF!</v>
      </c>
      <c r="F94" s="19" t="e">
        <f>'25hike'!F94+IPI_plus!F89</f>
        <v>#REF!</v>
      </c>
      <c r="G94" s="19" t="e">
        <f>'25hike'!G94+IPI_plus!G89</f>
        <v>#REF!</v>
      </c>
    </row>
    <row r="95" spans="1:7" hidden="1" x14ac:dyDescent="0.55000000000000004">
      <c r="A95" s="5">
        <f t="shared" si="6"/>
        <v>22.25</v>
      </c>
      <c r="B95" s="4">
        <f t="shared" si="7"/>
        <v>0</v>
      </c>
      <c r="C95" s="19" t="e">
        <f>'25hike'!C95+IPI_plus!C90</f>
        <v>#REF!</v>
      </c>
      <c r="D95" s="19" t="e">
        <f>'25hike'!D95+IPI_plus!D90</f>
        <v>#REF!</v>
      </c>
      <c r="E95" s="19" t="e">
        <f>'25hike'!E95+IPI_plus!E90</f>
        <v>#REF!</v>
      </c>
      <c r="F95" s="19" t="e">
        <f>'25hike'!F95+IPI_plus!F90</f>
        <v>#REF!</v>
      </c>
      <c r="G95" s="19" t="e">
        <f>'25hike'!G95+IPI_plus!G90</f>
        <v>#REF!</v>
      </c>
    </row>
    <row r="96" spans="1:7" hidden="1" x14ac:dyDescent="0.55000000000000004">
      <c r="A96" s="5">
        <f t="shared" si="6"/>
        <v>22.5</v>
      </c>
      <c r="B96" s="4">
        <f t="shared" si="7"/>
        <v>0</v>
      </c>
      <c r="C96" s="19" t="e">
        <f>'25hike'!C96+IPI_plus!C91</f>
        <v>#REF!</v>
      </c>
      <c r="D96" s="19" t="e">
        <f>'25hike'!D96+IPI_plus!D91</f>
        <v>#REF!</v>
      </c>
      <c r="E96" s="19" t="e">
        <f>'25hike'!E96+IPI_plus!E91</f>
        <v>#REF!</v>
      </c>
      <c r="F96" s="19" t="e">
        <f>'25hike'!F96+IPI_plus!F91</f>
        <v>#REF!</v>
      </c>
      <c r="G96" s="19" t="e">
        <f>'25hike'!G96+IPI_plus!G91</f>
        <v>#REF!</v>
      </c>
    </row>
    <row r="97" spans="1:7" hidden="1" x14ac:dyDescent="0.55000000000000004">
      <c r="A97" s="5">
        <f t="shared" si="6"/>
        <v>22.75</v>
      </c>
      <c r="B97" s="4">
        <f t="shared" si="7"/>
        <v>0</v>
      </c>
      <c r="C97" s="19" t="e">
        <f>'25hike'!C97+IPI_plus!C92</f>
        <v>#REF!</v>
      </c>
      <c r="D97" s="19" t="e">
        <f>'25hike'!D97+IPI_plus!D92</f>
        <v>#REF!</v>
      </c>
      <c r="E97" s="19" t="e">
        <f>'25hike'!E97+IPI_plus!E92</f>
        <v>#REF!</v>
      </c>
      <c r="F97" s="19" t="e">
        <f>'25hike'!F97+IPI_plus!F92</f>
        <v>#REF!</v>
      </c>
      <c r="G97" s="19" t="e">
        <f>'25hike'!G97+IPI_plus!G92</f>
        <v>#REF!</v>
      </c>
    </row>
    <row r="98" spans="1:7" hidden="1" x14ac:dyDescent="0.55000000000000004">
      <c r="A98" s="5">
        <f t="shared" si="6"/>
        <v>23</v>
      </c>
      <c r="B98" s="4">
        <f t="shared" si="7"/>
        <v>0</v>
      </c>
      <c r="C98" s="19" t="e">
        <f>'25hike'!C98+IPI_plus!C93</f>
        <v>#REF!</v>
      </c>
      <c r="D98" s="19" t="e">
        <f>'25hike'!D98+IPI_plus!D93</f>
        <v>#REF!</v>
      </c>
      <c r="E98" s="19" t="e">
        <f>'25hike'!E98+IPI_plus!E93</f>
        <v>#REF!</v>
      </c>
      <c r="F98" s="19" t="e">
        <f>'25hike'!F98+IPI_plus!F93</f>
        <v>#REF!</v>
      </c>
      <c r="G98" s="19" t="e">
        <f>'25hike'!G98+IPI_plus!G93</f>
        <v>#REF!</v>
      </c>
    </row>
    <row r="99" spans="1:7" hidden="1" x14ac:dyDescent="0.55000000000000004">
      <c r="A99" s="5">
        <f t="shared" si="6"/>
        <v>23.25</v>
      </c>
      <c r="B99" s="4">
        <f t="shared" si="7"/>
        <v>0</v>
      </c>
      <c r="C99" s="19" t="e">
        <f>'25hike'!C99+IPI_plus!C94</f>
        <v>#REF!</v>
      </c>
      <c r="D99" s="19" t="e">
        <f>'25hike'!D99+IPI_plus!D94</f>
        <v>#REF!</v>
      </c>
      <c r="E99" s="19" t="e">
        <f>'25hike'!E99+IPI_plus!E94</f>
        <v>#REF!</v>
      </c>
      <c r="F99" s="19" t="e">
        <f>'25hike'!F99+IPI_plus!F94</f>
        <v>#REF!</v>
      </c>
      <c r="G99" s="19" t="e">
        <f>'25hike'!G99+IPI_plus!G94</f>
        <v>#REF!</v>
      </c>
    </row>
    <row r="100" spans="1:7" hidden="1" x14ac:dyDescent="0.55000000000000004">
      <c r="A100" s="5">
        <f t="shared" si="6"/>
        <v>23.5</v>
      </c>
      <c r="B100" s="4">
        <f t="shared" si="7"/>
        <v>0</v>
      </c>
      <c r="C100" s="19" t="e">
        <f>'25hike'!C100+IPI_plus!C95</f>
        <v>#REF!</v>
      </c>
      <c r="D100" s="19" t="e">
        <f>'25hike'!D100+IPI_plus!D95</f>
        <v>#REF!</v>
      </c>
      <c r="E100" s="19" t="e">
        <f>'25hike'!E100+IPI_plus!E95</f>
        <v>#REF!</v>
      </c>
      <c r="F100" s="19" t="e">
        <f>'25hike'!F100+IPI_plus!F95</f>
        <v>#REF!</v>
      </c>
      <c r="G100" s="19" t="e">
        <f>'25hike'!G100+IPI_plus!G95</f>
        <v>#REF!</v>
      </c>
    </row>
    <row r="101" spans="1:7" hidden="1" x14ac:dyDescent="0.55000000000000004">
      <c r="A101" s="5">
        <f t="shared" si="6"/>
        <v>23.75</v>
      </c>
      <c r="B101" s="4">
        <f t="shared" si="7"/>
        <v>0</v>
      </c>
      <c r="C101" s="19" t="e">
        <f>'25hike'!C101+IPI_plus!C96</f>
        <v>#REF!</v>
      </c>
      <c r="D101" s="19" t="e">
        <f>'25hike'!D101+IPI_plus!D96</f>
        <v>#REF!</v>
      </c>
      <c r="E101" s="19" t="e">
        <f>'25hike'!E101+IPI_plus!E96</f>
        <v>#REF!</v>
      </c>
      <c r="F101" s="19" t="e">
        <f>'25hike'!F101+IPI_plus!F96</f>
        <v>#REF!</v>
      </c>
      <c r="G101" s="19" t="e">
        <f>'25hike'!G101+IPI_plus!G96</f>
        <v>#REF!</v>
      </c>
    </row>
    <row r="102" spans="1:7" hidden="1" x14ac:dyDescent="0.55000000000000004">
      <c r="A102" s="5">
        <f t="shared" si="6"/>
        <v>24</v>
      </c>
      <c r="B102" s="4">
        <f t="shared" si="7"/>
        <v>0</v>
      </c>
      <c r="C102" s="19" t="e">
        <f>'25hike'!C102+IPI_plus!C97</f>
        <v>#REF!</v>
      </c>
      <c r="D102" s="19" t="e">
        <f>'25hike'!D102+IPI_plus!D97</f>
        <v>#REF!</v>
      </c>
      <c r="E102" s="19" t="e">
        <f>'25hike'!E102+IPI_plus!E97</f>
        <v>#REF!</v>
      </c>
      <c r="F102" s="19" t="e">
        <f>'25hike'!F102+IPI_plus!F97</f>
        <v>#REF!</v>
      </c>
      <c r="G102" s="19" t="e">
        <f>'25hike'!G102+IPI_plus!G97</f>
        <v>#REF!</v>
      </c>
    </row>
    <row r="103" spans="1:7" hidden="1" x14ac:dyDescent="0.55000000000000004">
      <c r="A103" s="5">
        <f t="shared" si="6"/>
        <v>24.25</v>
      </c>
      <c r="B103" s="4">
        <f t="shared" si="7"/>
        <v>0</v>
      </c>
      <c r="C103" s="19" t="e">
        <f>'25hike'!C103+IPI_plus!C98</f>
        <v>#REF!</v>
      </c>
      <c r="D103" s="19" t="e">
        <f>'25hike'!D103+IPI_plus!D98</f>
        <v>#REF!</v>
      </c>
      <c r="E103" s="19" t="e">
        <f>'25hike'!E103+IPI_plus!E98</f>
        <v>#REF!</v>
      </c>
      <c r="F103" s="19" t="e">
        <f>'25hike'!F103+IPI_plus!F98</f>
        <v>#REF!</v>
      </c>
      <c r="G103" s="19" t="e">
        <f>'25hike'!G103+IPI_plus!G98</f>
        <v>#REF!</v>
      </c>
    </row>
    <row r="104" spans="1:7" hidden="1" x14ac:dyDescent="0.55000000000000004">
      <c r="A104" s="5">
        <f t="shared" si="6"/>
        <v>24.5</v>
      </c>
      <c r="B104" s="4">
        <f t="shared" si="7"/>
        <v>0</v>
      </c>
      <c r="C104" s="19" t="e">
        <f>'25hike'!C104+IPI_plus!C99</f>
        <v>#REF!</v>
      </c>
      <c r="D104" s="19" t="e">
        <f>'25hike'!D104+IPI_plus!D99</f>
        <v>#REF!</v>
      </c>
      <c r="E104" s="19" t="e">
        <f>'25hike'!E104+IPI_plus!E99</f>
        <v>#REF!</v>
      </c>
      <c r="F104" s="19" t="e">
        <f>'25hike'!F104+IPI_plus!F99</f>
        <v>#REF!</v>
      </c>
      <c r="G104" s="19" t="e">
        <f>'25hike'!G104+IPI_plus!G99</f>
        <v>#REF!</v>
      </c>
    </row>
    <row r="105" spans="1:7" hidden="1" x14ac:dyDescent="0.55000000000000004">
      <c r="A105" s="5">
        <f t="shared" si="6"/>
        <v>24.75</v>
      </c>
      <c r="B105" s="4">
        <f t="shared" si="7"/>
        <v>0</v>
      </c>
      <c r="C105" s="19" t="e">
        <f>'25hike'!C105+IPI_plus!C100</f>
        <v>#REF!</v>
      </c>
      <c r="D105" s="19" t="e">
        <f>'25hike'!D105+IPI_plus!D100</f>
        <v>#REF!</v>
      </c>
      <c r="E105" s="19" t="e">
        <f>'25hike'!E105+IPI_plus!E100</f>
        <v>#REF!</v>
      </c>
      <c r="F105" s="19" t="e">
        <f>'25hike'!F105+IPI_plus!F100</f>
        <v>#REF!</v>
      </c>
      <c r="G105" s="19" t="e">
        <f>'25hike'!G105+IPI_plus!G100</f>
        <v>#REF!</v>
      </c>
    </row>
    <row r="106" spans="1:7" hidden="1" x14ac:dyDescent="0.55000000000000004">
      <c r="A106" s="5">
        <f t="shared" si="6"/>
        <v>25</v>
      </c>
      <c r="B106" s="4">
        <f t="shared" si="7"/>
        <v>0</v>
      </c>
      <c r="C106" s="19" t="e">
        <f>'25hike'!C106+IPI_plus!C101</f>
        <v>#REF!</v>
      </c>
      <c r="D106" s="19" t="e">
        <f>'25hike'!D106+IPI_plus!D101</f>
        <v>#REF!</v>
      </c>
      <c r="E106" s="19" t="e">
        <f>'25hike'!E106+IPI_plus!E101</f>
        <v>#REF!</v>
      </c>
      <c r="F106" s="19" t="e">
        <f>'25hike'!F106+IPI_plus!F101</f>
        <v>#REF!</v>
      </c>
      <c r="G106" s="19" t="e">
        <f>'25hike'!G106+IPI_plus!G101</f>
        <v>#REF!</v>
      </c>
    </row>
    <row r="107" spans="1:7" hidden="1" x14ac:dyDescent="0.55000000000000004">
      <c r="A107" s="5">
        <f t="shared" si="6"/>
        <v>25.25</v>
      </c>
      <c r="B107" s="4">
        <f t="shared" si="7"/>
        <v>0</v>
      </c>
      <c r="C107" s="19" t="e">
        <f>'25hike'!C107+IPI_plus!C102</f>
        <v>#REF!</v>
      </c>
      <c r="D107" s="19" t="e">
        <f>'25hike'!D107+IPI_plus!D102</f>
        <v>#REF!</v>
      </c>
      <c r="E107" s="19" t="e">
        <f>'25hike'!E107+IPI_plus!E102</f>
        <v>#REF!</v>
      </c>
      <c r="F107" s="19" t="e">
        <f>'25hike'!F107+IPI_plus!F102</f>
        <v>#REF!</v>
      </c>
      <c r="G107" s="19" t="e">
        <f>'25hike'!G107+IPI_plus!G102</f>
        <v>#REF!</v>
      </c>
    </row>
    <row r="108" spans="1:7" hidden="1" x14ac:dyDescent="0.55000000000000004">
      <c r="A108" s="5">
        <f t="shared" si="6"/>
        <v>25.5</v>
      </c>
      <c r="B108" s="4">
        <f t="shared" si="7"/>
        <v>0</v>
      </c>
      <c r="C108" s="19" t="e">
        <f>'25hike'!C108+IPI_plus!C103</f>
        <v>#REF!</v>
      </c>
      <c r="D108" s="19" t="e">
        <f>'25hike'!D108+IPI_plus!D103</f>
        <v>#REF!</v>
      </c>
      <c r="E108" s="19" t="e">
        <f>'25hike'!E108+IPI_plus!E103</f>
        <v>#REF!</v>
      </c>
      <c r="F108" s="19" t="e">
        <f>'25hike'!F108+IPI_plus!F103</f>
        <v>#REF!</v>
      </c>
      <c r="G108" s="19" t="e">
        <f>'25hike'!G108+IPI_plus!G103</f>
        <v>#REF!</v>
      </c>
    </row>
    <row r="109" spans="1:7" hidden="1" x14ac:dyDescent="0.55000000000000004">
      <c r="A109" s="5">
        <f t="shared" si="6"/>
        <v>25.75</v>
      </c>
      <c r="B109" s="4">
        <f t="shared" si="7"/>
        <v>0</v>
      </c>
      <c r="C109" s="19" t="e">
        <f>'25hike'!C109+IPI_plus!C104</f>
        <v>#REF!</v>
      </c>
      <c r="D109" s="19" t="e">
        <f>'25hike'!D109+IPI_plus!D104</f>
        <v>#REF!</v>
      </c>
      <c r="E109" s="19" t="e">
        <f>'25hike'!E109+IPI_plus!E104</f>
        <v>#REF!</v>
      </c>
      <c r="F109" s="19" t="e">
        <f>'25hike'!F109+IPI_plus!F104</f>
        <v>#REF!</v>
      </c>
      <c r="G109" s="19" t="e">
        <f>'25hike'!G109+IPI_plus!G104</f>
        <v>#REF!</v>
      </c>
    </row>
    <row r="110" spans="1:7" hidden="1" x14ac:dyDescent="0.55000000000000004">
      <c r="A110" s="5">
        <f t="shared" si="6"/>
        <v>26</v>
      </c>
      <c r="B110" s="4">
        <f t="shared" si="7"/>
        <v>0</v>
      </c>
      <c r="C110" s="19" t="e">
        <f>'25hike'!C110+IPI_plus!C105</f>
        <v>#REF!</v>
      </c>
      <c r="D110" s="19" t="e">
        <f>'25hike'!D110+IPI_plus!D105</f>
        <v>#REF!</v>
      </c>
      <c r="E110" s="19" t="e">
        <f>'25hike'!E110+IPI_plus!E105</f>
        <v>#REF!</v>
      </c>
      <c r="F110" s="19" t="e">
        <f>'25hike'!F110+IPI_plus!F105</f>
        <v>#REF!</v>
      </c>
      <c r="G110" s="19" t="e">
        <f>'25hike'!G110+IPI_plus!G105</f>
        <v>#REF!</v>
      </c>
    </row>
    <row r="111" spans="1:7" hidden="1" x14ac:dyDescent="0.55000000000000004">
      <c r="A111" s="5">
        <f t="shared" si="6"/>
        <v>26.25</v>
      </c>
      <c r="B111" s="4">
        <f t="shared" si="7"/>
        <v>0</v>
      </c>
      <c r="C111" s="19" t="e">
        <f>'25hike'!C111+IPI_plus!C106</f>
        <v>#REF!</v>
      </c>
      <c r="D111" s="19" t="e">
        <f>'25hike'!D111+IPI_plus!D106</f>
        <v>#REF!</v>
      </c>
      <c r="E111" s="19" t="e">
        <f>'25hike'!E111+IPI_plus!E106</f>
        <v>#REF!</v>
      </c>
      <c r="F111" s="19" t="e">
        <f>'25hike'!F111+IPI_plus!F106</f>
        <v>#REF!</v>
      </c>
      <c r="G111" s="19" t="e">
        <f>'25hike'!G111+IPI_plus!G106</f>
        <v>#REF!</v>
      </c>
    </row>
    <row r="112" spans="1:7" hidden="1" x14ac:dyDescent="0.55000000000000004">
      <c r="A112" s="5">
        <f t="shared" si="6"/>
        <v>26.5</v>
      </c>
      <c r="B112" s="4">
        <f t="shared" si="7"/>
        <v>0</v>
      </c>
      <c r="C112" s="19" t="e">
        <f>'25hike'!C112+IPI_plus!C107</f>
        <v>#REF!</v>
      </c>
      <c r="D112" s="19" t="e">
        <f>'25hike'!D112+IPI_plus!D107</f>
        <v>#REF!</v>
      </c>
      <c r="E112" s="19" t="e">
        <f>'25hike'!E112+IPI_plus!E107</f>
        <v>#REF!</v>
      </c>
      <c r="F112" s="19" t="e">
        <f>'25hike'!F112+IPI_plus!F107</f>
        <v>#REF!</v>
      </c>
      <c r="G112" s="19" t="e">
        <f>'25hike'!G112+IPI_plus!G107</f>
        <v>#REF!</v>
      </c>
    </row>
    <row r="113" spans="1:7" hidden="1" x14ac:dyDescent="0.55000000000000004">
      <c r="A113" s="5">
        <f t="shared" si="6"/>
        <v>26.75</v>
      </c>
      <c r="B113" s="4">
        <f t="shared" si="7"/>
        <v>0</v>
      </c>
      <c r="C113" s="19" t="e">
        <f>'25hike'!C113+IPI_plus!C108</f>
        <v>#REF!</v>
      </c>
      <c r="D113" s="19" t="e">
        <f>'25hike'!D113+IPI_plus!D108</f>
        <v>#REF!</v>
      </c>
      <c r="E113" s="19" t="e">
        <f>'25hike'!E113+IPI_plus!E108</f>
        <v>#REF!</v>
      </c>
      <c r="F113" s="19" t="e">
        <f>'25hike'!F113+IPI_plus!F108</f>
        <v>#REF!</v>
      </c>
      <c r="G113" s="19" t="e">
        <f>'25hike'!G113+IPI_plus!G108</f>
        <v>#REF!</v>
      </c>
    </row>
    <row r="114" spans="1:7" hidden="1" x14ac:dyDescent="0.55000000000000004">
      <c r="A114" s="5">
        <f t="shared" si="6"/>
        <v>27</v>
      </c>
      <c r="B114" s="4">
        <f t="shared" si="7"/>
        <v>0</v>
      </c>
      <c r="C114" s="19" t="e">
        <f>'25hike'!C114+IPI_plus!C109</f>
        <v>#REF!</v>
      </c>
      <c r="D114" s="19" t="e">
        <f>'25hike'!D114+IPI_plus!D109</f>
        <v>#REF!</v>
      </c>
      <c r="E114" s="19" t="e">
        <f>'25hike'!E114+IPI_plus!E109</f>
        <v>#REF!</v>
      </c>
      <c r="F114" s="19" t="e">
        <f>'25hike'!F114+IPI_plus!F109</f>
        <v>#REF!</v>
      </c>
      <c r="G114" s="19" t="e">
        <f>'25hike'!G114+IPI_plus!G109</f>
        <v>#REF!</v>
      </c>
    </row>
    <row r="115" spans="1:7" hidden="1" x14ac:dyDescent="0.55000000000000004">
      <c r="A115" s="5">
        <f t="shared" si="6"/>
        <v>27.25</v>
      </c>
      <c r="B115" s="4">
        <f t="shared" si="7"/>
        <v>0</v>
      </c>
      <c r="C115" s="19" t="e">
        <f>'25hike'!C115+IPI_plus!C110</f>
        <v>#REF!</v>
      </c>
      <c r="D115" s="19" t="e">
        <f>'25hike'!D115+IPI_plus!D110</f>
        <v>#REF!</v>
      </c>
      <c r="E115" s="19" t="e">
        <f>'25hike'!E115+IPI_plus!E110</f>
        <v>#REF!</v>
      </c>
      <c r="F115" s="19" t="e">
        <f>'25hike'!F115+IPI_plus!F110</f>
        <v>#REF!</v>
      </c>
      <c r="G115" s="19" t="e">
        <f>'25hike'!G115+IPI_plus!G110</f>
        <v>#REF!</v>
      </c>
    </row>
    <row r="116" spans="1:7" hidden="1" x14ac:dyDescent="0.55000000000000004">
      <c r="A116" s="5">
        <f t="shared" si="6"/>
        <v>27.5</v>
      </c>
      <c r="B116" s="4">
        <f t="shared" si="7"/>
        <v>0</v>
      </c>
      <c r="C116" s="19" t="e">
        <f>'25hike'!C116+IPI_plus!C111</f>
        <v>#REF!</v>
      </c>
      <c r="D116" s="19" t="e">
        <f>'25hike'!D116+IPI_plus!D111</f>
        <v>#REF!</v>
      </c>
      <c r="E116" s="19" t="e">
        <f>'25hike'!E116+IPI_plus!E111</f>
        <v>#REF!</v>
      </c>
      <c r="F116" s="19" t="e">
        <f>'25hike'!F116+IPI_plus!F111</f>
        <v>#REF!</v>
      </c>
      <c r="G116" s="19" t="e">
        <f>'25hike'!G116+IPI_plus!G111</f>
        <v>#REF!</v>
      </c>
    </row>
    <row r="117" spans="1:7" hidden="1" x14ac:dyDescent="0.55000000000000004">
      <c r="A117" s="5">
        <f t="shared" si="6"/>
        <v>27.75</v>
      </c>
      <c r="B117" s="4">
        <f t="shared" si="7"/>
        <v>0</v>
      </c>
      <c r="C117" s="19" t="e">
        <f>'25hike'!C117+IPI_plus!C112</f>
        <v>#REF!</v>
      </c>
      <c r="D117" s="19" t="e">
        <f>'25hike'!D117+IPI_plus!D112</f>
        <v>#REF!</v>
      </c>
      <c r="E117" s="19" t="e">
        <f>'25hike'!E117+IPI_plus!E112</f>
        <v>#REF!</v>
      </c>
      <c r="F117" s="19" t="e">
        <f>'25hike'!F117+IPI_plus!F112</f>
        <v>#REF!</v>
      </c>
      <c r="G117" s="19" t="e">
        <f>'25hike'!G117+IPI_plus!G112</f>
        <v>#REF!</v>
      </c>
    </row>
    <row r="118" spans="1:7" hidden="1" x14ac:dyDescent="0.55000000000000004">
      <c r="A118" s="5">
        <f t="shared" si="6"/>
        <v>28</v>
      </c>
      <c r="B118" s="4">
        <f t="shared" si="7"/>
        <v>0</v>
      </c>
      <c r="C118" s="19" t="e">
        <f>'25hike'!C118+IPI_plus!C113</f>
        <v>#REF!</v>
      </c>
      <c r="D118" s="19" t="e">
        <f>'25hike'!D118+IPI_plus!D113</f>
        <v>#REF!</v>
      </c>
      <c r="E118" s="19" t="e">
        <f>'25hike'!E118+IPI_plus!E113</f>
        <v>#REF!</v>
      </c>
      <c r="F118" s="19" t="e">
        <f>'25hike'!F118+IPI_plus!F113</f>
        <v>#REF!</v>
      </c>
      <c r="G118" s="19" t="e">
        <f>'25hike'!G118+IPI_plus!G113</f>
        <v>#REF!</v>
      </c>
    </row>
    <row r="119" spans="1:7" hidden="1" x14ac:dyDescent="0.55000000000000004">
      <c r="A119" s="5">
        <f t="shared" si="6"/>
        <v>28.25</v>
      </c>
      <c r="B119" s="4">
        <f t="shared" si="7"/>
        <v>0</v>
      </c>
      <c r="C119" s="19" t="e">
        <f>'25hike'!C119+IPI_plus!C114</f>
        <v>#REF!</v>
      </c>
      <c r="D119" s="19" t="e">
        <f>'25hike'!D119+IPI_plus!D114</f>
        <v>#REF!</v>
      </c>
      <c r="E119" s="19" t="e">
        <f>'25hike'!E119+IPI_plus!E114</f>
        <v>#REF!</v>
      </c>
      <c r="F119" s="19" t="e">
        <f>'25hike'!F119+IPI_plus!F114</f>
        <v>#REF!</v>
      </c>
      <c r="G119" s="19" t="e">
        <f>'25hike'!G119+IPI_plus!G114</f>
        <v>#REF!</v>
      </c>
    </row>
    <row r="120" spans="1:7" hidden="1" x14ac:dyDescent="0.55000000000000004">
      <c r="A120" s="5">
        <f t="shared" si="6"/>
        <v>28.5</v>
      </c>
      <c r="B120" s="4">
        <f t="shared" si="7"/>
        <v>0</v>
      </c>
      <c r="C120" s="19" t="e">
        <f>'25hike'!C120+IPI_plus!C115</f>
        <v>#REF!</v>
      </c>
      <c r="D120" s="19" t="e">
        <f>'25hike'!D120+IPI_plus!D115</f>
        <v>#REF!</v>
      </c>
      <c r="E120" s="19" t="e">
        <f>'25hike'!E120+IPI_plus!E115</f>
        <v>#REF!</v>
      </c>
      <c r="F120" s="19" t="e">
        <f>'25hike'!F120+IPI_plus!F115</f>
        <v>#REF!</v>
      </c>
      <c r="G120" s="19" t="e">
        <f>'25hike'!G120+IPI_plus!G115</f>
        <v>#REF!</v>
      </c>
    </row>
    <row r="121" spans="1:7" hidden="1" x14ac:dyDescent="0.55000000000000004">
      <c r="A121" s="5">
        <f t="shared" si="6"/>
        <v>28.75</v>
      </c>
      <c r="B121" s="4">
        <f t="shared" si="7"/>
        <v>0</v>
      </c>
      <c r="C121" s="19" t="e">
        <f>'25hike'!C121+IPI_plus!C116</f>
        <v>#REF!</v>
      </c>
      <c r="D121" s="19" t="e">
        <f>'25hike'!D121+IPI_plus!D116</f>
        <v>#REF!</v>
      </c>
      <c r="E121" s="19" t="e">
        <f>'25hike'!E121+IPI_plus!E116</f>
        <v>#REF!</v>
      </c>
      <c r="F121" s="19" t="e">
        <f>'25hike'!F121+IPI_plus!F116</f>
        <v>#REF!</v>
      </c>
      <c r="G121" s="19" t="e">
        <f>'25hike'!G121+IPI_plus!G116</f>
        <v>#REF!</v>
      </c>
    </row>
    <row r="122" spans="1:7" hidden="1" x14ac:dyDescent="0.55000000000000004">
      <c r="A122" s="5">
        <f t="shared" si="6"/>
        <v>29</v>
      </c>
      <c r="B122" s="4">
        <f t="shared" si="7"/>
        <v>0</v>
      </c>
      <c r="C122" s="19" t="e">
        <f>'25hike'!C122+IPI_plus!C117</f>
        <v>#REF!</v>
      </c>
      <c r="D122" s="19" t="e">
        <f>'25hike'!D122+IPI_plus!D117</f>
        <v>#REF!</v>
      </c>
      <c r="E122" s="19" t="e">
        <f>'25hike'!E122+IPI_plus!E117</f>
        <v>#REF!</v>
      </c>
      <c r="F122" s="19" t="e">
        <f>'25hike'!F122+IPI_plus!F117</f>
        <v>#REF!</v>
      </c>
      <c r="G122" s="19" t="e">
        <f>'25hike'!G122+IPI_plus!G117</f>
        <v>#REF!</v>
      </c>
    </row>
    <row r="123" spans="1:7" hidden="1" x14ac:dyDescent="0.55000000000000004">
      <c r="A123" s="5">
        <f t="shared" si="6"/>
        <v>29.25</v>
      </c>
      <c r="B123" s="4">
        <f t="shared" si="7"/>
        <v>0</v>
      </c>
      <c r="C123" s="19" t="e">
        <f>'25hike'!C123+IPI_plus!C118</f>
        <v>#REF!</v>
      </c>
      <c r="D123" s="19" t="e">
        <f>'25hike'!D123+IPI_plus!D118</f>
        <v>#REF!</v>
      </c>
      <c r="E123" s="19" t="e">
        <f>'25hike'!E123+IPI_plus!E118</f>
        <v>#REF!</v>
      </c>
      <c r="F123" s="19" t="e">
        <f>'25hike'!F123+IPI_plus!F118</f>
        <v>#REF!</v>
      </c>
      <c r="G123" s="19" t="e">
        <f>'25hike'!G123+IPI_plus!G118</f>
        <v>#REF!</v>
      </c>
    </row>
    <row r="124" spans="1:7" hidden="1" x14ac:dyDescent="0.55000000000000004">
      <c r="A124" s="5">
        <f t="shared" si="6"/>
        <v>29.5</v>
      </c>
      <c r="B124" s="4">
        <f t="shared" si="7"/>
        <v>0</v>
      </c>
      <c r="C124" s="19" t="e">
        <f>'25hike'!C124+IPI_plus!C119</f>
        <v>#REF!</v>
      </c>
      <c r="D124" s="19" t="e">
        <f>'25hike'!D124+IPI_plus!D119</f>
        <v>#REF!</v>
      </c>
      <c r="E124" s="19" t="e">
        <f>'25hike'!E124+IPI_plus!E119</f>
        <v>#REF!</v>
      </c>
      <c r="F124" s="19" t="e">
        <f>'25hike'!F124+IPI_plus!F119</f>
        <v>#REF!</v>
      </c>
      <c r="G124" s="19" t="e">
        <f>'25hike'!G124+IPI_plus!G119</f>
        <v>#REF!</v>
      </c>
    </row>
    <row r="125" spans="1:7" hidden="1" x14ac:dyDescent="0.55000000000000004">
      <c r="A125" s="5">
        <f t="shared" si="6"/>
        <v>29.75</v>
      </c>
      <c r="B125" s="4">
        <f t="shared" si="7"/>
        <v>0</v>
      </c>
      <c r="C125" s="19" t="e">
        <f>'25hike'!C125+IPI_plus!C120</f>
        <v>#REF!</v>
      </c>
      <c r="D125" s="19" t="e">
        <f>'25hike'!D125+IPI_plus!D120</f>
        <v>#REF!</v>
      </c>
      <c r="E125" s="19" t="e">
        <f>'25hike'!E125+IPI_plus!E120</f>
        <v>#REF!</v>
      </c>
      <c r="F125" s="19" t="e">
        <f>'25hike'!F125+IPI_plus!F120</f>
        <v>#REF!</v>
      </c>
      <c r="G125" s="19" t="e">
        <f>'25hike'!G125+IPI_plus!G120</f>
        <v>#REF!</v>
      </c>
    </row>
    <row r="126" spans="1:7" hidden="1" x14ac:dyDescent="0.55000000000000004">
      <c r="A126" s="5">
        <f t="shared" si="6"/>
        <v>30</v>
      </c>
      <c r="B126" s="4">
        <f t="shared" si="7"/>
        <v>0</v>
      </c>
      <c r="C126" s="19" t="e">
        <f>'25hike'!C126+IPI_plus!C121</f>
        <v>#REF!</v>
      </c>
      <c r="D126" s="19" t="e">
        <f>'25hike'!D126+IPI_plus!D121</f>
        <v>#REF!</v>
      </c>
      <c r="E126" s="19" t="e">
        <f>'25hike'!E126+IPI_plus!E121</f>
        <v>#REF!</v>
      </c>
      <c r="F126" s="19" t="e">
        <f>'25hike'!F126+IPI_plus!F121</f>
        <v>#REF!</v>
      </c>
      <c r="G126" s="19" t="e">
        <f>'25hike'!G126+IPI_plus!G121</f>
        <v>#REF!</v>
      </c>
    </row>
    <row r="127" spans="1:7" hidden="1" x14ac:dyDescent="0.55000000000000004">
      <c r="A127" s="5">
        <f t="shared" si="6"/>
        <v>30.25</v>
      </c>
      <c r="B127" s="4">
        <f t="shared" si="7"/>
        <v>0</v>
      </c>
      <c r="C127" s="19" t="e">
        <f>'25hike'!C127+IPI_plus!C122</f>
        <v>#REF!</v>
      </c>
      <c r="D127" s="19" t="e">
        <f>'25hike'!D127+IPI_plus!D122</f>
        <v>#REF!</v>
      </c>
      <c r="E127" s="19" t="e">
        <f>'25hike'!E127+IPI_plus!E122</f>
        <v>#REF!</v>
      </c>
      <c r="F127" s="19" t="e">
        <f>'25hike'!F127+IPI_plus!F122</f>
        <v>#REF!</v>
      </c>
      <c r="G127" s="19" t="e">
        <f>'25hike'!G127+IPI_plus!G122</f>
        <v>#REF!</v>
      </c>
    </row>
    <row r="128" spans="1:7" hidden="1" x14ac:dyDescent="0.55000000000000004">
      <c r="A128" s="5">
        <f t="shared" si="6"/>
        <v>30.5</v>
      </c>
      <c r="B128" s="4">
        <f t="shared" si="7"/>
        <v>0</v>
      </c>
      <c r="C128" s="19" t="e">
        <f>'25hike'!C128+IPI_plus!C123</f>
        <v>#REF!</v>
      </c>
      <c r="D128" s="19" t="e">
        <f>'25hike'!D128+IPI_plus!D123</f>
        <v>#REF!</v>
      </c>
      <c r="E128" s="19" t="e">
        <f>'25hike'!E128+IPI_plus!E123</f>
        <v>#REF!</v>
      </c>
      <c r="F128" s="19" t="e">
        <f>'25hike'!F128+IPI_plus!F123</f>
        <v>#REF!</v>
      </c>
      <c r="G128" s="19" t="e">
        <f>'25hike'!G128+IPI_plus!G123</f>
        <v>#REF!</v>
      </c>
    </row>
    <row r="129" spans="1:7" hidden="1" x14ac:dyDescent="0.55000000000000004">
      <c r="A129" s="5">
        <f t="shared" si="6"/>
        <v>30.75</v>
      </c>
      <c r="B129" s="4">
        <f t="shared" si="7"/>
        <v>0</v>
      </c>
      <c r="C129" s="19" t="e">
        <f>'25hike'!C129+IPI_plus!C124</f>
        <v>#REF!</v>
      </c>
      <c r="D129" s="19" t="e">
        <f>'25hike'!D129+IPI_plus!D124</f>
        <v>#REF!</v>
      </c>
      <c r="E129" s="19" t="e">
        <f>'25hike'!E129+IPI_plus!E124</f>
        <v>#REF!</v>
      </c>
      <c r="F129" s="19" t="e">
        <f>'25hike'!F129+IPI_plus!F124</f>
        <v>#REF!</v>
      </c>
      <c r="G129" s="19" t="e">
        <f>'25hike'!G129+IPI_plus!G124</f>
        <v>#REF!</v>
      </c>
    </row>
    <row r="130" spans="1:7" hidden="1" x14ac:dyDescent="0.55000000000000004">
      <c r="A130" s="5">
        <f t="shared" si="6"/>
        <v>31</v>
      </c>
      <c r="B130" s="4">
        <f t="shared" si="7"/>
        <v>0</v>
      </c>
      <c r="C130" s="19" t="e">
        <f>'25hike'!C130+IPI_plus!C125</f>
        <v>#REF!</v>
      </c>
      <c r="D130" s="19" t="e">
        <f>'25hike'!D130+IPI_plus!D125</f>
        <v>#REF!</v>
      </c>
      <c r="E130" s="19" t="e">
        <f>'25hike'!E130+IPI_plus!E125</f>
        <v>#REF!</v>
      </c>
      <c r="F130" s="19" t="e">
        <f>'25hike'!F130+IPI_plus!F125</f>
        <v>#REF!</v>
      </c>
      <c r="G130" s="19" t="e">
        <f>'25hike'!G130+IPI_plus!G125</f>
        <v>#REF!</v>
      </c>
    </row>
    <row r="131" spans="1:7" hidden="1" x14ac:dyDescent="0.55000000000000004">
      <c r="A131" s="5">
        <f t="shared" si="6"/>
        <v>31.25</v>
      </c>
      <c r="B131" s="4">
        <f t="shared" si="7"/>
        <v>0</v>
      </c>
      <c r="C131" s="19" t="e">
        <f>'25hike'!C131+IPI_plus!C126</f>
        <v>#REF!</v>
      </c>
      <c r="D131" s="19" t="e">
        <f>'25hike'!D131+IPI_plus!D126</f>
        <v>#REF!</v>
      </c>
      <c r="E131" s="19" t="e">
        <f>'25hike'!E131+IPI_plus!E126</f>
        <v>#REF!</v>
      </c>
      <c r="F131" s="19" t="e">
        <f>'25hike'!F131+IPI_plus!F126</f>
        <v>#REF!</v>
      </c>
      <c r="G131" s="19" t="e">
        <f>'25hike'!G131+IPI_plus!G126</f>
        <v>#REF!</v>
      </c>
    </row>
    <row r="132" spans="1:7" hidden="1" x14ac:dyDescent="0.55000000000000004">
      <c r="A132" s="5">
        <f t="shared" ref="A132:A195" si="8">A131+0.25</f>
        <v>31.5</v>
      </c>
      <c r="B132" s="4">
        <f t="shared" ref="B132:B195" si="9">B131</f>
        <v>0</v>
      </c>
      <c r="C132" s="19" t="e">
        <f>'25hike'!C132+IPI_plus!C127</f>
        <v>#REF!</v>
      </c>
      <c r="D132" s="19" t="e">
        <f>'25hike'!D132+IPI_plus!D127</f>
        <v>#REF!</v>
      </c>
      <c r="E132" s="19" t="e">
        <f>'25hike'!E132+IPI_plus!E127</f>
        <v>#REF!</v>
      </c>
      <c r="F132" s="19" t="e">
        <f>'25hike'!F132+IPI_plus!F127</f>
        <v>#REF!</v>
      </c>
      <c r="G132" s="19" t="e">
        <f>'25hike'!G132+IPI_plus!G127</f>
        <v>#REF!</v>
      </c>
    </row>
    <row r="133" spans="1:7" hidden="1" x14ac:dyDescent="0.55000000000000004">
      <c r="A133" s="5">
        <f t="shared" si="8"/>
        <v>31.75</v>
      </c>
      <c r="B133" s="4">
        <f t="shared" si="9"/>
        <v>0</v>
      </c>
      <c r="C133" s="19" t="e">
        <f>'25hike'!C133+IPI_plus!C128</f>
        <v>#REF!</v>
      </c>
      <c r="D133" s="19" t="e">
        <f>'25hike'!D133+IPI_plus!D128</f>
        <v>#REF!</v>
      </c>
      <c r="E133" s="19" t="e">
        <f>'25hike'!E133+IPI_plus!E128</f>
        <v>#REF!</v>
      </c>
      <c r="F133" s="19" t="e">
        <f>'25hike'!F133+IPI_plus!F128</f>
        <v>#REF!</v>
      </c>
      <c r="G133" s="19" t="e">
        <f>'25hike'!G133+IPI_plus!G128</f>
        <v>#REF!</v>
      </c>
    </row>
    <row r="134" spans="1:7" hidden="1" x14ac:dyDescent="0.55000000000000004">
      <c r="A134" s="5">
        <f t="shared" si="8"/>
        <v>32</v>
      </c>
      <c r="B134" s="4">
        <f t="shared" si="9"/>
        <v>0</v>
      </c>
      <c r="C134" s="19" t="e">
        <f>'25hike'!C134+IPI_plus!C129</f>
        <v>#REF!</v>
      </c>
      <c r="D134" s="19" t="e">
        <f>'25hike'!D134+IPI_plus!D129</f>
        <v>#REF!</v>
      </c>
      <c r="E134" s="19" t="e">
        <f>'25hike'!E134+IPI_plus!E129</f>
        <v>#REF!</v>
      </c>
      <c r="F134" s="19" t="e">
        <f>'25hike'!F134+IPI_plus!F129</f>
        <v>#REF!</v>
      </c>
      <c r="G134" s="19" t="e">
        <f>'25hike'!G134+IPI_plus!G129</f>
        <v>#REF!</v>
      </c>
    </row>
    <row r="135" spans="1:7" hidden="1" x14ac:dyDescent="0.55000000000000004">
      <c r="A135" s="5">
        <f t="shared" si="8"/>
        <v>32.25</v>
      </c>
      <c r="B135" s="4">
        <f t="shared" si="9"/>
        <v>0</v>
      </c>
      <c r="C135" s="19" t="e">
        <f>'25hike'!C135+IPI_plus!C130</f>
        <v>#REF!</v>
      </c>
      <c r="D135" s="19" t="e">
        <f>'25hike'!D135+IPI_plus!D130</f>
        <v>#REF!</v>
      </c>
      <c r="E135" s="19" t="e">
        <f>'25hike'!E135+IPI_plus!E130</f>
        <v>#REF!</v>
      </c>
      <c r="F135" s="19" t="e">
        <f>'25hike'!F135+IPI_plus!F130</f>
        <v>#REF!</v>
      </c>
      <c r="G135" s="19" t="e">
        <f>'25hike'!G135+IPI_plus!G130</f>
        <v>#REF!</v>
      </c>
    </row>
    <row r="136" spans="1:7" hidden="1" x14ac:dyDescent="0.55000000000000004">
      <c r="A136" s="5">
        <f t="shared" si="8"/>
        <v>32.5</v>
      </c>
      <c r="B136" s="4">
        <f t="shared" si="9"/>
        <v>0</v>
      </c>
      <c r="C136" s="19" t="e">
        <f>'25hike'!C136+IPI_plus!C131</f>
        <v>#REF!</v>
      </c>
      <c r="D136" s="19" t="e">
        <f>'25hike'!D136+IPI_plus!D131</f>
        <v>#REF!</v>
      </c>
      <c r="E136" s="19" t="e">
        <f>'25hike'!E136+IPI_plus!E131</f>
        <v>#REF!</v>
      </c>
      <c r="F136" s="19" t="e">
        <f>'25hike'!F136+IPI_plus!F131</f>
        <v>#REF!</v>
      </c>
      <c r="G136" s="19" t="e">
        <f>'25hike'!G136+IPI_plus!G131</f>
        <v>#REF!</v>
      </c>
    </row>
    <row r="137" spans="1:7" hidden="1" x14ac:dyDescent="0.55000000000000004">
      <c r="A137" s="5">
        <f t="shared" si="8"/>
        <v>32.75</v>
      </c>
      <c r="B137" s="4">
        <f t="shared" si="9"/>
        <v>0</v>
      </c>
      <c r="C137" s="19" t="e">
        <f>'25hike'!C137+IPI_plus!C132</f>
        <v>#REF!</v>
      </c>
      <c r="D137" s="19" t="e">
        <f>'25hike'!D137+IPI_plus!D132</f>
        <v>#REF!</v>
      </c>
      <c r="E137" s="19" t="e">
        <f>'25hike'!E137+IPI_plus!E132</f>
        <v>#REF!</v>
      </c>
      <c r="F137" s="19" t="e">
        <f>'25hike'!F137+IPI_plus!F132</f>
        <v>#REF!</v>
      </c>
      <c r="G137" s="19" t="e">
        <f>'25hike'!G137+IPI_plus!G132</f>
        <v>#REF!</v>
      </c>
    </row>
    <row r="138" spans="1:7" hidden="1" x14ac:dyDescent="0.55000000000000004">
      <c r="A138" s="5">
        <f t="shared" si="8"/>
        <v>33</v>
      </c>
      <c r="B138" s="4">
        <f t="shared" si="9"/>
        <v>0</v>
      </c>
      <c r="C138" s="19" t="e">
        <f>'25hike'!C138+IPI_plus!C133</f>
        <v>#REF!</v>
      </c>
      <c r="D138" s="19" t="e">
        <f>'25hike'!D138+IPI_plus!D133</f>
        <v>#REF!</v>
      </c>
      <c r="E138" s="19" t="e">
        <f>'25hike'!E138+IPI_plus!E133</f>
        <v>#REF!</v>
      </c>
      <c r="F138" s="19" t="e">
        <f>'25hike'!F138+IPI_plus!F133</f>
        <v>#REF!</v>
      </c>
      <c r="G138" s="19" t="e">
        <f>'25hike'!G138+IPI_plus!G133</f>
        <v>#REF!</v>
      </c>
    </row>
    <row r="139" spans="1:7" hidden="1" x14ac:dyDescent="0.55000000000000004">
      <c r="A139" s="5">
        <f t="shared" si="8"/>
        <v>33.25</v>
      </c>
      <c r="B139" s="4">
        <f t="shared" si="9"/>
        <v>0</v>
      </c>
      <c r="C139" s="19" t="e">
        <f>'25hike'!C139+IPI_plus!C134</f>
        <v>#REF!</v>
      </c>
      <c r="D139" s="19" t="e">
        <f>'25hike'!D139+IPI_plus!D134</f>
        <v>#REF!</v>
      </c>
      <c r="E139" s="19" t="e">
        <f>'25hike'!E139+IPI_plus!E134</f>
        <v>#REF!</v>
      </c>
      <c r="F139" s="19" t="e">
        <f>'25hike'!F139+IPI_plus!F134</f>
        <v>#REF!</v>
      </c>
      <c r="G139" s="19" t="e">
        <f>'25hike'!G139+IPI_plus!G134</f>
        <v>#REF!</v>
      </c>
    </row>
    <row r="140" spans="1:7" hidden="1" x14ac:dyDescent="0.55000000000000004">
      <c r="A140" s="5">
        <f t="shared" si="8"/>
        <v>33.5</v>
      </c>
      <c r="B140" s="4">
        <f t="shared" si="9"/>
        <v>0</v>
      </c>
      <c r="C140" s="19" t="e">
        <f>'25hike'!C140+IPI_plus!C135</f>
        <v>#REF!</v>
      </c>
      <c r="D140" s="19" t="e">
        <f>'25hike'!D140+IPI_plus!D135</f>
        <v>#REF!</v>
      </c>
      <c r="E140" s="19" t="e">
        <f>'25hike'!E140+IPI_plus!E135</f>
        <v>#REF!</v>
      </c>
      <c r="F140" s="19" t="e">
        <f>'25hike'!F140+IPI_plus!F135</f>
        <v>#REF!</v>
      </c>
      <c r="G140" s="19" t="e">
        <f>'25hike'!G140+IPI_plus!G135</f>
        <v>#REF!</v>
      </c>
    </row>
    <row r="141" spans="1:7" hidden="1" x14ac:dyDescent="0.55000000000000004">
      <c r="A141" s="5">
        <f t="shared" si="8"/>
        <v>33.75</v>
      </c>
      <c r="B141" s="4">
        <f t="shared" si="9"/>
        <v>0</v>
      </c>
      <c r="C141" s="19" t="e">
        <f>'25hike'!C141+IPI_plus!C136</f>
        <v>#REF!</v>
      </c>
      <c r="D141" s="19" t="e">
        <f>'25hike'!D141+IPI_plus!D136</f>
        <v>#REF!</v>
      </c>
      <c r="E141" s="19" t="e">
        <f>'25hike'!E141+IPI_plus!E136</f>
        <v>#REF!</v>
      </c>
      <c r="F141" s="19" t="e">
        <f>'25hike'!F141+IPI_plus!F136</f>
        <v>#REF!</v>
      </c>
      <c r="G141" s="19" t="e">
        <f>'25hike'!G141+IPI_plus!G136</f>
        <v>#REF!</v>
      </c>
    </row>
    <row r="142" spans="1:7" hidden="1" x14ac:dyDescent="0.55000000000000004">
      <c r="A142" s="5">
        <f t="shared" si="8"/>
        <v>34</v>
      </c>
      <c r="B142" s="4">
        <f t="shared" si="9"/>
        <v>0</v>
      </c>
      <c r="C142" s="19" t="e">
        <f>'25hike'!C142+IPI_plus!C137</f>
        <v>#REF!</v>
      </c>
      <c r="D142" s="19" t="e">
        <f>'25hike'!D142+IPI_plus!D137</f>
        <v>#REF!</v>
      </c>
      <c r="E142" s="19" t="e">
        <f>'25hike'!E142+IPI_plus!E137</f>
        <v>#REF!</v>
      </c>
      <c r="F142" s="19" t="e">
        <f>'25hike'!F142+IPI_plus!F137</f>
        <v>#REF!</v>
      </c>
      <c r="G142" s="19" t="e">
        <f>'25hike'!G142+IPI_plus!G137</f>
        <v>#REF!</v>
      </c>
    </row>
    <row r="143" spans="1:7" hidden="1" x14ac:dyDescent="0.55000000000000004">
      <c r="A143" s="5">
        <f t="shared" si="8"/>
        <v>34.25</v>
      </c>
      <c r="B143" s="4">
        <f t="shared" si="9"/>
        <v>0</v>
      </c>
      <c r="C143" s="19" t="e">
        <f>'25hike'!C143+IPI_plus!C138</f>
        <v>#REF!</v>
      </c>
      <c r="D143" s="19" t="e">
        <f>'25hike'!D143+IPI_plus!D138</f>
        <v>#REF!</v>
      </c>
      <c r="E143" s="19" t="e">
        <f>'25hike'!E143+IPI_plus!E138</f>
        <v>#REF!</v>
      </c>
      <c r="F143" s="19" t="e">
        <f>'25hike'!F143+IPI_plus!F138</f>
        <v>#REF!</v>
      </c>
      <c r="G143" s="19" t="e">
        <f>'25hike'!G143+IPI_plus!G138</f>
        <v>#REF!</v>
      </c>
    </row>
    <row r="144" spans="1:7" hidden="1" x14ac:dyDescent="0.55000000000000004">
      <c r="A144" s="5">
        <f t="shared" si="8"/>
        <v>34.5</v>
      </c>
      <c r="B144" s="4">
        <f t="shared" si="9"/>
        <v>0</v>
      </c>
      <c r="C144" s="19" t="e">
        <f>'25hike'!C144+IPI_plus!C139</f>
        <v>#REF!</v>
      </c>
      <c r="D144" s="19" t="e">
        <f>'25hike'!D144+IPI_plus!D139</f>
        <v>#REF!</v>
      </c>
      <c r="E144" s="19" t="e">
        <f>'25hike'!E144+IPI_plus!E139</f>
        <v>#REF!</v>
      </c>
      <c r="F144" s="19" t="e">
        <f>'25hike'!F144+IPI_plus!F139</f>
        <v>#REF!</v>
      </c>
      <c r="G144" s="19" t="e">
        <f>'25hike'!G144+IPI_plus!G139</f>
        <v>#REF!</v>
      </c>
    </row>
    <row r="145" spans="1:7" hidden="1" x14ac:dyDescent="0.55000000000000004">
      <c r="A145" s="5">
        <f t="shared" si="8"/>
        <v>34.75</v>
      </c>
      <c r="B145" s="4">
        <f t="shared" si="9"/>
        <v>0</v>
      </c>
      <c r="C145" s="19" t="e">
        <f>'25hike'!C145+IPI_plus!C140</f>
        <v>#REF!</v>
      </c>
      <c r="D145" s="19" t="e">
        <f>'25hike'!D145+IPI_plus!D140</f>
        <v>#REF!</v>
      </c>
      <c r="E145" s="19" t="e">
        <f>'25hike'!E145+IPI_plus!E140</f>
        <v>#REF!</v>
      </c>
      <c r="F145" s="19" t="e">
        <f>'25hike'!F145+IPI_plus!F140</f>
        <v>#REF!</v>
      </c>
      <c r="G145" s="19" t="e">
        <f>'25hike'!G145+IPI_plus!G140</f>
        <v>#REF!</v>
      </c>
    </row>
    <row r="146" spans="1:7" hidden="1" x14ac:dyDescent="0.55000000000000004">
      <c r="A146" s="5">
        <f t="shared" si="8"/>
        <v>35</v>
      </c>
      <c r="B146" s="4">
        <f t="shared" si="9"/>
        <v>0</v>
      </c>
      <c r="C146" s="19" t="e">
        <f>'25hike'!C146+IPI_plus!C141</f>
        <v>#REF!</v>
      </c>
      <c r="D146" s="19" t="e">
        <f>'25hike'!D146+IPI_plus!D141</f>
        <v>#REF!</v>
      </c>
      <c r="E146" s="19" t="e">
        <f>'25hike'!E146+IPI_plus!E141</f>
        <v>#REF!</v>
      </c>
      <c r="F146" s="19" t="e">
        <f>'25hike'!F146+IPI_plus!F141</f>
        <v>#REF!</v>
      </c>
      <c r="G146" s="19" t="e">
        <f>'25hike'!G146+IPI_plus!G141</f>
        <v>#REF!</v>
      </c>
    </row>
    <row r="147" spans="1:7" hidden="1" x14ac:dyDescent="0.55000000000000004">
      <c r="A147" s="5">
        <f t="shared" si="8"/>
        <v>35.25</v>
      </c>
      <c r="B147" s="4">
        <f t="shared" si="9"/>
        <v>0</v>
      </c>
      <c r="C147" s="19" t="e">
        <f>'25hike'!C147+IPI_plus!C142</f>
        <v>#REF!</v>
      </c>
      <c r="D147" s="19" t="e">
        <f>'25hike'!D147+IPI_plus!D142</f>
        <v>#REF!</v>
      </c>
      <c r="E147" s="19" t="e">
        <f>'25hike'!E147+IPI_plus!E142</f>
        <v>#REF!</v>
      </c>
      <c r="F147" s="19" t="e">
        <f>'25hike'!F147+IPI_plus!F142</f>
        <v>#REF!</v>
      </c>
      <c r="G147" s="19" t="e">
        <f>'25hike'!G147+IPI_plus!G142</f>
        <v>#REF!</v>
      </c>
    </row>
    <row r="148" spans="1:7" hidden="1" x14ac:dyDescent="0.55000000000000004">
      <c r="A148" s="5">
        <f t="shared" si="8"/>
        <v>35.5</v>
      </c>
      <c r="B148" s="4">
        <f t="shared" si="9"/>
        <v>0</v>
      </c>
      <c r="C148" s="19" t="e">
        <f>'25hike'!C148+IPI_plus!C143</f>
        <v>#REF!</v>
      </c>
      <c r="D148" s="19" t="e">
        <f>'25hike'!D148+IPI_plus!D143</f>
        <v>#REF!</v>
      </c>
      <c r="E148" s="19" t="e">
        <f>'25hike'!E148+IPI_plus!E143</f>
        <v>#REF!</v>
      </c>
      <c r="F148" s="19" t="e">
        <f>'25hike'!F148+IPI_plus!F143</f>
        <v>#REF!</v>
      </c>
      <c r="G148" s="19" t="e">
        <f>'25hike'!G148+IPI_plus!G143</f>
        <v>#REF!</v>
      </c>
    </row>
    <row r="149" spans="1:7" hidden="1" x14ac:dyDescent="0.55000000000000004">
      <c r="A149" s="5">
        <f t="shared" si="8"/>
        <v>35.75</v>
      </c>
      <c r="B149" s="4">
        <f t="shared" si="9"/>
        <v>0</v>
      </c>
      <c r="C149" s="19" t="e">
        <f>'25hike'!C149+IPI_plus!C144</f>
        <v>#REF!</v>
      </c>
      <c r="D149" s="19" t="e">
        <f>'25hike'!D149+IPI_plus!D144</f>
        <v>#REF!</v>
      </c>
      <c r="E149" s="19" t="e">
        <f>'25hike'!E149+IPI_plus!E144</f>
        <v>#REF!</v>
      </c>
      <c r="F149" s="19" t="e">
        <f>'25hike'!F149+IPI_plus!F144</f>
        <v>#REF!</v>
      </c>
      <c r="G149" s="19" t="e">
        <f>'25hike'!G149+IPI_plus!G144</f>
        <v>#REF!</v>
      </c>
    </row>
    <row r="150" spans="1:7" hidden="1" x14ac:dyDescent="0.55000000000000004">
      <c r="A150" s="5">
        <f t="shared" si="8"/>
        <v>36</v>
      </c>
      <c r="B150" s="4">
        <f t="shared" si="9"/>
        <v>0</v>
      </c>
      <c r="C150" s="19" t="e">
        <f>'25hike'!C150+IPI_plus!C145</f>
        <v>#REF!</v>
      </c>
      <c r="D150" s="19" t="e">
        <f>'25hike'!D150+IPI_plus!D145</f>
        <v>#REF!</v>
      </c>
      <c r="E150" s="19" t="e">
        <f>'25hike'!E150+IPI_plus!E145</f>
        <v>#REF!</v>
      </c>
      <c r="F150" s="19" t="e">
        <f>'25hike'!F150+IPI_plus!F145</f>
        <v>#REF!</v>
      </c>
      <c r="G150" s="19" t="e">
        <f>'25hike'!G150+IPI_plus!G145</f>
        <v>#REF!</v>
      </c>
    </row>
    <row r="151" spans="1:7" hidden="1" x14ac:dyDescent="0.55000000000000004">
      <c r="A151" s="5">
        <f t="shared" si="8"/>
        <v>36.25</v>
      </c>
      <c r="B151" s="4">
        <f t="shared" si="9"/>
        <v>0</v>
      </c>
      <c r="C151" s="19" t="e">
        <f>'25hike'!C151+IPI_plus!C146</f>
        <v>#REF!</v>
      </c>
      <c r="D151" s="19" t="e">
        <f>'25hike'!D151+IPI_plus!D146</f>
        <v>#REF!</v>
      </c>
      <c r="E151" s="19" t="e">
        <f>'25hike'!E151+IPI_plus!E146</f>
        <v>#REF!</v>
      </c>
      <c r="F151" s="19" t="e">
        <f>'25hike'!F151+IPI_plus!F146</f>
        <v>#REF!</v>
      </c>
      <c r="G151" s="19" t="e">
        <f>'25hike'!G151+IPI_plus!G146</f>
        <v>#REF!</v>
      </c>
    </row>
    <row r="152" spans="1:7" hidden="1" x14ac:dyDescent="0.55000000000000004">
      <c r="A152" s="5">
        <f t="shared" si="8"/>
        <v>36.5</v>
      </c>
      <c r="B152" s="4">
        <f t="shared" si="9"/>
        <v>0</v>
      </c>
      <c r="C152" s="19" t="e">
        <f>'25hike'!C152+IPI_plus!C147</f>
        <v>#REF!</v>
      </c>
      <c r="D152" s="19" t="e">
        <f>'25hike'!D152+IPI_plus!D147</f>
        <v>#REF!</v>
      </c>
      <c r="E152" s="19" t="e">
        <f>'25hike'!E152+IPI_plus!E147</f>
        <v>#REF!</v>
      </c>
      <c r="F152" s="19" t="e">
        <f>'25hike'!F152+IPI_plus!F147</f>
        <v>#REF!</v>
      </c>
      <c r="G152" s="19" t="e">
        <f>'25hike'!G152+IPI_plus!G147</f>
        <v>#REF!</v>
      </c>
    </row>
    <row r="153" spans="1:7" hidden="1" x14ac:dyDescent="0.55000000000000004">
      <c r="A153" s="5">
        <f t="shared" si="8"/>
        <v>36.75</v>
      </c>
      <c r="B153" s="4">
        <f t="shared" si="9"/>
        <v>0</v>
      </c>
      <c r="C153" s="19" t="e">
        <f>'25hike'!C153+IPI_plus!C148</f>
        <v>#REF!</v>
      </c>
      <c r="D153" s="19" t="e">
        <f>'25hike'!D153+IPI_plus!D148</f>
        <v>#REF!</v>
      </c>
      <c r="E153" s="19" t="e">
        <f>'25hike'!E153+IPI_plus!E148</f>
        <v>#REF!</v>
      </c>
      <c r="F153" s="19" t="e">
        <f>'25hike'!F153+IPI_plus!F148</f>
        <v>#REF!</v>
      </c>
      <c r="G153" s="19" t="e">
        <f>'25hike'!G153+IPI_plus!G148</f>
        <v>#REF!</v>
      </c>
    </row>
    <row r="154" spans="1:7" hidden="1" x14ac:dyDescent="0.55000000000000004">
      <c r="A154" s="5">
        <f t="shared" si="8"/>
        <v>37</v>
      </c>
      <c r="B154" s="4">
        <f t="shared" si="9"/>
        <v>0</v>
      </c>
      <c r="C154" s="19" t="e">
        <f>'25hike'!C154+IPI_plus!C149</f>
        <v>#REF!</v>
      </c>
      <c r="D154" s="19" t="e">
        <f>'25hike'!D154+IPI_plus!D149</f>
        <v>#REF!</v>
      </c>
      <c r="E154" s="19" t="e">
        <f>'25hike'!E154+IPI_plus!E149</f>
        <v>#REF!</v>
      </c>
      <c r="F154" s="19" t="e">
        <f>'25hike'!F154+IPI_plus!F149</f>
        <v>#REF!</v>
      </c>
      <c r="G154" s="19" t="e">
        <f>'25hike'!G154+IPI_plus!G149</f>
        <v>#REF!</v>
      </c>
    </row>
    <row r="155" spans="1:7" hidden="1" x14ac:dyDescent="0.55000000000000004">
      <c r="A155" s="5">
        <f t="shared" si="8"/>
        <v>37.25</v>
      </c>
      <c r="B155" s="4">
        <f t="shared" si="9"/>
        <v>0</v>
      </c>
      <c r="C155" s="19" t="e">
        <f>'25hike'!C155+IPI_plus!C150</f>
        <v>#REF!</v>
      </c>
      <c r="D155" s="19" t="e">
        <f>'25hike'!D155+IPI_plus!D150</f>
        <v>#REF!</v>
      </c>
      <c r="E155" s="19" t="e">
        <f>'25hike'!E155+IPI_plus!E150</f>
        <v>#REF!</v>
      </c>
      <c r="F155" s="19" t="e">
        <f>'25hike'!F155+IPI_plus!F150</f>
        <v>#REF!</v>
      </c>
      <c r="G155" s="19" t="e">
        <f>'25hike'!G155+IPI_plus!G150</f>
        <v>#REF!</v>
      </c>
    </row>
    <row r="156" spans="1:7" hidden="1" x14ac:dyDescent="0.55000000000000004">
      <c r="A156" s="5">
        <f t="shared" si="8"/>
        <v>37.5</v>
      </c>
      <c r="B156" s="4">
        <f t="shared" si="9"/>
        <v>0</v>
      </c>
      <c r="C156" s="19" t="e">
        <f>'25hike'!C156+IPI_plus!C151</f>
        <v>#REF!</v>
      </c>
      <c r="D156" s="19" t="e">
        <f>'25hike'!D156+IPI_plus!D151</f>
        <v>#REF!</v>
      </c>
      <c r="E156" s="19" t="e">
        <f>'25hike'!E156+IPI_plus!E151</f>
        <v>#REF!</v>
      </c>
      <c r="F156" s="19" t="e">
        <f>'25hike'!F156+IPI_plus!F151</f>
        <v>#REF!</v>
      </c>
      <c r="G156" s="19" t="e">
        <f>'25hike'!G156+IPI_plus!G151</f>
        <v>#REF!</v>
      </c>
    </row>
    <row r="157" spans="1:7" hidden="1" x14ac:dyDescent="0.55000000000000004">
      <c r="A157" s="5">
        <f t="shared" si="8"/>
        <v>37.75</v>
      </c>
      <c r="B157" s="4">
        <f t="shared" si="9"/>
        <v>0</v>
      </c>
      <c r="C157" s="19" t="e">
        <f>'25hike'!C157+IPI_plus!C152</f>
        <v>#REF!</v>
      </c>
      <c r="D157" s="19" t="e">
        <f>'25hike'!D157+IPI_plus!D152</f>
        <v>#REF!</v>
      </c>
      <c r="E157" s="19" t="e">
        <f>'25hike'!E157+IPI_plus!E152</f>
        <v>#REF!</v>
      </c>
      <c r="F157" s="19" t="e">
        <f>'25hike'!F157+IPI_plus!F152</f>
        <v>#REF!</v>
      </c>
      <c r="G157" s="19" t="e">
        <f>'25hike'!G157+IPI_plus!G152</f>
        <v>#REF!</v>
      </c>
    </row>
    <row r="158" spans="1:7" hidden="1" x14ac:dyDescent="0.55000000000000004">
      <c r="A158" s="5">
        <f t="shared" si="8"/>
        <v>38</v>
      </c>
      <c r="B158" s="4">
        <f t="shared" si="9"/>
        <v>0</v>
      </c>
      <c r="C158" s="19" t="e">
        <f>'25hike'!C158+IPI_plus!C153</f>
        <v>#REF!</v>
      </c>
      <c r="D158" s="19" t="e">
        <f>'25hike'!D158+IPI_plus!D153</f>
        <v>#REF!</v>
      </c>
      <c r="E158" s="19" t="e">
        <f>'25hike'!E158+IPI_plus!E153</f>
        <v>#REF!</v>
      </c>
      <c r="F158" s="19" t="e">
        <f>'25hike'!F158+IPI_plus!F153</f>
        <v>#REF!</v>
      </c>
      <c r="G158" s="19" t="e">
        <f>'25hike'!G158+IPI_plus!G153</f>
        <v>#REF!</v>
      </c>
    </row>
    <row r="159" spans="1:7" hidden="1" x14ac:dyDescent="0.55000000000000004">
      <c r="A159" s="5">
        <f t="shared" si="8"/>
        <v>38.25</v>
      </c>
      <c r="B159" s="4">
        <f t="shared" si="9"/>
        <v>0</v>
      </c>
      <c r="C159" s="19" t="e">
        <f>'25hike'!C159+IPI_plus!C154</f>
        <v>#REF!</v>
      </c>
      <c r="D159" s="19" t="e">
        <f>'25hike'!D159+IPI_plus!D154</f>
        <v>#REF!</v>
      </c>
      <c r="E159" s="19" t="e">
        <f>'25hike'!E159+IPI_plus!E154</f>
        <v>#REF!</v>
      </c>
      <c r="F159" s="19" t="e">
        <f>'25hike'!F159+IPI_plus!F154</f>
        <v>#REF!</v>
      </c>
      <c r="G159" s="19" t="e">
        <f>'25hike'!G159+IPI_plus!G154</f>
        <v>#REF!</v>
      </c>
    </row>
    <row r="160" spans="1:7" hidden="1" x14ac:dyDescent="0.55000000000000004">
      <c r="A160" s="5">
        <f t="shared" si="8"/>
        <v>38.5</v>
      </c>
      <c r="B160" s="4">
        <f t="shared" si="9"/>
        <v>0</v>
      </c>
      <c r="C160" s="19" t="e">
        <f>'25hike'!C160+IPI_plus!C155</f>
        <v>#REF!</v>
      </c>
      <c r="D160" s="19" t="e">
        <f>'25hike'!D160+IPI_plus!D155</f>
        <v>#REF!</v>
      </c>
      <c r="E160" s="19" t="e">
        <f>'25hike'!E160+IPI_plus!E155</f>
        <v>#REF!</v>
      </c>
      <c r="F160" s="19" t="e">
        <f>'25hike'!F160+IPI_plus!F155</f>
        <v>#REF!</v>
      </c>
      <c r="G160" s="19" t="e">
        <f>'25hike'!G160+IPI_plus!G155</f>
        <v>#REF!</v>
      </c>
    </row>
    <row r="161" spans="1:7" hidden="1" x14ac:dyDescent="0.55000000000000004">
      <c r="A161" s="5">
        <f t="shared" si="8"/>
        <v>38.75</v>
      </c>
      <c r="B161" s="4">
        <f t="shared" si="9"/>
        <v>0</v>
      </c>
      <c r="C161" s="19" t="e">
        <f>'25hike'!C161+IPI_plus!C156</f>
        <v>#REF!</v>
      </c>
      <c r="D161" s="19" t="e">
        <f>'25hike'!D161+IPI_plus!D156</f>
        <v>#REF!</v>
      </c>
      <c r="E161" s="19" t="e">
        <f>'25hike'!E161+IPI_plus!E156</f>
        <v>#REF!</v>
      </c>
      <c r="F161" s="19" t="e">
        <f>'25hike'!F161+IPI_plus!F156</f>
        <v>#REF!</v>
      </c>
      <c r="G161" s="19" t="e">
        <f>'25hike'!G161+IPI_plus!G156</f>
        <v>#REF!</v>
      </c>
    </row>
    <row r="162" spans="1:7" hidden="1" x14ac:dyDescent="0.55000000000000004">
      <c r="A162" s="5">
        <f t="shared" si="8"/>
        <v>39</v>
      </c>
      <c r="B162" s="4">
        <f t="shared" si="9"/>
        <v>0</v>
      </c>
      <c r="C162" s="19" t="e">
        <f>'25hike'!C162+IPI_plus!C157</f>
        <v>#REF!</v>
      </c>
      <c r="D162" s="19" t="e">
        <f>'25hike'!D162+IPI_plus!D157</f>
        <v>#REF!</v>
      </c>
      <c r="E162" s="19" t="e">
        <f>'25hike'!E162+IPI_plus!E157</f>
        <v>#REF!</v>
      </c>
      <c r="F162" s="19" t="e">
        <f>'25hike'!F162+IPI_plus!F157</f>
        <v>#REF!</v>
      </c>
      <c r="G162" s="19" t="e">
        <f>'25hike'!G162+IPI_plus!G157</f>
        <v>#REF!</v>
      </c>
    </row>
    <row r="163" spans="1:7" hidden="1" x14ac:dyDescent="0.55000000000000004">
      <c r="A163" s="5">
        <f t="shared" si="8"/>
        <v>39.25</v>
      </c>
      <c r="B163" s="4">
        <f t="shared" si="9"/>
        <v>0</v>
      </c>
      <c r="C163" s="19" t="e">
        <f>'25hike'!C163+IPI_plus!C158</f>
        <v>#REF!</v>
      </c>
      <c r="D163" s="19" t="e">
        <f>'25hike'!D163+IPI_plus!D158</f>
        <v>#REF!</v>
      </c>
      <c r="E163" s="19" t="e">
        <f>'25hike'!E163+IPI_plus!E158</f>
        <v>#REF!</v>
      </c>
      <c r="F163" s="19" t="e">
        <f>'25hike'!F163+IPI_plus!F158</f>
        <v>#REF!</v>
      </c>
      <c r="G163" s="19" t="e">
        <f>'25hike'!G163+IPI_plus!G158</f>
        <v>#REF!</v>
      </c>
    </row>
    <row r="164" spans="1:7" hidden="1" x14ac:dyDescent="0.55000000000000004">
      <c r="A164" s="5">
        <f t="shared" si="8"/>
        <v>39.5</v>
      </c>
      <c r="B164" s="4">
        <f t="shared" si="9"/>
        <v>0</v>
      </c>
      <c r="C164" s="19" t="e">
        <f>'25hike'!C164+IPI_plus!C159</f>
        <v>#REF!</v>
      </c>
      <c r="D164" s="19" t="e">
        <f>'25hike'!D164+IPI_plus!D159</f>
        <v>#REF!</v>
      </c>
      <c r="E164" s="19" t="e">
        <f>'25hike'!E164+IPI_plus!E159</f>
        <v>#REF!</v>
      </c>
      <c r="F164" s="19" t="e">
        <f>'25hike'!F164+IPI_plus!F159</f>
        <v>#REF!</v>
      </c>
      <c r="G164" s="19" t="e">
        <f>'25hike'!G164+IPI_plus!G159</f>
        <v>#REF!</v>
      </c>
    </row>
    <row r="165" spans="1:7" hidden="1" x14ac:dyDescent="0.55000000000000004">
      <c r="A165" s="5">
        <f t="shared" si="8"/>
        <v>39.75</v>
      </c>
      <c r="B165" s="4">
        <f t="shared" si="9"/>
        <v>0</v>
      </c>
      <c r="C165" s="19" t="e">
        <f>'25hike'!C165+IPI_plus!C160</f>
        <v>#REF!</v>
      </c>
      <c r="D165" s="19" t="e">
        <f>'25hike'!D165+IPI_plus!D160</f>
        <v>#REF!</v>
      </c>
      <c r="E165" s="19" t="e">
        <f>'25hike'!E165+IPI_plus!E160</f>
        <v>#REF!</v>
      </c>
      <c r="F165" s="19" t="e">
        <f>'25hike'!F165+IPI_plus!F160</f>
        <v>#REF!</v>
      </c>
      <c r="G165" s="19" t="e">
        <f>'25hike'!G165+IPI_plus!G160</f>
        <v>#REF!</v>
      </c>
    </row>
    <row r="166" spans="1:7" hidden="1" x14ac:dyDescent="0.55000000000000004">
      <c r="A166" s="5">
        <f t="shared" si="8"/>
        <v>40</v>
      </c>
      <c r="B166" s="4">
        <f t="shared" si="9"/>
        <v>0</v>
      </c>
      <c r="C166" s="19" t="e">
        <f>'25hike'!C166+IPI_plus!C161</f>
        <v>#REF!</v>
      </c>
      <c r="D166" s="19" t="e">
        <f>'25hike'!D166+IPI_plus!D161</f>
        <v>#REF!</v>
      </c>
      <c r="E166" s="19" t="e">
        <f>'25hike'!E166+IPI_plus!E161</f>
        <v>#REF!</v>
      </c>
      <c r="F166" s="19" t="e">
        <f>'25hike'!F166+IPI_plus!F161</f>
        <v>#REF!</v>
      </c>
      <c r="G166" s="19" t="e">
        <f>'25hike'!G166+IPI_plus!G161</f>
        <v>#REF!</v>
      </c>
    </row>
    <row r="167" spans="1:7" hidden="1" x14ac:dyDescent="0.55000000000000004">
      <c r="A167" s="5">
        <f t="shared" si="8"/>
        <v>40.25</v>
      </c>
      <c r="B167" s="4">
        <f t="shared" si="9"/>
        <v>0</v>
      </c>
      <c r="C167" s="19" t="e">
        <f>'25hike'!C167+IPI_plus!C162</f>
        <v>#REF!</v>
      </c>
      <c r="D167" s="19" t="e">
        <f>'25hike'!D167+IPI_plus!D162</f>
        <v>#REF!</v>
      </c>
      <c r="E167" s="19" t="e">
        <f>'25hike'!E167+IPI_plus!E162</f>
        <v>#REF!</v>
      </c>
      <c r="F167" s="19" t="e">
        <f>'25hike'!F167+IPI_plus!F162</f>
        <v>#REF!</v>
      </c>
      <c r="G167" s="19" t="e">
        <f>'25hike'!G167+IPI_plus!G162</f>
        <v>#REF!</v>
      </c>
    </row>
    <row r="168" spans="1:7" hidden="1" x14ac:dyDescent="0.55000000000000004">
      <c r="A168" s="5">
        <f t="shared" si="8"/>
        <v>40.5</v>
      </c>
      <c r="B168" s="4">
        <f t="shared" si="9"/>
        <v>0</v>
      </c>
      <c r="C168" s="19" t="e">
        <f>'25hike'!C168+IPI_plus!C163</f>
        <v>#REF!</v>
      </c>
      <c r="D168" s="19" t="e">
        <f>'25hike'!D168+IPI_plus!D163</f>
        <v>#REF!</v>
      </c>
      <c r="E168" s="19" t="e">
        <f>'25hike'!E168+IPI_plus!E163</f>
        <v>#REF!</v>
      </c>
      <c r="F168" s="19" t="e">
        <f>'25hike'!F168+IPI_plus!F163</f>
        <v>#REF!</v>
      </c>
      <c r="G168" s="19" t="e">
        <f>'25hike'!G168+IPI_plus!G163</f>
        <v>#REF!</v>
      </c>
    </row>
    <row r="169" spans="1:7" hidden="1" x14ac:dyDescent="0.55000000000000004">
      <c r="A169" s="5">
        <f t="shared" si="8"/>
        <v>40.75</v>
      </c>
      <c r="B169" s="4">
        <f t="shared" si="9"/>
        <v>0</v>
      </c>
      <c r="C169" s="19" t="e">
        <f>'25hike'!C169+IPI_plus!C164</f>
        <v>#REF!</v>
      </c>
      <c r="D169" s="19" t="e">
        <f>'25hike'!D169+IPI_plus!D164</f>
        <v>#REF!</v>
      </c>
      <c r="E169" s="19" t="e">
        <f>'25hike'!E169+IPI_plus!E164</f>
        <v>#REF!</v>
      </c>
      <c r="F169" s="19" t="e">
        <f>'25hike'!F169+IPI_plus!F164</f>
        <v>#REF!</v>
      </c>
      <c r="G169" s="19" t="e">
        <f>'25hike'!G169+IPI_plus!G164</f>
        <v>#REF!</v>
      </c>
    </row>
    <row r="170" spans="1:7" hidden="1" x14ac:dyDescent="0.55000000000000004">
      <c r="A170" s="5">
        <f t="shared" si="8"/>
        <v>41</v>
      </c>
      <c r="B170" s="4">
        <f t="shared" si="9"/>
        <v>0</v>
      </c>
      <c r="C170" s="19" t="e">
        <f>'25hike'!C170+IPI_plus!C165</f>
        <v>#REF!</v>
      </c>
      <c r="D170" s="19" t="e">
        <f>'25hike'!D170+IPI_plus!D165</f>
        <v>#REF!</v>
      </c>
      <c r="E170" s="19" t="e">
        <f>'25hike'!E170+IPI_plus!E165</f>
        <v>#REF!</v>
      </c>
      <c r="F170" s="19" t="e">
        <f>'25hike'!F170+IPI_plus!F165</f>
        <v>#REF!</v>
      </c>
      <c r="G170" s="19" t="e">
        <f>'25hike'!G170+IPI_plus!G165</f>
        <v>#REF!</v>
      </c>
    </row>
    <row r="171" spans="1:7" hidden="1" x14ac:dyDescent="0.55000000000000004">
      <c r="A171" s="5">
        <f t="shared" si="8"/>
        <v>41.25</v>
      </c>
      <c r="B171" s="4">
        <f t="shared" si="9"/>
        <v>0</v>
      </c>
      <c r="C171" s="19" t="e">
        <f>'25hike'!C171+IPI_plus!C166</f>
        <v>#REF!</v>
      </c>
      <c r="D171" s="19" t="e">
        <f>'25hike'!D171+IPI_plus!D166</f>
        <v>#REF!</v>
      </c>
      <c r="E171" s="19" t="e">
        <f>'25hike'!E171+IPI_plus!E166</f>
        <v>#REF!</v>
      </c>
      <c r="F171" s="19" t="e">
        <f>'25hike'!F171+IPI_plus!F166</f>
        <v>#REF!</v>
      </c>
      <c r="G171" s="19" t="e">
        <f>'25hike'!G171+IPI_plus!G166</f>
        <v>#REF!</v>
      </c>
    </row>
    <row r="172" spans="1:7" hidden="1" x14ac:dyDescent="0.55000000000000004">
      <c r="A172" s="5">
        <f t="shared" si="8"/>
        <v>41.5</v>
      </c>
      <c r="B172" s="4">
        <f t="shared" si="9"/>
        <v>0</v>
      </c>
      <c r="C172" s="19" t="e">
        <f>'25hike'!C172+IPI_plus!C167</f>
        <v>#REF!</v>
      </c>
      <c r="D172" s="19" t="e">
        <f>'25hike'!D172+IPI_plus!D167</f>
        <v>#REF!</v>
      </c>
      <c r="E172" s="19" t="e">
        <f>'25hike'!E172+IPI_plus!E167</f>
        <v>#REF!</v>
      </c>
      <c r="F172" s="19" t="e">
        <f>'25hike'!F172+IPI_plus!F167</f>
        <v>#REF!</v>
      </c>
      <c r="G172" s="19" t="e">
        <f>'25hike'!G172+IPI_plus!G167</f>
        <v>#REF!</v>
      </c>
    </row>
    <row r="173" spans="1:7" hidden="1" x14ac:dyDescent="0.55000000000000004">
      <c r="A173" s="5">
        <f t="shared" si="8"/>
        <v>41.75</v>
      </c>
      <c r="B173" s="4">
        <f t="shared" si="9"/>
        <v>0</v>
      </c>
      <c r="C173" s="19" t="e">
        <f>'25hike'!C173+IPI_plus!C168</f>
        <v>#REF!</v>
      </c>
      <c r="D173" s="19" t="e">
        <f>'25hike'!D173+IPI_plus!D168</f>
        <v>#REF!</v>
      </c>
      <c r="E173" s="19" t="e">
        <f>'25hike'!E173+IPI_plus!E168</f>
        <v>#REF!</v>
      </c>
      <c r="F173" s="19" t="e">
        <f>'25hike'!F173+IPI_plus!F168</f>
        <v>#REF!</v>
      </c>
      <c r="G173" s="19" t="e">
        <f>'25hike'!G173+IPI_plus!G168</f>
        <v>#REF!</v>
      </c>
    </row>
    <row r="174" spans="1:7" hidden="1" x14ac:dyDescent="0.55000000000000004">
      <c r="A174" s="5">
        <f t="shared" si="8"/>
        <v>42</v>
      </c>
      <c r="B174" s="4">
        <f t="shared" si="9"/>
        <v>0</v>
      </c>
      <c r="C174" s="19" t="e">
        <f>'25hike'!C174+IPI_plus!C169</f>
        <v>#REF!</v>
      </c>
      <c r="D174" s="19" t="e">
        <f>'25hike'!D174+IPI_plus!D169</f>
        <v>#REF!</v>
      </c>
      <c r="E174" s="19" t="e">
        <f>'25hike'!E174+IPI_plus!E169</f>
        <v>#REF!</v>
      </c>
      <c r="F174" s="19" t="e">
        <f>'25hike'!F174+IPI_plus!F169</f>
        <v>#REF!</v>
      </c>
      <c r="G174" s="19" t="e">
        <f>'25hike'!G174+IPI_plus!G169</f>
        <v>#REF!</v>
      </c>
    </row>
    <row r="175" spans="1:7" hidden="1" x14ac:dyDescent="0.55000000000000004">
      <c r="A175" s="5">
        <f t="shared" si="8"/>
        <v>42.25</v>
      </c>
      <c r="B175" s="4">
        <f t="shared" si="9"/>
        <v>0</v>
      </c>
      <c r="C175" s="19" t="e">
        <f>'25hike'!C175+IPI_plus!C170</f>
        <v>#REF!</v>
      </c>
      <c r="D175" s="19" t="e">
        <f>'25hike'!D175+IPI_plus!D170</f>
        <v>#REF!</v>
      </c>
      <c r="E175" s="19" t="e">
        <f>'25hike'!E175+IPI_plus!E170</f>
        <v>#REF!</v>
      </c>
      <c r="F175" s="19" t="e">
        <f>'25hike'!F175+IPI_plus!F170</f>
        <v>#REF!</v>
      </c>
      <c r="G175" s="19" t="e">
        <f>'25hike'!G175+IPI_plus!G170</f>
        <v>#REF!</v>
      </c>
    </row>
    <row r="176" spans="1:7" hidden="1" x14ac:dyDescent="0.55000000000000004">
      <c r="A176" s="5">
        <f t="shared" si="8"/>
        <v>42.5</v>
      </c>
      <c r="B176" s="4">
        <f t="shared" si="9"/>
        <v>0</v>
      </c>
      <c r="C176" s="19" t="e">
        <f>'25hike'!C176+IPI_plus!C171</f>
        <v>#REF!</v>
      </c>
      <c r="D176" s="19" t="e">
        <f>'25hike'!D176+IPI_plus!D171</f>
        <v>#REF!</v>
      </c>
      <c r="E176" s="19" t="e">
        <f>'25hike'!E176+IPI_plus!E171</f>
        <v>#REF!</v>
      </c>
      <c r="F176" s="19" t="e">
        <f>'25hike'!F176+IPI_plus!F171</f>
        <v>#REF!</v>
      </c>
      <c r="G176" s="19" t="e">
        <f>'25hike'!G176+IPI_plus!G171</f>
        <v>#REF!</v>
      </c>
    </row>
    <row r="177" spans="1:7" hidden="1" x14ac:dyDescent="0.55000000000000004">
      <c r="A177" s="5">
        <f t="shared" si="8"/>
        <v>42.75</v>
      </c>
      <c r="B177" s="4">
        <f t="shared" si="9"/>
        <v>0</v>
      </c>
      <c r="C177" s="19" t="e">
        <f>'25hike'!C177+IPI_plus!C172</f>
        <v>#REF!</v>
      </c>
      <c r="D177" s="19" t="e">
        <f>'25hike'!D177+IPI_plus!D172</f>
        <v>#REF!</v>
      </c>
      <c r="E177" s="19" t="e">
        <f>'25hike'!E177+IPI_plus!E172</f>
        <v>#REF!</v>
      </c>
      <c r="F177" s="19" t="e">
        <f>'25hike'!F177+IPI_plus!F172</f>
        <v>#REF!</v>
      </c>
      <c r="G177" s="19" t="e">
        <f>'25hike'!G177+IPI_plus!G172</f>
        <v>#REF!</v>
      </c>
    </row>
    <row r="178" spans="1:7" hidden="1" x14ac:dyDescent="0.55000000000000004">
      <c r="A178" s="5">
        <f t="shared" si="8"/>
        <v>43</v>
      </c>
      <c r="B178" s="4">
        <f t="shared" si="9"/>
        <v>0</v>
      </c>
      <c r="C178" s="19" t="e">
        <f>'25hike'!C178+IPI_plus!C173</f>
        <v>#REF!</v>
      </c>
      <c r="D178" s="19" t="e">
        <f>'25hike'!D178+IPI_plus!D173</f>
        <v>#REF!</v>
      </c>
      <c r="E178" s="19" t="e">
        <f>'25hike'!E178+IPI_plus!E173</f>
        <v>#REF!</v>
      </c>
      <c r="F178" s="19" t="e">
        <f>'25hike'!F178+IPI_plus!F173</f>
        <v>#REF!</v>
      </c>
      <c r="G178" s="19" t="e">
        <f>'25hike'!G178+IPI_plus!G173</f>
        <v>#REF!</v>
      </c>
    </row>
    <row r="179" spans="1:7" hidden="1" x14ac:dyDescent="0.55000000000000004">
      <c r="A179" s="5">
        <f t="shared" si="8"/>
        <v>43.25</v>
      </c>
      <c r="B179" s="4">
        <f t="shared" si="9"/>
        <v>0</v>
      </c>
      <c r="C179" s="19" t="e">
        <f>'25hike'!C179+IPI_plus!C174</f>
        <v>#REF!</v>
      </c>
      <c r="D179" s="19" t="e">
        <f>'25hike'!D179+IPI_plus!D174</f>
        <v>#REF!</v>
      </c>
      <c r="E179" s="19" t="e">
        <f>'25hike'!E179+IPI_plus!E174</f>
        <v>#REF!</v>
      </c>
      <c r="F179" s="19" t="e">
        <f>'25hike'!F179+IPI_plus!F174</f>
        <v>#REF!</v>
      </c>
      <c r="G179" s="19" t="e">
        <f>'25hike'!G179+IPI_plus!G174</f>
        <v>#REF!</v>
      </c>
    </row>
    <row r="180" spans="1:7" hidden="1" x14ac:dyDescent="0.55000000000000004">
      <c r="A180" s="5">
        <f t="shared" si="8"/>
        <v>43.5</v>
      </c>
      <c r="B180" s="4">
        <f t="shared" si="9"/>
        <v>0</v>
      </c>
      <c r="C180" s="19" t="e">
        <f>'25hike'!C180+IPI_plus!C175</f>
        <v>#REF!</v>
      </c>
      <c r="D180" s="19" t="e">
        <f>'25hike'!D180+IPI_plus!D175</f>
        <v>#REF!</v>
      </c>
      <c r="E180" s="19" t="e">
        <f>'25hike'!E180+IPI_plus!E175</f>
        <v>#REF!</v>
      </c>
      <c r="F180" s="19" t="e">
        <f>'25hike'!F180+IPI_plus!F175</f>
        <v>#REF!</v>
      </c>
      <c r="G180" s="19" t="e">
        <f>'25hike'!G180+IPI_plus!G175</f>
        <v>#REF!</v>
      </c>
    </row>
    <row r="181" spans="1:7" hidden="1" x14ac:dyDescent="0.55000000000000004">
      <c r="A181" s="5">
        <f t="shared" si="8"/>
        <v>43.75</v>
      </c>
      <c r="B181" s="4">
        <f t="shared" si="9"/>
        <v>0</v>
      </c>
      <c r="C181" s="19" t="e">
        <f>'25hike'!C181+IPI_plus!C176</f>
        <v>#REF!</v>
      </c>
      <c r="D181" s="19" t="e">
        <f>'25hike'!D181+IPI_plus!D176</f>
        <v>#REF!</v>
      </c>
      <c r="E181" s="19" t="e">
        <f>'25hike'!E181+IPI_plus!E176</f>
        <v>#REF!</v>
      </c>
      <c r="F181" s="19" t="e">
        <f>'25hike'!F181+IPI_plus!F176</f>
        <v>#REF!</v>
      </c>
      <c r="G181" s="19" t="e">
        <f>'25hike'!G181+IPI_plus!G176</f>
        <v>#REF!</v>
      </c>
    </row>
    <row r="182" spans="1:7" hidden="1" x14ac:dyDescent="0.55000000000000004">
      <c r="A182" s="5">
        <f t="shared" si="8"/>
        <v>44</v>
      </c>
      <c r="B182" s="4">
        <f t="shared" si="9"/>
        <v>0</v>
      </c>
      <c r="C182" s="19" t="e">
        <f>'25hike'!C182+IPI_plus!C177</f>
        <v>#REF!</v>
      </c>
      <c r="D182" s="19" t="e">
        <f>'25hike'!D182+IPI_plus!D177</f>
        <v>#REF!</v>
      </c>
      <c r="E182" s="19" t="e">
        <f>'25hike'!E182+IPI_plus!E177</f>
        <v>#REF!</v>
      </c>
      <c r="F182" s="19" t="e">
        <f>'25hike'!F182+IPI_plus!F177</f>
        <v>#REF!</v>
      </c>
      <c r="G182" s="19" t="e">
        <f>'25hike'!G182+IPI_plus!G177</f>
        <v>#REF!</v>
      </c>
    </row>
    <row r="183" spans="1:7" hidden="1" x14ac:dyDescent="0.55000000000000004">
      <c r="A183" s="5">
        <f t="shared" si="8"/>
        <v>44.25</v>
      </c>
      <c r="B183" s="4">
        <f t="shared" si="9"/>
        <v>0</v>
      </c>
      <c r="C183" s="19" t="e">
        <f>'25hike'!C183+IPI_plus!C178</f>
        <v>#REF!</v>
      </c>
      <c r="D183" s="19" t="e">
        <f>'25hike'!D183+IPI_plus!D178</f>
        <v>#REF!</v>
      </c>
      <c r="E183" s="19" t="e">
        <f>'25hike'!E183+IPI_plus!E178</f>
        <v>#REF!</v>
      </c>
      <c r="F183" s="19" t="e">
        <f>'25hike'!F183+IPI_plus!F178</f>
        <v>#REF!</v>
      </c>
      <c r="G183" s="19" t="e">
        <f>'25hike'!G183+IPI_plus!G178</f>
        <v>#REF!</v>
      </c>
    </row>
    <row r="184" spans="1:7" hidden="1" x14ac:dyDescent="0.55000000000000004">
      <c r="A184" s="5">
        <f t="shared" si="8"/>
        <v>44.5</v>
      </c>
      <c r="B184" s="4">
        <f t="shared" si="9"/>
        <v>0</v>
      </c>
      <c r="C184" s="19" t="e">
        <f>'25hike'!C184+IPI_plus!C179</f>
        <v>#REF!</v>
      </c>
      <c r="D184" s="19" t="e">
        <f>'25hike'!D184+IPI_plus!D179</f>
        <v>#REF!</v>
      </c>
      <c r="E184" s="19" t="e">
        <f>'25hike'!E184+IPI_plus!E179</f>
        <v>#REF!</v>
      </c>
      <c r="F184" s="19" t="e">
        <f>'25hike'!F184+IPI_plus!F179</f>
        <v>#REF!</v>
      </c>
      <c r="G184" s="19" t="e">
        <f>'25hike'!G184+IPI_plus!G179</f>
        <v>#REF!</v>
      </c>
    </row>
    <row r="185" spans="1:7" hidden="1" x14ac:dyDescent="0.55000000000000004">
      <c r="A185" s="5">
        <f t="shared" si="8"/>
        <v>44.75</v>
      </c>
      <c r="B185" s="4">
        <f t="shared" si="9"/>
        <v>0</v>
      </c>
      <c r="C185" s="19" t="e">
        <f>'25hike'!C185+IPI_plus!C180</f>
        <v>#REF!</v>
      </c>
      <c r="D185" s="19" t="e">
        <f>'25hike'!D185+IPI_plus!D180</f>
        <v>#REF!</v>
      </c>
      <c r="E185" s="19" t="e">
        <f>'25hike'!E185+IPI_plus!E180</f>
        <v>#REF!</v>
      </c>
      <c r="F185" s="19" t="e">
        <f>'25hike'!F185+IPI_plus!F180</f>
        <v>#REF!</v>
      </c>
      <c r="G185" s="19" t="e">
        <f>'25hike'!G185+IPI_plus!G180</f>
        <v>#REF!</v>
      </c>
    </row>
    <row r="186" spans="1:7" hidden="1" x14ac:dyDescent="0.55000000000000004">
      <c r="A186" s="5">
        <f t="shared" si="8"/>
        <v>45</v>
      </c>
      <c r="B186" s="4">
        <f t="shared" si="9"/>
        <v>0</v>
      </c>
      <c r="C186" s="19" t="e">
        <f>'25hike'!C186+IPI_plus!C181</f>
        <v>#REF!</v>
      </c>
      <c r="D186" s="19" t="e">
        <f>'25hike'!D186+IPI_plus!D181</f>
        <v>#REF!</v>
      </c>
      <c r="E186" s="19" t="e">
        <f>'25hike'!E186+IPI_plus!E181</f>
        <v>#REF!</v>
      </c>
      <c r="F186" s="19" t="e">
        <f>'25hike'!F186+IPI_plus!F181</f>
        <v>#REF!</v>
      </c>
      <c r="G186" s="19" t="e">
        <f>'25hike'!G186+IPI_plus!G181</f>
        <v>#REF!</v>
      </c>
    </row>
    <row r="187" spans="1:7" hidden="1" x14ac:dyDescent="0.55000000000000004">
      <c r="A187" s="5">
        <f t="shared" si="8"/>
        <v>45.25</v>
      </c>
      <c r="B187" s="4">
        <f t="shared" si="9"/>
        <v>0</v>
      </c>
      <c r="C187" s="19" t="e">
        <f>'25hike'!C187+IPI_plus!C182</f>
        <v>#REF!</v>
      </c>
      <c r="D187" s="19" t="e">
        <f>'25hike'!D187+IPI_plus!D182</f>
        <v>#REF!</v>
      </c>
      <c r="E187" s="19" t="e">
        <f>'25hike'!E187+IPI_plus!E182</f>
        <v>#REF!</v>
      </c>
      <c r="F187" s="19" t="e">
        <f>'25hike'!F187+IPI_plus!F182</f>
        <v>#REF!</v>
      </c>
      <c r="G187" s="19" t="e">
        <f>'25hike'!G187+IPI_plus!G182</f>
        <v>#REF!</v>
      </c>
    </row>
    <row r="188" spans="1:7" hidden="1" x14ac:dyDescent="0.55000000000000004">
      <c r="A188" s="5">
        <f t="shared" si="8"/>
        <v>45.5</v>
      </c>
      <c r="B188" s="4">
        <f t="shared" si="9"/>
        <v>0</v>
      </c>
      <c r="C188" s="19" t="e">
        <f>'25hike'!C188+IPI_plus!C183</f>
        <v>#REF!</v>
      </c>
      <c r="D188" s="19" t="e">
        <f>'25hike'!D188+IPI_plus!D183</f>
        <v>#REF!</v>
      </c>
      <c r="E188" s="19" t="e">
        <f>'25hike'!E188+IPI_plus!E183</f>
        <v>#REF!</v>
      </c>
      <c r="F188" s="19" t="e">
        <f>'25hike'!F188+IPI_plus!F183</f>
        <v>#REF!</v>
      </c>
      <c r="G188" s="19" t="e">
        <f>'25hike'!G188+IPI_plus!G183</f>
        <v>#REF!</v>
      </c>
    </row>
    <row r="189" spans="1:7" hidden="1" x14ac:dyDescent="0.55000000000000004">
      <c r="A189" s="5">
        <f t="shared" si="8"/>
        <v>45.75</v>
      </c>
      <c r="B189" s="4">
        <f t="shared" si="9"/>
        <v>0</v>
      </c>
      <c r="C189" s="19" t="e">
        <f>'25hike'!C189+IPI_plus!C184</f>
        <v>#REF!</v>
      </c>
      <c r="D189" s="19" t="e">
        <f>'25hike'!D189+IPI_plus!D184</f>
        <v>#REF!</v>
      </c>
      <c r="E189" s="19" t="e">
        <f>'25hike'!E189+IPI_plus!E184</f>
        <v>#REF!</v>
      </c>
      <c r="F189" s="19" t="e">
        <f>'25hike'!F189+IPI_plus!F184</f>
        <v>#REF!</v>
      </c>
      <c r="G189" s="19" t="e">
        <f>'25hike'!G189+IPI_plus!G184</f>
        <v>#REF!</v>
      </c>
    </row>
    <row r="190" spans="1:7" hidden="1" x14ac:dyDescent="0.55000000000000004">
      <c r="A190" s="5">
        <f t="shared" si="8"/>
        <v>46</v>
      </c>
      <c r="B190" s="4">
        <f t="shared" si="9"/>
        <v>0</v>
      </c>
      <c r="C190" s="19" t="e">
        <f>'25hike'!C190+IPI_plus!C185</f>
        <v>#REF!</v>
      </c>
      <c r="D190" s="19" t="e">
        <f>'25hike'!D190+IPI_plus!D185</f>
        <v>#REF!</v>
      </c>
      <c r="E190" s="19" t="e">
        <f>'25hike'!E190+IPI_plus!E185</f>
        <v>#REF!</v>
      </c>
      <c r="F190" s="19" t="e">
        <f>'25hike'!F190+IPI_plus!F185</f>
        <v>#REF!</v>
      </c>
      <c r="G190" s="19" t="e">
        <f>'25hike'!G190+IPI_plus!G185</f>
        <v>#REF!</v>
      </c>
    </row>
    <row r="191" spans="1:7" hidden="1" x14ac:dyDescent="0.55000000000000004">
      <c r="A191" s="5">
        <f t="shared" si="8"/>
        <v>46.25</v>
      </c>
      <c r="B191" s="4">
        <f t="shared" si="9"/>
        <v>0</v>
      </c>
      <c r="C191" s="19" t="e">
        <f>'25hike'!C191+IPI_plus!C186</f>
        <v>#REF!</v>
      </c>
      <c r="D191" s="19" t="e">
        <f>'25hike'!D191+IPI_plus!D186</f>
        <v>#REF!</v>
      </c>
      <c r="E191" s="19" t="e">
        <f>'25hike'!E191+IPI_plus!E186</f>
        <v>#REF!</v>
      </c>
      <c r="F191" s="19" t="e">
        <f>'25hike'!F191+IPI_plus!F186</f>
        <v>#REF!</v>
      </c>
      <c r="G191" s="19" t="e">
        <f>'25hike'!G191+IPI_plus!G186</f>
        <v>#REF!</v>
      </c>
    </row>
    <row r="192" spans="1:7" hidden="1" x14ac:dyDescent="0.55000000000000004">
      <c r="A192" s="5">
        <f t="shared" si="8"/>
        <v>46.5</v>
      </c>
      <c r="B192" s="4">
        <f t="shared" si="9"/>
        <v>0</v>
      </c>
      <c r="C192" s="19" t="e">
        <f>'25hike'!C192+IPI_plus!C187</f>
        <v>#REF!</v>
      </c>
      <c r="D192" s="19" t="e">
        <f>'25hike'!D192+IPI_plus!D187</f>
        <v>#REF!</v>
      </c>
      <c r="E192" s="19" t="e">
        <f>'25hike'!E192+IPI_plus!E187</f>
        <v>#REF!</v>
      </c>
      <c r="F192" s="19" t="e">
        <f>'25hike'!F192+IPI_plus!F187</f>
        <v>#REF!</v>
      </c>
      <c r="G192" s="19" t="e">
        <f>'25hike'!G192+IPI_plus!G187</f>
        <v>#REF!</v>
      </c>
    </row>
    <row r="193" spans="1:7" hidden="1" x14ac:dyDescent="0.55000000000000004">
      <c r="A193" s="5">
        <f t="shared" si="8"/>
        <v>46.75</v>
      </c>
      <c r="B193" s="4">
        <f t="shared" si="9"/>
        <v>0</v>
      </c>
      <c r="C193" s="19" t="e">
        <f>'25hike'!C193+IPI_plus!C188</f>
        <v>#REF!</v>
      </c>
      <c r="D193" s="19" t="e">
        <f>'25hike'!D193+IPI_plus!D188</f>
        <v>#REF!</v>
      </c>
      <c r="E193" s="19" t="e">
        <f>'25hike'!E193+IPI_plus!E188</f>
        <v>#REF!</v>
      </c>
      <c r="F193" s="19" t="e">
        <f>'25hike'!F193+IPI_plus!F188</f>
        <v>#REF!</v>
      </c>
      <c r="G193" s="19" t="e">
        <f>'25hike'!G193+IPI_plus!G188</f>
        <v>#REF!</v>
      </c>
    </row>
    <row r="194" spans="1:7" hidden="1" x14ac:dyDescent="0.55000000000000004">
      <c r="A194" s="5">
        <f t="shared" si="8"/>
        <v>47</v>
      </c>
      <c r="B194" s="4">
        <f t="shared" si="9"/>
        <v>0</v>
      </c>
      <c r="C194" s="19" t="e">
        <f>'25hike'!C194+IPI_plus!C189</f>
        <v>#REF!</v>
      </c>
      <c r="D194" s="19" t="e">
        <f>'25hike'!D194+IPI_plus!D189</f>
        <v>#REF!</v>
      </c>
      <c r="E194" s="19" t="e">
        <f>'25hike'!E194+IPI_plus!E189</f>
        <v>#REF!</v>
      </c>
      <c r="F194" s="19" t="e">
        <f>'25hike'!F194+IPI_plus!F189</f>
        <v>#REF!</v>
      </c>
      <c r="G194" s="19" t="e">
        <f>'25hike'!G194+IPI_plus!G189</f>
        <v>#REF!</v>
      </c>
    </row>
    <row r="195" spans="1:7" hidden="1" x14ac:dyDescent="0.55000000000000004">
      <c r="A195" s="5">
        <f t="shared" si="8"/>
        <v>47.25</v>
      </c>
      <c r="B195" s="4">
        <f t="shared" si="9"/>
        <v>0</v>
      </c>
      <c r="C195" s="19" t="e">
        <f>'25hike'!C195+IPI_plus!C190</f>
        <v>#REF!</v>
      </c>
      <c r="D195" s="19" t="e">
        <f>'25hike'!D195+IPI_plus!D190</f>
        <v>#REF!</v>
      </c>
      <c r="E195" s="19" t="e">
        <f>'25hike'!E195+IPI_plus!E190</f>
        <v>#REF!</v>
      </c>
      <c r="F195" s="19" t="e">
        <f>'25hike'!F195+IPI_plus!F190</f>
        <v>#REF!</v>
      </c>
      <c r="G195" s="19" t="e">
        <f>'25hike'!G195+IPI_plus!G190</f>
        <v>#REF!</v>
      </c>
    </row>
    <row r="196" spans="1:7" hidden="1" x14ac:dyDescent="0.55000000000000004">
      <c r="A196" s="5">
        <f t="shared" ref="A196:A200" si="10">A195+0.25</f>
        <v>47.5</v>
      </c>
      <c r="B196" s="4">
        <f t="shared" ref="B196:B200" si="11">B195</f>
        <v>0</v>
      </c>
      <c r="C196" s="19" t="e">
        <f>'25hike'!C196+IPI_plus!C191</f>
        <v>#REF!</v>
      </c>
      <c r="D196" s="19" t="e">
        <f>'25hike'!D196+IPI_plus!D191</f>
        <v>#REF!</v>
      </c>
      <c r="E196" s="19" t="e">
        <f>'25hike'!E196+IPI_plus!E191</f>
        <v>#REF!</v>
      </c>
      <c r="F196" s="19" t="e">
        <f>'25hike'!F196+IPI_plus!F191</f>
        <v>#REF!</v>
      </c>
      <c r="G196" s="19" t="e">
        <f>'25hike'!G196+IPI_plus!G191</f>
        <v>#REF!</v>
      </c>
    </row>
    <row r="197" spans="1:7" hidden="1" x14ac:dyDescent="0.55000000000000004">
      <c r="A197" s="5">
        <f t="shared" si="10"/>
        <v>47.75</v>
      </c>
      <c r="B197" s="4">
        <f t="shared" si="11"/>
        <v>0</v>
      </c>
      <c r="C197" s="19" t="e">
        <f>'25hike'!C197+IPI_plus!C192</f>
        <v>#REF!</v>
      </c>
      <c r="D197" s="19" t="e">
        <f>'25hike'!D197+IPI_plus!D192</f>
        <v>#REF!</v>
      </c>
      <c r="E197" s="19" t="e">
        <f>'25hike'!E197+IPI_plus!E192</f>
        <v>#REF!</v>
      </c>
      <c r="F197" s="19" t="e">
        <f>'25hike'!F197+IPI_plus!F192</f>
        <v>#REF!</v>
      </c>
      <c r="G197" s="19" t="e">
        <f>'25hike'!G197+IPI_plus!G192</f>
        <v>#REF!</v>
      </c>
    </row>
    <row r="198" spans="1:7" hidden="1" x14ac:dyDescent="0.55000000000000004">
      <c r="A198" s="5">
        <f t="shared" si="10"/>
        <v>48</v>
      </c>
      <c r="B198" s="4">
        <f t="shared" si="11"/>
        <v>0</v>
      </c>
      <c r="C198" s="19" t="e">
        <f>'25hike'!C198+IPI_plus!C193</f>
        <v>#REF!</v>
      </c>
      <c r="D198" s="19" t="e">
        <f>'25hike'!D198+IPI_plus!D193</f>
        <v>#REF!</v>
      </c>
      <c r="E198" s="19" t="e">
        <f>'25hike'!E198+IPI_plus!E193</f>
        <v>#REF!</v>
      </c>
      <c r="F198" s="19" t="e">
        <f>'25hike'!F198+IPI_plus!F193</f>
        <v>#REF!</v>
      </c>
      <c r="G198" s="19" t="e">
        <f>'25hike'!G198+IPI_plus!G193</f>
        <v>#REF!</v>
      </c>
    </row>
    <row r="199" spans="1:7" hidden="1" x14ac:dyDescent="0.55000000000000004">
      <c r="A199" s="5">
        <f t="shared" si="10"/>
        <v>48.25</v>
      </c>
      <c r="B199" s="4">
        <f t="shared" si="11"/>
        <v>0</v>
      </c>
      <c r="C199" s="19" t="e">
        <f>'25hike'!C199+IPI_plus!C194</f>
        <v>#REF!</v>
      </c>
      <c r="D199" s="19" t="e">
        <f>'25hike'!D199+IPI_plus!D194</f>
        <v>#REF!</v>
      </c>
      <c r="E199" s="19" t="e">
        <f>'25hike'!E199+IPI_plus!E194</f>
        <v>#REF!</v>
      </c>
      <c r="F199" s="19" t="e">
        <f>'25hike'!F199+IPI_plus!F194</f>
        <v>#REF!</v>
      </c>
      <c r="G199" s="19" t="e">
        <f>'25hike'!G199+IPI_plus!G194</f>
        <v>#REF!</v>
      </c>
    </row>
    <row r="200" spans="1:7" hidden="1" x14ac:dyDescent="0.55000000000000004">
      <c r="A200" s="5">
        <f t="shared" si="10"/>
        <v>48.5</v>
      </c>
      <c r="B200" s="4">
        <f t="shared" si="11"/>
        <v>0</v>
      </c>
      <c r="C200" s="19" t="e">
        <f>'25hike'!C200+IPI_plus!C195</f>
        <v>#REF!</v>
      </c>
      <c r="D200" s="19" t="e">
        <f>'25hike'!D200+IPI_plus!D195</f>
        <v>#REF!</v>
      </c>
      <c r="E200" s="19" t="e">
        <f>'25hike'!E200+IPI_plus!E195</f>
        <v>#REF!</v>
      </c>
      <c r="F200" s="19" t="e">
        <f>'25hike'!F200+IPI_plus!F195</f>
        <v>#REF!</v>
      </c>
      <c r="G200" s="19" t="e">
        <f>'25hike'!G200+IPI_plus!G195</f>
        <v>#REF!</v>
      </c>
    </row>
  </sheetData>
  <phoneticPr fontId="1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246790-8BEF-48BA-BF49-5E4C2888C0F3}">
  <sheetPr codeName="Sheet6"/>
  <dimension ref="A1:J200"/>
  <sheetViews>
    <sheetView zoomScaleNormal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K2" sqref="K2"/>
    </sheetView>
  </sheetViews>
  <sheetFormatPr defaultRowHeight="18" x14ac:dyDescent="0.55000000000000004"/>
  <cols>
    <col min="1" max="1" width="8.6640625" style="5"/>
    <col min="2" max="2" width="4.75" style="4" bestFit="1" customWidth="1"/>
    <col min="3" max="7" width="8.6640625" style="14"/>
    <col min="8" max="10" width="8.6640625" style="17"/>
  </cols>
  <sheetData>
    <row r="1" spans="1:10" s="1" customFormat="1" ht="33" x14ac:dyDescent="0.55000000000000004">
      <c r="A1" s="3" t="s">
        <v>15</v>
      </c>
      <c r="B1" s="3" t="s">
        <v>0</v>
      </c>
      <c r="C1" s="13" t="s">
        <v>10</v>
      </c>
      <c r="D1" s="13" t="s">
        <v>11</v>
      </c>
      <c r="E1" s="13" t="s">
        <v>12</v>
      </c>
      <c r="F1" s="13" t="s">
        <v>13</v>
      </c>
      <c r="G1" s="13" t="s">
        <v>14</v>
      </c>
      <c r="H1" s="15" t="s">
        <v>16</v>
      </c>
      <c r="I1" s="15" t="s">
        <v>17</v>
      </c>
      <c r="J1" s="15" t="s">
        <v>18</v>
      </c>
    </row>
    <row r="2" spans="1:10" x14ac:dyDescent="0.55000000000000004">
      <c r="A2" s="5">
        <v>-1</v>
      </c>
      <c r="B2" s="4">
        <v>0</v>
      </c>
      <c r="C2" s="14">
        <v>-3.7299240530264788E-2</v>
      </c>
      <c r="D2" s="14">
        <v>0.65625080807157132</v>
      </c>
      <c r="E2" s="14">
        <v>0.17082054153261755</v>
      </c>
      <c r="F2" s="14">
        <v>5.9062572726441401E-2</v>
      </c>
      <c r="G2" s="14">
        <v>0.40805396893306661</v>
      </c>
      <c r="H2" s="16">
        <v>2</v>
      </c>
      <c r="I2" s="16">
        <v>0.5</v>
      </c>
      <c r="J2" s="16">
        <v>-200</v>
      </c>
    </row>
    <row r="3" spans="1:10" ht="18" customHeight="1" x14ac:dyDescent="0.55000000000000004">
      <c r="A3" s="5">
        <f>A2+0.25</f>
        <v>-0.75</v>
      </c>
      <c r="B3" s="4">
        <f>B2</f>
        <v>0</v>
      </c>
      <c r="C3" s="14">
        <v>-9.754750850567756E-2</v>
      </c>
      <c r="D3" s="14">
        <v>0.41013335301948989</v>
      </c>
      <c r="E3" s="14">
        <v>0.18425852575147778</v>
      </c>
      <c r="F3" s="14">
        <v>9.0658942952815749E-2</v>
      </c>
      <c r="G3" s="14">
        <v>0.38290353213092337</v>
      </c>
      <c r="H3" s="16">
        <f>H2</f>
        <v>2</v>
      </c>
      <c r="I3" s="16">
        <f>I2</f>
        <v>0.5</v>
      </c>
      <c r="J3" s="16">
        <v>-200</v>
      </c>
    </row>
    <row r="4" spans="1:10" x14ac:dyDescent="0.55000000000000004">
      <c r="A4" s="5">
        <f t="shared" ref="A4:A67" si="0">A3+0.25</f>
        <v>-0.5</v>
      </c>
      <c r="B4" s="4">
        <f t="shared" ref="B4:B67" si="1">B3</f>
        <v>0</v>
      </c>
      <c r="C4" s="14">
        <v>-0.1389094117450404</v>
      </c>
      <c r="D4" s="14">
        <v>0.14457930195397314</v>
      </c>
      <c r="E4" s="14">
        <v>9.9742329392002949E-2</v>
      </c>
      <c r="F4" s="14">
        <v>9.5511775262920012E-2</v>
      </c>
      <c r="G4" s="14">
        <v>0.16872947519362499</v>
      </c>
      <c r="H4" s="16">
        <f t="shared" ref="H4:I19" si="2">H3</f>
        <v>2</v>
      </c>
      <c r="I4" s="16">
        <f t="shared" si="2"/>
        <v>0.5</v>
      </c>
      <c r="J4" s="16">
        <v>-200</v>
      </c>
    </row>
    <row r="5" spans="1:10" x14ac:dyDescent="0.55000000000000004">
      <c r="A5" s="5">
        <f t="shared" si="0"/>
        <v>-0.25</v>
      </c>
      <c r="B5" s="4">
        <f t="shared" si="1"/>
        <v>0</v>
      </c>
      <c r="C5" s="14">
        <v>-0.14457332850960189</v>
      </c>
      <c r="D5" s="14">
        <v>-2.5890164008792096E-3</v>
      </c>
      <c r="E5" s="14">
        <v>4.0365555210367943E-2</v>
      </c>
      <c r="F5" s="14">
        <v>8.6682704013178027E-2</v>
      </c>
      <c r="G5" s="14">
        <v>-2.086690996142173E-2</v>
      </c>
      <c r="H5" s="16">
        <f t="shared" si="2"/>
        <v>2</v>
      </c>
      <c r="I5" s="16">
        <f t="shared" si="2"/>
        <v>0.5</v>
      </c>
      <c r="J5" s="16">
        <v>-200</v>
      </c>
    </row>
    <row r="6" spans="1:10" x14ac:dyDescent="0.55000000000000004">
      <c r="A6" s="5">
        <f t="shared" si="0"/>
        <v>0</v>
      </c>
      <c r="B6" s="4">
        <f t="shared" si="1"/>
        <v>0</v>
      </c>
      <c r="C6" s="14">
        <v>-0.12195975133164232</v>
      </c>
      <c r="D6" s="14">
        <v>-5.4563492579120881E-2</v>
      </c>
      <c r="E6" s="14">
        <v>1.4451034722849481E-2</v>
      </c>
      <c r="F6" s="14">
        <v>7.3970546319871114E-2</v>
      </c>
      <c r="G6" s="14">
        <v>-0.11346601481014067</v>
      </c>
      <c r="H6" s="16">
        <f t="shared" si="2"/>
        <v>2</v>
      </c>
      <c r="I6" s="16">
        <f t="shared" si="2"/>
        <v>0.5</v>
      </c>
      <c r="J6" s="16">
        <v>100</v>
      </c>
    </row>
    <row r="7" spans="1:10" x14ac:dyDescent="0.55000000000000004">
      <c r="A7" s="5">
        <f t="shared" si="0"/>
        <v>0.25</v>
      </c>
      <c r="B7" s="4">
        <f t="shared" si="1"/>
        <v>0</v>
      </c>
      <c r="C7" s="14">
        <v>-8.7535191966035042E-2</v>
      </c>
      <c r="D7" s="14">
        <v>-5.4591992813280373E-2</v>
      </c>
      <c r="E7" s="14">
        <v>9.1059793490889662E-3</v>
      </c>
      <c r="F7" s="14">
        <v>6.2399917797887471E-2</v>
      </c>
      <c r="G7" s="14">
        <v>-0.12078391417337897</v>
      </c>
      <c r="H7" s="16">
        <f t="shared" si="2"/>
        <v>2</v>
      </c>
      <c r="I7" s="16">
        <f t="shared" si="2"/>
        <v>0.5</v>
      </c>
      <c r="J7" s="16">
        <v>-200</v>
      </c>
    </row>
    <row r="8" spans="1:10" x14ac:dyDescent="0.55000000000000004">
      <c r="A8" s="5">
        <f t="shared" si="0"/>
        <v>0.5</v>
      </c>
      <c r="B8" s="4">
        <f t="shared" si="1"/>
        <v>0</v>
      </c>
      <c r="C8" s="14">
        <v>-5.5333760481306948E-2</v>
      </c>
      <c r="D8" s="14">
        <v>-3.5475939000497149E-2</v>
      </c>
      <c r="E8" s="14">
        <v>1.2251730814821339E-2</v>
      </c>
      <c r="F8" s="14">
        <v>5.3591090686032919E-2</v>
      </c>
      <c r="G8" s="14">
        <v>-8.240855096118517E-2</v>
      </c>
      <c r="H8" s="16">
        <f t="shared" si="2"/>
        <v>2</v>
      </c>
      <c r="I8" s="16">
        <f t="shared" si="2"/>
        <v>0.5</v>
      </c>
      <c r="J8" s="16">
        <v>-200</v>
      </c>
    </row>
    <row r="9" spans="1:10" x14ac:dyDescent="0.55000000000000004">
      <c r="A9" s="5">
        <f t="shared" si="0"/>
        <v>0.75</v>
      </c>
      <c r="B9" s="4">
        <f t="shared" si="1"/>
        <v>0</v>
      </c>
      <c r="C9" s="14">
        <v>-3.2584244125130168E-2</v>
      </c>
      <c r="D9" s="14">
        <v>-1.5869951089005439E-2</v>
      </c>
      <c r="E9" s="14">
        <v>1.6555708039712562E-2</v>
      </c>
      <c r="F9" s="14">
        <v>4.7339596926279495E-2</v>
      </c>
      <c r="G9" s="14">
        <v>-3.4246887061753897E-2</v>
      </c>
      <c r="H9" s="16">
        <f t="shared" si="2"/>
        <v>2</v>
      </c>
      <c r="I9" s="16">
        <f t="shared" si="2"/>
        <v>0.5</v>
      </c>
      <c r="J9" s="16">
        <v>-200</v>
      </c>
    </row>
    <row r="10" spans="1:10" x14ac:dyDescent="0.55000000000000004">
      <c r="A10" s="5">
        <f t="shared" si="0"/>
        <v>1</v>
      </c>
      <c r="B10" s="4">
        <f t="shared" si="1"/>
        <v>0</v>
      </c>
      <c r="C10" s="14">
        <v>-2.0304410128780936E-2</v>
      </c>
      <c r="D10" s="14">
        <v>-3.2524343880147278E-3</v>
      </c>
      <c r="E10" s="14">
        <v>1.8870870403491426E-2</v>
      </c>
      <c r="F10" s="14">
        <v>4.2786314107992988E-2</v>
      </c>
      <c r="G10" s="14">
        <v>2.7708064959456832E-3</v>
      </c>
      <c r="H10" s="16">
        <f t="shared" si="2"/>
        <v>2</v>
      </c>
      <c r="I10" s="16">
        <f t="shared" si="2"/>
        <v>0.5</v>
      </c>
      <c r="J10" s="16">
        <v>-200</v>
      </c>
    </row>
    <row r="11" spans="1:10" x14ac:dyDescent="0.55000000000000004">
      <c r="A11" s="5">
        <f t="shared" si="0"/>
        <v>1.25</v>
      </c>
      <c r="B11" s="4">
        <f t="shared" si="1"/>
        <v>0</v>
      </c>
      <c r="C11" s="14">
        <v>-1.5913057423773254E-2</v>
      </c>
      <c r="D11" s="14">
        <v>1.7518554605043828E-3</v>
      </c>
      <c r="E11" s="14">
        <v>1.8715749239434674E-2</v>
      </c>
      <c r="F11" s="14">
        <v>3.9093212829719025E-2</v>
      </c>
      <c r="G11" s="14">
        <v>2.2156979795872188E-2</v>
      </c>
      <c r="H11" s="16">
        <f t="shared" si="2"/>
        <v>2</v>
      </c>
      <c r="I11" s="16">
        <f t="shared" si="2"/>
        <v>0.5</v>
      </c>
      <c r="J11" s="16">
        <v>-200</v>
      </c>
    </row>
    <row r="12" spans="1:10" x14ac:dyDescent="0.55000000000000004">
      <c r="A12" s="5">
        <f t="shared" si="0"/>
        <v>1.5</v>
      </c>
      <c r="B12" s="4">
        <f t="shared" si="1"/>
        <v>0</v>
      </c>
      <c r="C12" s="14">
        <v>-1.5808708685600373E-2</v>
      </c>
      <c r="D12" s="14">
        <v>1.5744231256228178E-3</v>
      </c>
      <c r="E12" s="14">
        <v>1.6852280691061497E-2</v>
      </c>
      <c r="F12" s="14">
        <v>3.5716521756350386E-2</v>
      </c>
      <c r="G12" s="14">
        <v>2.6553517127352644E-2</v>
      </c>
      <c r="H12" s="16">
        <f t="shared" si="2"/>
        <v>2</v>
      </c>
      <c r="I12" s="16">
        <f t="shared" si="2"/>
        <v>0.5</v>
      </c>
      <c r="J12" s="16">
        <v>-200</v>
      </c>
    </row>
    <row r="13" spans="1:10" x14ac:dyDescent="0.55000000000000004">
      <c r="A13" s="5">
        <f t="shared" si="0"/>
        <v>1.75</v>
      </c>
      <c r="B13" s="4">
        <f t="shared" si="1"/>
        <v>0</v>
      </c>
      <c r="C13" s="14">
        <v>-1.7007701534536502E-2</v>
      </c>
      <c r="D13" s="14">
        <v>-8.5811618174635952E-4</v>
      </c>
      <c r="E13" s="14">
        <v>1.4302975052693219E-2</v>
      </c>
      <c r="F13" s="14">
        <v>3.2424804341921694E-2</v>
      </c>
      <c r="G13" s="14">
        <v>2.2122099642371312E-2</v>
      </c>
      <c r="H13" s="16">
        <f t="shared" si="2"/>
        <v>2</v>
      </c>
      <c r="I13" s="16">
        <f t="shared" si="2"/>
        <v>0.5</v>
      </c>
      <c r="J13" s="16">
        <v>-200</v>
      </c>
    </row>
    <row r="14" spans="1:10" x14ac:dyDescent="0.55000000000000004">
      <c r="A14" s="5">
        <f t="shared" si="0"/>
        <v>2</v>
      </c>
      <c r="B14" s="4">
        <f t="shared" si="1"/>
        <v>0</v>
      </c>
      <c r="C14" s="14">
        <v>-1.7758388639490041E-2</v>
      </c>
      <c r="D14" s="14">
        <v>-3.4004816267181178E-3</v>
      </c>
      <c r="E14" s="14">
        <v>1.1844659862312298E-2</v>
      </c>
      <c r="F14" s="14">
        <v>2.9200528604744116E-2</v>
      </c>
      <c r="G14" s="14">
        <v>1.4699013118273895E-2</v>
      </c>
      <c r="H14" s="16">
        <f t="shared" si="2"/>
        <v>2</v>
      </c>
      <c r="I14" s="16">
        <f t="shared" si="2"/>
        <v>0.5</v>
      </c>
      <c r="J14" s="16">
        <v>-200</v>
      </c>
    </row>
    <row r="15" spans="1:10" x14ac:dyDescent="0.55000000000000004">
      <c r="A15" s="5">
        <f t="shared" si="0"/>
        <v>2.25</v>
      </c>
      <c r="B15" s="4">
        <f t="shared" si="1"/>
        <v>0</v>
      </c>
      <c r="C15" s="14">
        <v>-1.7448155786083244E-2</v>
      </c>
      <c r="D15" s="14">
        <v>-5.0006612068398699E-3</v>
      </c>
      <c r="E15" s="14">
        <v>9.8672079079105135E-3</v>
      </c>
      <c r="F15" s="14">
        <v>2.6122421521701571E-2</v>
      </c>
      <c r="G15" s="14">
        <v>8.0638431016074701E-3</v>
      </c>
      <c r="H15" s="16">
        <f t="shared" si="2"/>
        <v>2</v>
      </c>
      <c r="I15" s="16">
        <f t="shared" si="2"/>
        <v>0.5</v>
      </c>
      <c r="J15" s="16">
        <v>-200</v>
      </c>
    </row>
    <row r="16" spans="1:10" x14ac:dyDescent="0.55000000000000004">
      <c r="A16" s="5">
        <f t="shared" si="0"/>
        <v>2.5</v>
      </c>
      <c r="B16" s="4">
        <f t="shared" si="1"/>
        <v>0</v>
      </c>
      <c r="C16" s="14">
        <v>-1.6195284154283923E-2</v>
      </c>
      <c r="D16" s="14">
        <v>-5.4769483751220633E-3</v>
      </c>
      <c r="E16" s="14">
        <v>8.4402968662341416E-3</v>
      </c>
      <c r="F16" s="14">
        <v>2.3278478230987453E-2</v>
      </c>
      <c r="G16" s="14">
        <v>3.7835054614166457E-3</v>
      </c>
      <c r="H16" s="16">
        <f t="shared" si="2"/>
        <v>2</v>
      </c>
      <c r="I16" s="16">
        <f t="shared" si="2"/>
        <v>0.5</v>
      </c>
      <c r="J16" s="16">
        <v>-200</v>
      </c>
    </row>
    <row r="17" spans="1:10" x14ac:dyDescent="0.55000000000000004">
      <c r="A17" s="5">
        <f t="shared" si="0"/>
        <v>2.75</v>
      </c>
      <c r="B17" s="4">
        <f t="shared" si="1"/>
        <v>0</v>
      </c>
      <c r="C17" s="14">
        <v>-1.4419845083803463E-2</v>
      </c>
      <c r="D17" s="14">
        <v>-5.1228659841476712E-3</v>
      </c>
      <c r="E17" s="14">
        <v>7.4527363049500962E-3</v>
      </c>
      <c r="F17" s="14">
        <v>2.0722357251625283E-2</v>
      </c>
      <c r="G17" s="14">
        <v>1.8582257451393441E-3</v>
      </c>
      <c r="H17" s="16">
        <f t="shared" si="2"/>
        <v>2</v>
      </c>
      <c r="I17" s="16">
        <f t="shared" si="2"/>
        <v>0.5</v>
      </c>
      <c r="J17" s="16">
        <v>-200</v>
      </c>
    </row>
    <row r="18" spans="1:10" x14ac:dyDescent="0.55000000000000004">
      <c r="A18" s="5">
        <f t="shared" si="0"/>
        <v>3</v>
      </c>
      <c r="B18" s="4">
        <f t="shared" si="1"/>
        <v>0</v>
      </c>
      <c r="C18" s="14">
        <v>-1.2542680005015521E-2</v>
      </c>
      <c r="D18" s="14">
        <v>-4.3624051666618317E-3</v>
      </c>
      <c r="E18" s="14">
        <v>6.7391616997485608E-3</v>
      </c>
      <c r="F18" s="14">
        <v>1.8464728633979445E-2</v>
      </c>
      <c r="G18" s="14">
        <v>1.5393598260196207E-3</v>
      </c>
      <c r="H18" s="16">
        <f t="shared" si="2"/>
        <v>2</v>
      </c>
      <c r="I18" s="16">
        <f t="shared" si="2"/>
        <v>0.5</v>
      </c>
      <c r="J18" s="16">
        <v>-200</v>
      </c>
    </row>
    <row r="19" spans="1:10" x14ac:dyDescent="0.55000000000000004">
      <c r="A19" s="5">
        <f t="shared" si="0"/>
        <v>3.25</v>
      </c>
      <c r="B19" s="4">
        <f t="shared" si="1"/>
        <v>0</v>
      </c>
      <c r="C19" s="14">
        <v>-1.0842675316294905E-2</v>
      </c>
      <c r="D19" s="14">
        <v>-3.5427377459996507E-3</v>
      </c>
      <c r="E19" s="14">
        <v>6.1587771029672196E-3</v>
      </c>
      <c r="F19" s="14">
        <v>1.6484056659781334E-2</v>
      </c>
      <c r="G19" s="14">
        <v>1.9629475630356537E-3</v>
      </c>
      <c r="H19" s="16">
        <f t="shared" si="2"/>
        <v>2</v>
      </c>
      <c r="I19" s="16">
        <f t="shared" si="2"/>
        <v>0.5</v>
      </c>
      <c r="J19" s="16">
        <v>-200</v>
      </c>
    </row>
    <row r="20" spans="1:10" x14ac:dyDescent="0.55000000000000004">
      <c r="A20" s="5">
        <f t="shared" si="0"/>
        <v>3.5</v>
      </c>
      <c r="B20" s="4">
        <f t="shared" si="1"/>
        <v>0</v>
      </c>
      <c r="C20" s="14">
        <v>-9.435592546515905E-3</v>
      </c>
      <c r="D20" s="14">
        <v>-2.8603168904288078E-3</v>
      </c>
      <c r="E20" s="14">
        <v>5.6253569148200415E-3</v>
      </c>
      <c r="F20" s="14">
        <v>1.4743063040262424E-2</v>
      </c>
      <c r="G20" s="14">
        <v>2.4893408754004774E-3</v>
      </c>
      <c r="H20" s="16">
        <f t="shared" ref="H20:I35" si="3">H19</f>
        <v>2</v>
      </c>
      <c r="I20" s="16">
        <f t="shared" si="3"/>
        <v>0.5</v>
      </c>
      <c r="J20" s="16">
        <v>-200</v>
      </c>
    </row>
    <row r="21" spans="1:10" x14ac:dyDescent="0.55000000000000004">
      <c r="A21" s="5">
        <f t="shared" si="0"/>
        <v>3.75</v>
      </c>
      <c r="B21" s="4">
        <f t="shared" si="1"/>
        <v>0</v>
      </c>
      <c r="C21" s="14">
        <v>-8.3175608175975781E-3</v>
      </c>
      <c r="D21" s="14">
        <v>-2.3747202528096611E-3</v>
      </c>
      <c r="E21" s="14">
        <v>5.1041452468584061E-3</v>
      </c>
      <c r="F21" s="14">
        <v>1.3202462543885938E-2</v>
      </c>
      <c r="G21" s="14">
        <v>2.7922937612433929E-3</v>
      </c>
      <c r="H21" s="16">
        <f t="shared" si="3"/>
        <v>2</v>
      </c>
      <c r="I21" s="16">
        <f t="shared" si="3"/>
        <v>0.5</v>
      </c>
      <c r="J21" s="16">
        <v>-200</v>
      </c>
    </row>
    <row r="22" spans="1:10" x14ac:dyDescent="0.55000000000000004">
      <c r="A22" s="5">
        <f t="shared" si="0"/>
        <v>4</v>
      </c>
      <c r="B22" s="4">
        <f t="shared" si="1"/>
        <v>0</v>
      </c>
      <c r="C22" s="14">
        <v>-7.4251559268492242E-3</v>
      </c>
      <c r="D22" s="14">
        <v>-2.0598440516951593E-3</v>
      </c>
      <c r="E22" s="14">
        <v>4.5939287612843773E-3</v>
      </c>
      <c r="F22" s="14">
        <v>1.1828854950283631E-2</v>
      </c>
      <c r="G22" s="14">
        <v>2.7996789115449878E-3</v>
      </c>
      <c r="H22" s="16">
        <f t="shared" si="3"/>
        <v>2</v>
      </c>
      <c r="I22" s="16">
        <f t="shared" si="3"/>
        <v>0.5</v>
      </c>
      <c r="J22" s="16">
        <v>-200</v>
      </c>
    </row>
    <row r="23" spans="1:10" x14ac:dyDescent="0.55000000000000004">
      <c r="A23" s="5">
        <f t="shared" si="0"/>
        <v>4.25</v>
      </c>
      <c r="B23" s="4">
        <f t="shared" si="1"/>
        <v>0</v>
      </c>
      <c r="C23" s="14">
        <v>-6.6837916644916081E-3</v>
      </c>
      <c r="D23" s="14">
        <v>-1.8562562150509761E-3</v>
      </c>
      <c r="E23" s="14">
        <v>4.1078349669337842E-3</v>
      </c>
      <c r="F23" s="14">
        <v>1.0597194945403515E-2</v>
      </c>
      <c r="G23" s="14">
        <v>2.582762783601152E-3</v>
      </c>
      <c r="H23" s="16">
        <f t="shared" si="3"/>
        <v>2</v>
      </c>
      <c r="I23" s="16">
        <f t="shared" si="3"/>
        <v>0.5</v>
      </c>
      <c r="J23" s="16">
        <v>-200</v>
      </c>
    </row>
    <row r="24" spans="1:10" x14ac:dyDescent="0.55000000000000004">
      <c r="A24" s="5">
        <f t="shared" si="0"/>
        <v>4.5</v>
      </c>
      <c r="B24" s="4">
        <f t="shared" si="1"/>
        <v>0</v>
      </c>
      <c r="C24" s="14">
        <v>-6.0347639559874718E-3</v>
      </c>
      <c r="D24" s="14">
        <v>-1.7070757413202775E-3</v>
      </c>
      <c r="E24" s="14">
        <v>3.6597371400077443E-3</v>
      </c>
      <c r="F24" s="14">
        <v>9.4898105835983688E-3</v>
      </c>
      <c r="G24" s="14">
        <v>2.2569535050618499E-3</v>
      </c>
      <c r="H24" s="16">
        <f t="shared" si="3"/>
        <v>2</v>
      </c>
      <c r="I24" s="16">
        <f t="shared" si="3"/>
        <v>0.5</v>
      </c>
      <c r="J24" s="16">
        <v>-200</v>
      </c>
    </row>
    <row r="25" spans="1:10" x14ac:dyDescent="0.55000000000000004">
      <c r="A25" s="5">
        <f t="shared" si="0"/>
        <v>4.75</v>
      </c>
      <c r="B25" s="4">
        <f t="shared" si="1"/>
        <v>0</v>
      </c>
      <c r="C25" s="14">
        <v>-5.4432930446457872E-3</v>
      </c>
      <c r="D25" s="14">
        <v>-1.5743299797527706E-3</v>
      </c>
      <c r="E25" s="14">
        <v>3.2577267383028172E-3</v>
      </c>
      <c r="F25" s="14">
        <v>8.4940379328967662E-3</v>
      </c>
      <c r="G25" s="14">
        <v>1.9202696934950525E-3</v>
      </c>
      <c r="H25" s="16">
        <f t="shared" si="3"/>
        <v>2</v>
      </c>
      <c r="I25" s="16">
        <f t="shared" si="3"/>
        <v>0.5</v>
      </c>
      <c r="J25" s="16">
        <v>-200</v>
      </c>
    </row>
    <row r="26" spans="1:10" x14ac:dyDescent="0.55000000000000004">
      <c r="A26" s="5">
        <f t="shared" si="0"/>
        <v>5</v>
      </c>
      <c r="B26" s="4">
        <f t="shared" si="1"/>
        <v>0</v>
      </c>
      <c r="C26" s="14">
        <v>-4.894863777485191E-3</v>
      </c>
      <c r="D26" s="14">
        <v>-1.4406837658800305E-3</v>
      </c>
      <c r="E26" s="14">
        <v>2.9030544740779856E-3</v>
      </c>
      <c r="F26" s="14">
        <v>7.5999129800068546E-3</v>
      </c>
      <c r="G26" s="14">
        <v>1.6297740648947778E-3</v>
      </c>
      <c r="H26" s="16">
        <f t="shared" si="3"/>
        <v>2</v>
      </c>
      <c r="I26" s="16">
        <f t="shared" si="3"/>
        <v>0.5</v>
      </c>
      <c r="J26" s="16">
        <v>-200</v>
      </c>
    </row>
    <row r="27" spans="1:10" x14ac:dyDescent="0.55000000000000004">
      <c r="A27" s="5">
        <f t="shared" si="0"/>
        <v>5.25</v>
      </c>
      <c r="B27" s="4">
        <f t="shared" si="1"/>
        <v>0</v>
      </c>
      <c r="C27" s="14">
        <v>-4.3871503794100522E-3</v>
      </c>
      <c r="D27" s="14">
        <v>-1.3036289864822243E-3</v>
      </c>
      <c r="E27" s="14">
        <v>2.5920032419630653E-3</v>
      </c>
      <c r="F27" s="14">
        <v>6.7985942030228362E-3</v>
      </c>
      <c r="G27" s="14">
        <v>1.4037459817995087E-3</v>
      </c>
      <c r="H27" s="16">
        <f t="shared" si="3"/>
        <v>2</v>
      </c>
      <c r="I27" s="16">
        <f t="shared" si="3"/>
        <v>0.5</v>
      </c>
      <c r="J27" s="16">
        <v>-200</v>
      </c>
    </row>
    <row r="28" spans="1:10" x14ac:dyDescent="0.55000000000000004">
      <c r="A28" s="5">
        <f t="shared" si="0"/>
        <v>5.5</v>
      </c>
      <c r="B28" s="4">
        <f t="shared" si="1"/>
        <v>0</v>
      </c>
      <c r="C28" s="14">
        <v>-3.9224358985470165E-3</v>
      </c>
      <c r="D28" s="14">
        <v>-1.1679627130561899E-3</v>
      </c>
      <c r="E28" s="14">
        <v>2.3185321611768569E-3</v>
      </c>
      <c r="F28" s="14">
        <v>6.0816040805757258E-3</v>
      </c>
      <c r="G28" s="14">
        <v>1.2354017672055509E-3</v>
      </c>
      <c r="H28" s="16">
        <f t="shared" si="3"/>
        <v>2</v>
      </c>
      <c r="I28" s="16">
        <f t="shared" si="3"/>
        <v>0.5</v>
      </c>
      <c r="J28" s="16">
        <v>-200</v>
      </c>
    </row>
    <row r="29" spans="1:10" x14ac:dyDescent="0.55000000000000004">
      <c r="A29" s="5">
        <f t="shared" si="0"/>
        <v>5.75</v>
      </c>
      <c r="B29" s="4">
        <f t="shared" si="1"/>
        <v>0</v>
      </c>
      <c r="C29" s="14">
        <v>-3.5027078772593427E-3</v>
      </c>
      <c r="D29" s="14">
        <v>-1.0398897427640063E-3</v>
      </c>
      <c r="E29" s="14">
        <v>2.0764150364786433E-3</v>
      </c>
      <c r="F29" s="14">
        <v>5.4406696364751508E-3</v>
      </c>
      <c r="G29" s="14">
        <v>1.1076470449879134E-3</v>
      </c>
      <c r="H29" s="16">
        <f t="shared" si="3"/>
        <v>2</v>
      </c>
      <c r="I29" s="16">
        <f t="shared" si="3"/>
        <v>0.5</v>
      </c>
      <c r="J29" s="16">
        <v>-200</v>
      </c>
    </row>
    <row r="30" spans="1:10" x14ac:dyDescent="0.55000000000000004">
      <c r="A30" s="5">
        <f t="shared" si="0"/>
        <v>6</v>
      </c>
      <c r="B30" s="4">
        <f t="shared" si="1"/>
        <v>0</v>
      </c>
      <c r="C30" s="14">
        <v>-3.1276017142969192E-3</v>
      </c>
      <c r="D30" s="14">
        <v>-9.2380774427972196E-4</v>
      </c>
      <c r="E30" s="14">
        <v>1.8604276946077795E-3</v>
      </c>
      <c r="F30" s="14">
        <v>4.867866672207212E-3</v>
      </c>
      <c r="G30" s="14">
        <v>1.0035187864783962E-3</v>
      </c>
      <c r="H30" s="16">
        <f t="shared" si="3"/>
        <v>2</v>
      </c>
      <c r="I30" s="16">
        <f t="shared" si="3"/>
        <v>0.5</v>
      </c>
      <c r="J30" s="16">
        <v>-200</v>
      </c>
    </row>
    <row r="31" spans="1:10" x14ac:dyDescent="0.55000000000000004">
      <c r="A31" s="5">
        <f t="shared" si="0"/>
        <v>6.25</v>
      </c>
      <c r="B31" s="4">
        <f t="shared" si="1"/>
        <v>0</v>
      </c>
      <c r="C31" s="14">
        <v>-2.7943504455891994E-3</v>
      </c>
      <c r="D31" s="14">
        <v>-8.2141448112747826E-4</v>
      </c>
      <c r="E31" s="14">
        <v>1.6666884578103618E-3</v>
      </c>
      <c r="F31" s="14">
        <v>4.3558313684070888E-3</v>
      </c>
      <c r="G31" s="14">
        <v>9.1116965961507803E-4</v>
      </c>
      <c r="H31" s="16">
        <f t="shared" si="3"/>
        <v>2</v>
      </c>
      <c r="I31" s="16">
        <f t="shared" si="3"/>
        <v>0.5</v>
      </c>
      <c r="J31" s="16">
        <v>-200</v>
      </c>
    </row>
    <row r="32" spans="1:10" x14ac:dyDescent="0.55000000000000004">
      <c r="A32" s="5">
        <f t="shared" si="0"/>
        <v>6.5</v>
      </c>
      <c r="B32" s="4">
        <f t="shared" si="1"/>
        <v>0</v>
      </c>
      <c r="C32" s="14">
        <v>-2.4986887038085095E-3</v>
      </c>
      <c r="D32" s="14">
        <v>-7.3219827839017038E-4</v>
      </c>
      <c r="E32" s="14">
        <v>1.4924669117336259E-3</v>
      </c>
      <c r="F32" s="14">
        <v>3.8979087001953343E-3</v>
      </c>
      <c r="G32" s="14">
        <v>8.2463115243720895E-4</v>
      </c>
      <c r="H32" s="16">
        <f t="shared" si="3"/>
        <v>2</v>
      </c>
      <c r="I32" s="16">
        <f t="shared" si="3"/>
        <v>0.5</v>
      </c>
      <c r="J32" s="16">
        <v>-200</v>
      </c>
    </row>
    <row r="33" spans="1:10" x14ac:dyDescent="0.55000000000000004">
      <c r="A33" s="5">
        <f t="shared" si="0"/>
        <v>6.75</v>
      </c>
      <c r="B33" s="4">
        <f t="shared" si="1"/>
        <v>0</v>
      </c>
      <c r="C33" s="14">
        <v>-2.2359032569800865E-3</v>
      </c>
      <c r="D33" s="14">
        <v>-6.5443892989610144E-4</v>
      </c>
      <c r="E33" s="14">
        <v>1.3358056302616936E-3</v>
      </c>
      <c r="F33" s="14">
        <v>3.488197413487105E-3</v>
      </c>
      <c r="G33" s="14">
        <v>7.423026081483827E-4</v>
      </c>
      <c r="H33" s="16">
        <f t="shared" si="3"/>
        <v>2</v>
      </c>
      <c r="I33" s="16">
        <f t="shared" si="3"/>
        <v>0.5</v>
      </c>
      <c r="J33" s="16">
        <v>-200</v>
      </c>
    </row>
    <row r="34" spans="1:10" x14ac:dyDescent="0.55000000000000004">
      <c r="A34" s="5">
        <f t="shared" si="0"/>
        <v>7</v>
      </c>
      <c r="B34" s="4">
        <f t="shared" si="1"/>
        <v>0</v>
      </c>
      <c r="C34" s="14">
        <v>-2.0015953981343117E-3</v>
      </c>
      <c r="D34" s="14">
        <v>-5.860937563372348E-4</v>
      </c>
      <c r="E34" s="14">
        <v>1.1951425511734178E-3</v>
      </c>
      <c r="F34" s="14">
        <v>3.1215112082029137E-3</v>
      </c>
      <c r="G34" s="14">
        <v>6.6486151989891037E-4</v>
      </c>
      <c r="H34" s="16">
        <f t="shared" si="3"/>
        <v>2</v>
      </c>
      <c r="I34" s="16">
        <f t="shared" si="3"/>
        <v>0.5</v>
      </c>
      <c r="J34" s="16">
        <v>-200</v>
      </c>
    </row>
    <row r="35" spans="1:10" x14ac:dyDescent="0.55000000000000004">
      <c r="A35" s="5">
        <f t="shared" si="0"/>
        <v>7.25</v>
      </c>
      <c r="B35" s="4">
        <f t="shared" si="1"/>
        <v>0</v>
      </c>
      <c r="C35" s="14">
        <v>-1.7920505460024378E-3</v>
      </c>
      <c r="D35" s="14">
        <v>-5.2539060765624795E-4</v>
      </c>
      <c r="E35" s="14">
        <v>1.069095267948341E-3</v>
      </c>
      <c r="F35" s="14">
        <v>2.7932900447755903E-3</v>
      </c>
      <c r="G35" s="14">
        <v>5.9353963293863805E-4</v>
      </c>
      <c r="H35" s="16">
        <f t="shared" si="3"/>
        <v>2</v>
      </c>
      <c r="I35" s="16">
        <f t="shared" si="3"/>
        <v>0.5</v>
      </c>
      <c r="J35" s="16">
        <v>-200</v>
      </c>
    </row>
    <row r="36" spans="1:10" x14ac:dyDescent="0.55000000000000004">
      <c r="A36" s="5">
        <f t="shared" si="0"/>
        <v>7.5</v>
      </c>
      <c r="B36" s="4">
        <f t="shared" si="1"/>
        <v>0</v>
      </c>
      <c r="C36" s="14">
        <v>-1.6042805702593257E-3</v>
      </c>
      <c r="D36" s="14">
        <v>-4.7098626016095301E-4</v>
      </c>
      <c r="E36" s="14">
        <v>9.5629965589733978E-4</v>
      </c>
      <c r="F36" s="14">
        <v>2.4995051773313028E-3</v>
      </c>
      <c r="G36" s="14">
        <v>5.2919259009915232E-4</v>
      </c>
      <c r="H36" s="16">
        <f t="shared" ref="H36:I51" si="4">H35</f>
        <v>2</v>
      </c>
      <c r="I36" s="16">
        <f t="shared" si="4"/>
        <v>0.5</v>
      </c>
      <c r="J36" s="16">
        <v>-200</v>
      </c>
    </row>
    <row r="37" spans="1:10" x14ac:dyDescent="0.55000000000000004">
      <c r="A37" s="5">
        <f t="shared" si="0"/>
        <v>7.75</v>
      </c>
      <c r="B37" s="4">
        <f t="shared" si="1"/>
        <v>0</v>
      </c>
      <c r="C37" s="14">
        <v>-1.4359030109698631E-3</v>
      </c>
      <c r="D37" s="14">
        <v>-4.2204798887020517E-4</v>
      </c>
      <c r="E37" s="14">
        <v>8.5548108341671457E-4</v>
      </c>
      <c r="F37" s="14">
        <v>2.2365653923731659E-3</v>
      </c>
      <c r="G37" s="14">
        <v>4.7193002192702645E-4</v>
      </c>
      <c r="H37" s="16">
        <f t="shared" si="4"/>
        <v>2</v>
      </c>
      <c r="I37" s="16">
        <f t="shared" si="4"/>
        <v>0.5</v>
      </c>
      <c r="J37" s="16">
        <v>-200</v>
      </c>
    </row>
    <row r="38" spans="1:10" x14ac:dyDescent="0.55000000000000004">
      <c r="A38" s="5">
        <f t="shared" si="0"/>
        <v>8</v>
      </c>
      <c r="B38" s="4">
        <f t="shared" si="1"/>
        <v>0</v>
      </c>
      <c r="C38" s="14">
        <v>-1.2849422493525018E-3</v>
      </c>
      <c r="D38" s="14">
        <v>-3.7792670331875827E-4</v>
      </c>
      <c r="E38" s="14">
        <v>7.653093303228312E-4</v>
      </c>
      <c r="F38" s="14">
        <v>2.0012611037608929E-3</v>
      </c>
      <c r="G38" s="14">
        <v>4.2134639131760534E-4</v>
      </c>
      <c r="H38" s="16">
        <f t="shared" si="4"/>
        <v>2</v>
      </c>
      <c r="I38" s="16">
        <f t="shared" si="4"/>
        <v>0.5</v>
      </c>
      <c r="J38" s="16">
        <v>-200</v>
      </c>
    </row>
    <row r="39" spans="1:10" x14ac:dyDescent="0.55000000000000004">
      <c r="A39" s="5">
        <f t="shared" si="0"/>
        <v>8.25</v>
      </c>
      <c r="B39" s="4">
        <f t="shared" si="1"/>
        <v>0</v>
      </c>
      <c r="C39" s="14">
        <v>-1.1497073422508577E-3</v>
      </c>
      <c r="D39" s="14">
        <v>-3.3837831678368475E-4</v>
      </c>
      <c r="E39" s="14">
        <v>6.8474758386722538E-4</v>
      </c>
      <c r="F39" s="14">
        <v>1.7906935559118807E-3</v>
      </c>
      <c r="G39" s="14">
        <v>3.765563116678409E-4</v>
      </c>
      <c r="H39" s="16">
        <f t="shared" si="4"/>
        <v>2</v>
      </c>
      <c r="I39" s="16">
        <f t="shared" si="4"/>
        <v>0.5</v>
      </c>
      <c r="J39" s="16">
        <v>-200</v>
      </c>
    </row>
    <row r="40" spans="1:10" x14ac:dyDescent="0.55000000000000004">
      <c r="A40" s="5">
        <f t="shared" si="0"/>
        <v>8.5</v>
      </c>
      <c r="B40" s="4">
        <f t="shared" si="1"/>
        <v>0</v>
      </c>
      <c r="C40" s="14">
        <v>-1.0286326307263468E-3</v>
      </c>
      <c r="D40" s="14">
        <v>-3.0278535201754713E-4</v>
      </c>
      <c r="E40" s="14">
        <v>6.1248561290667167E-4</v>
      </c>
      <c r="F40" s="14">
        <v>1.602280454198232E-3</v>
      </c>
      <c r="G40" s="14">
        <v>3.3687261078338263E-4</v>
      </c>
      <c r="H40" s="16">
        <f t="shared" si="4"/>
        <v>2</v>
      </c>
      <c r="I40" s="16">
        <f t="shared" si="4"/>
        <v>0.5</v>
      </c>
      <c r="J40" s="16">
        <v>-200</v>
      </c>
    </row>
    <row r="41" spans="1:10" x14ac:dyDescent="0.55000000000000004">
      <c r="A41" s="5">
        <f t="shared" si="0"/>
        <v>8.75</v>
      </c>
      <c r="B41" s="4">
        <f t="shared" si="1"/>
        <v>0</v>
      </c>
      <c r="C41" s="14">
        <v>-9.2034393987272523E-4</v>
      </c>
      <c r="D41" s="14">
        <v>-2.7136445633511652E-4</v>
      </c>
      <c r="E41" s="14">
        <v>5.4803797013354568E-4</v>
      </c>
      <c r="F41" s="14">
        <v>1.4336524122502306E-3</v>
      </c>
      <c r="G41" s="14">
        <v>3.0117005491540162E-4</v>
      </c>
      <c r="H41" s="16">
        <f t="shared" si="4"/>
        <v>2</v>
      </c>
      <c r="I41" s="16">
        <f t="shared" si="4"/>
        <v>0.5</v>
      </c>
      <c r="J41" s="16">
        <v>-200</v>
      </c>
    </row>
    <row r="42" spans="1:10" x14ac:dyDescent="0.55000000000000004">
      <c r="A42" s="5">
        <f t="shared" si="0"/>
        <v>9</v>
      </c>
      <c r="B42" s="4">
        <f t="shared" si="1"/>
        <v>0</v>
      </c>
      <c r="C42" s="14">
        <v>-8.2343685881170392E-4</v>
      </c>
      <c r="D42" s="14">
        <v>-2.4281585584335272E-4</v>
      </c>
      <c r="E42" s="14">
        <v>4.8969798423050491E-4</v>
      </c>
      <c r="F42" s="14">
        <v>1.2827702681218087E-3</v>
      </c>
      <c r="G42" s="14">
        <v>2.6942454600807153E-4</v>
      </c>
      <c r="H42" s="16">
        <f t="shared" si="4"/>
        <v>2</v>
      </c>
      <c r="I42" s="16">
        <f t="shared" si="4"/>
        <v>0.5</v>
      </c>
      <c r="J42" s="16">
        <v>-200</v>
      </c>
    </row>
    <row r="43" spans="1:10" x14ac:dyDescent="0.55000000000000004">
      <c r="A43" s="5">
        <f t="shared" si="0"/>
        <v>9.25</v>
      </c>
      <c r="B43" s="4">
        <f t="shared" si="1"/>
        <v>0</v>
      </c>
      <c r="C43" s="14">
        <v>-7.3686985045354561E-4</v>
      </c>
      <c r="D43" s="14">
        <v>-2.1869308050348599E-4</v>
      </c>
      <c r="E43" s="14">
        <v>4.3830690805085235E-4</v>
      </c>
      <c r="F43" s="14">
        <v>1.1476385667455325E-3</v>
      </c>
      <c r="G43" s="14">
        <v>2.399487163025736E-4</v>
      </c>
      <c r="H43" s="16">
        <f t="shared" si="4"/>
        <v>2</v>
      </c>
      <c r="I43" s="16">
        <f t="shared" si="4"/>
        <v>0.5</v>
      </c>
      <c r="J43" s="16">
        <v>-200</v>
      </c>
    </row>
    <row r="44" spans="1:10" x14ac:dyDescent="0.55000000000000004">
      <c r="A44" s="5">
        <f t="shared" si="0"/>
        <v>9.5</v>
      </c>
      <c r="B44" s="4">
        <f t="shared" si="1"/>
        <v>0</v>
      </c>
      <c r="C44" s="14">
        <v>-6.5924334033149021E-4</v>
      </c>
      <c r="D44" s="14">
        <v>-1.9532202833961269E-4</v>
      </c>
      <c r="E44" s="14">
        <v>3.9018398704628802E-4</v>
      </c>
      <c r="F44" s="14">
        <v>1.0267721131878692E-3</v>
      </c>
      <c r="G44" s="14">
        <v>2.1446637430750249E-4</v>
      </c>
      <c r="H44" s="16">
        <f t="shared" si="4"/>
        <v>2</v>
      </c>
      <c r="I44" s="16">
        <f t="shared" si="4"/>
        <v>0.5</v>
      </c>
      <c r="J44" s="16">
        <v>-200</v>
      </c>
    </row>
    <row r="45" spans="1:10" x14ac:dyDescent="0.55000000000000004">
      <c r="A45" s="5">
        <f t="shared" si="0"/>
        <v>9.75</v>
      </c>
      <c r="B45" s="4">
        <f t="shared" si="1"/>
        <v>0</v>
      </c>
      <c r="C45" s="14">
        <v>-5.9014980140648674E-4</v>
      </c>
      <c r="D45" s="14">
        <v>-1.7890364840906958E-4</v>
      </c>
      <c r="E45" s="14">
        <v>3.5021608290159746E-4</v>
      </c>
      <c r="F45" s="14">
        <v>9.1826129464414488E-4</v>
      </c>
      <c r="G45" s="14">
        <v>1.8852589363407967E-4</v>
      </c>
      <c r="H45" s="16">
        <f t="shared" si="4"/>
        <v>2</v>
      </c>
      <c r="I45" s="16">
        <f t="shared" si="4"/>
        <v>0.5</v>
      </c>
      <c r="J45" s="16">
        <v>-200</v>
      </c>
    </row>
    <row r="46" spans="1:10" x14ac:dyDescent="0.55000000000000004">
      <c r="A46" s="5">
        <f t="shared" si="0"/>
        <v>10</v>
      </c>
      <c r="B46" s="4">
        <f t="shared" si="1"/>
        <v>0</v>
      </c>
      <c r="C46" s="14">
        <v>-5.2765553701073257E-4</v>
      </c>
      <c r="D46" s="14">
        <v>-1.5748217026267033E-4</v>
      </c>
      <c r="E46" s="14">
        <v>3.0743488284614876E-4</v>
      </c>
      <c r="F46" s="14">
        <v>8.214443828025317E-4</v>
      </c>
      <c r="G46" s="14">
        <v>1.691787936858403E-4</v>
      </c>
      <c r="H46" s="16">
        <f t="shared" si="4"/>
        <v>2</v>
      </c>
      <c r="I46" s="16">
        <f t="shared" si="4"/>
        <v>0.5</v>
      </c>
      <c r="J46" s="16">
        <v>-200</v>
      </c>
    </row>
    <row r="47" spans="1:10" x14ac:dyDescent="0.55000000000000004">
      <c r="A47" s="5">
        <f t="shared" si="0"/>
        <v>10.25</v>
      </c>
      <c r="B47" s="4">
        <f t="shared" si="1"/>
        <v>0</v>
      </c>
      <c r="C47" s="14">
        <v>-4.7296461077866975E-4</v>
      </c>
      <c r="D47" s="14">
        <v>-1.5317128720462677E-4</v>
      </c>
      <c r="E47" s="14">
        <v>2.8038414705819044E-4</v>
      </c>
      <c r="F47" s="14">
        <v>7.3372897250188751E-4</v>
      </c>
      <c r="G47" s="14">
        <v>1.4194018471920254E-4</v>
      </c>
      <c r="H47" s="16">
        <f t="shared" si="4"/>
        <v>2</v>
      </c>
      <c r="I47" s="16">
        <f t="shared" si="4"/>
        <v>0.5</v>
      </c>
      <c r="J47" s="16">
        <v>-200</v>
      </c>
    </row>
    <row r="48" spans="1:10" x14ac:dyDescent="0.55000000000000004">
      <c r="A48" s="5">
        <f t="shared" si="0"/>
        <v>10.5</v>
      </c>
      <c r="B48" s="4">
        <f t="shared" si="1"/>
        <v>0</v>
      </c>
      <c r="C48" s="14">
        <v>-4.2171020358262358E-4</v>
      </c>
      <c r="D48" s="14">
        <v>-1.2506522772462458E-4</v>
      </c>
      <c r="E48" s="14">
        <v>2.3262082262732805E-4</v>
      </c>
      <c r="F48" s="14">
        <v>6.5643749448150159E-4</v>
      </c>
      <c r="G48" s="14">
        <v>1.3212218743541867E-4</v>
      </c>
      <c r="H48" s="16">
        <f t="shared" si="4"/>
        <v>2</v>
      </c>
      <c r="I48" s="16">
        <f t="shared" si="4"/>
        <v>0.5</v>
      </c>
      <c r="J48" s="16">
        <v>-200</v>
      </c>
    </row>
    <row r="49" spans="1:10" x14ac:dyDescent="0.55000000000000004">
      <c r="A49" s="5">
        <f t="shared" si="0"/>
        <v>10.75</v>
      </c>
      <c r="B49" s="4">
        <f t="shared" si="1"/>
        <v>0</v>
      </c>
      <c r="C49" s="14">
        <v>-3.8012445737339195E-4</v>
      </c>
      <c r="D49" s="14">
        <v>-1.499999852858255E-4</v>
      </c>
      <c r="E49" s="14">
        <v>2.2981968886243324E-4</v>
      </c>
      <c r="F49" s="14">
        <v>5.8385812130244208E-4</v>
      </c>
      <c r="G49" s="14">
        <v>9.0557656257202816E-5</v>
      </c>
      <c r="H49" s="16">
        <f t="shared" si="4"/>
        <v>2</v>
      </c>
      <c r="I49" s="16">
        <f t="shared" si="4"/>
        <v>0.5</v>
      </c>
      <c r="J49" s="16">
        <v>-200</v>
      </c>
    </row>
    <row r="50" spans="1:10" x14ac:dyDescent="0.55000000000000004">
      <c r="A50" s="5">
        <f t="shared" si="0"/>
        <v>11</v>
      </c>
      <c r="B50" s="4">
        <f t="shared" si="1"/>
        <v>0</v>
      </c>
      <c r="C50" s="14">
        <v>-3.3492134997303847E-4</v>
      </c>
      <c r="D50" s="14">
        <v>-8.6401394565675449E-5</v>
      </c>
      <c r="E50" s="14">
        <v>1.4730424846073578E-4</v>
      </c>
      <c r="F50" s="14">
        <v>5.2353476487431133E-4</v>
      </c>
      <c r="G50" s="14">
        <v>1.0601137067029987E-4</v>
      </c>
      <c r="H50" s="16">
        <f t="shared" si="4"/>
        <v>2</v>
      </c>
      <c r="I50" s="16">
        <f t="shared" si="4"/>
        <v>0.5</v>
      </c>
      <c r="J50" s="16">
        <v>-200</v>
      </c>
    </row>
    <row r="51" spans="1:10" x14ac:dyDescent="0.55000000000000004">
      <c r="A51" s="5">
        <f t="shared" si="0"/>
        <v>11.25</v>
      </c>
      <c r="B51" s="4">
        <f t="shared" si="1"/>
        <v>0</v>
      </c>
      <c r="C51" s="14">
        <v>-3.0930600785307688E-4</v>
      </c>
      <c r="D51" s="14">
        <v>-1.999957967130827E-4</v>
      </c>
      <c r="E51" s="14">
        <v>2.1399211138816254E-4</v>
      </c>
      <c r="F51" s="14">
        <v>4.5841701433144578E-4</v>
      </c>
      <c r="G51" s="14">
        <v>9.6568751481828938E-6</v>
      </c>
      <c r="H51" s="16">
        <f t="shared" si="4"/>
        <v>2</v>
      </c>
      <c r="I51" s="16">
        <f t="shared" si="4"/>
        <v>0.5</v>
      </c>
      <c r="J51" s="16">
        <v>-200</v>
      </c>
    </row>
    <row r="52" spans="1:10" x14ac:dyDescent="0.55000000000000004">
      <c r="A52" s="5">
        <f t="shared" si="0"/>
        <v>11.5</v>
      </c>
      <c r="B52" s="4">
        <f t="shared" si="1"/>
        <v>0</v>
      </c>
      <c r="C52" s="14">
        <v>0</v>
      </c>
      <c r="D52" s="14">
        <v>0</v>
      </c>
      <c r="E52" s="14">
        <v>0</v>
      </c>
      <c r="F52" s="14">
        <v>0</v>
      </c>
      <c r="G52" s="14">
        <v>0</v>
      </c>
      <c r="H52" s="16">
        <f t="shared" ref="H52:I53" si="5">H51</f>
        <v>2</v>
      </c>
      <c r="I52" s="16">
        <f t="shared" si="5"/>
        <v>0.5</v>
      </c>
      <c r="J52" s="16">
        <v>-200</v>
      </c>
    </row>
    <row r="53" spans="1:10" hidden="1" x14ac:dyDescent="0.55000000000000004">
      <c r="A53" s="5">
        <f t="shared" si="0"/>
        <v>11.75</v>
      </c>
      <c r="B53" s="4">
        <f t="shared" si="1"/>
        <v>0</v>
      </c>
      <c r="C53" s="14">
        <v>0</v>
      </c>
      <c r="D53" s="14">
        <v>1.5</v>
      </c>
      <c r="E53" s="14">
        <v>1.5</v>
      </c>
      <c r="F53" s="14">
        <v>1.5</v>
      </c>
      <c r="G53" s="14">
        <v>0</v>
      </c>
      <c r="H53" s="16">
        <f t="shared" si="5"/>
        <v>2</v>
      </c>
      <c r="I53" s="16">
        <f t="shared" si="5"/>
        <v>0.5</v>
      </c>
      <c r="J53" s="16">
        <v>-200</v>
      </c>
    </row>
    <row r="54" spans="1:10" hidden="1" x14ac:dyDescent="0.55000000000000004">
      <c r="A54" s="5">
        <f t="shared" si="0"/>
        <v>12</v>
      </c>
      <c r="B54" s="4">
        <f t="shared" si="1"/>
        <v>0</v>
      </c>
      <c r="C54" s="14" t="e">
        <f>#REF!</f>
        <v>#REF!</v>
      </c>
      <c r="D54" s="14" t="e">
        <f>#REF!+1.5</f>
        <v>#REF!</v>
      </c>
      <c r="E54" s="14" t="e">
        <f>#REF!+1.5</f>
        <v>#REF!</v>
      </c>
      <c r="F54" s="14" t="e">
        <f>#REF!+1.5</f>
        <v>#REF!</v>
      </c>
      <c r="G54" s="14" t="e">
        <f>#REF!</f>
        <v>#REF!</v>
      </c>
    </row>
    <row r="55" spans="1:10" hidden="1" x14ac:dyDescent="0.55000000000000004">
      <c r="A55" s="5">
        <f t="shared" si="0"/>
        <v>12.25</v>
      </c>
      <c r="B55" s="4">
        <f t="shared" si="1"/>
        <v>0</v>
      </c>
      <c r="C55" s="14" t="e">
        <f>#REF!</f>
        <v>#REF!</v>
      </c>
      <c r="D55" s="14" t="e">
        <f>#REF!+1.5</f>
        <v>#REF!</v>
      </c>
      <c r="E55" s="14" t="e">
        <f>#REF!+1.5</f>
        <v>#REF!</v>
      </c>
      <c r="F55" s="14" t="e">
        <f>#REF!+1.5</f>
        <v>#REF!</v>
      </c>
      <c r="G55" s="14" t="e">
        <f>#REF!</f>
        <v>#REF!</v>
      </c>
    </row>
    <row r="56" spans="1:10" hidden="1" x14ac:dyDescent="0.55000000000000004">
      <c r="A56" s="5">
        <f t="shared" si="0"/>
        <v>12.5</v>
      </c>
      <c r="B56" s="4">
        <f t="shared" si="1"/>
        <v>0</v>
      </c>
      <c r="C56" s="14" t="e">
        <f>#REF!</f>
        <v>#REF!</v>
      </c>
      <c r="D56" s="14" t="e">
        <f>#REF!+1.5</f>
        <v>#REF!</v>
      </c>
      <c r="E56" s="14" t="e">
        <f>#REF!+1.5</f>
        <v>#REF!</v>
      </c>
      <c r="F56" s="14" t="e">
        <f>#REF!+1.5</f>
        <v>#REF!</v>
      </c>
      <c r="G56" s="14" t="e">
        <f>#REF!</f>
        <v>#REF!</v>
      </c>
    </row>
    <row r="57" spans="1:10" hidden="1" x14ac:dyDescent="0.55000000000000004">
      <c r="A57" s="5">
        <f t="shared" si="0"/>
        <v>12.75</v>
      </c>
      <c r="B57" s="4">
        <f t="shared" si="1"/>
        <v>0</v>
      </c>
      <c r="C57" s="14" t="e">
        <f>#REF!</f>
        <v>#REF!</v>
      </c>
      <c r="D57" s="14" t="e">
        <f>#REF!+1.5</f>
        <v>#REF!</v>
      </c>
      <c r="E57" s="14" t="e">
        <f>#REF!+1.5</f>
        <v>#REF!</v>
      </c>
      <c r="F57" s="14" t="e">
        <f>#REF!+1.5</f>
        <v>#REF!</v>
      </c>
      <c r="G57" s="14" t="e">
        <f>#REF!</f>
        <v>#REF!</v>
      </c>
    </row>
    <row r="58" spans="1:10" hidden="1" x14ac:dyDescent="0.55000000000000004">
      <c r="A58" s="5">
        <f t="shared" si="0"/>
        <v>13</v>
      </c>
      <c r="B58" s="4">
        <f t="shared" si="1"/>
        <v>0</v>
      </c>
      <c r="C58" s="14" t="e">
        <f>#REF!</f>
        <v>#REF!</v>
      </c>
      <c r="D58" s="14" t="e">
        <f>#REF!+1.5</f>
        <v>#REF!</v>
      </c>
      <c r="E58" s="14" t="e">
        <f>#REF!+1.5</f>
        <v>#REF!</v>
      </c>
      <c r="F58" s="14" t="e">
        <f>#REF!+1.5</f>
        <v>#REF!</v>
      </c>
      <c r="G58" s="14" t="e">
        <f>#REF!</f>
        <v>#REF!</v>
      </c>
    </row>
    <row r="59" spans="1:10" hidden="1" x14ac:dyDescent="0.55000000000000004">
      <c r="A59" s="5">
        <f t="shared" si="0"/>
        <v>13.25</v>
      </c>
      <c r="B59" s="4">
        <f t="shared" si="1"/>
        <v>0</v>
      </c>
      <c r="C59" s="14" t="e">
        <f>#REF!</f>
        <v>#REF!</v>
      </c>
      <c r="D59" s="14" t="e">
        <f>#REF!+1.5</f>
        <v>#REF!</v>
      </c>
      <c r="E59" s="14" t="e">
        <f>#REF!+1.5</f>
        <v>#REF!</v>
      </c>
      <c r="F59" s="14" t="e">
        <f>#REF!+1.5</f>
        <v>#REF!</v>
      </c>
      <c r="G59" s="14" t="e">
        <f>#REF!</f>
        <v>#REF!</v>
      </c>
    </row>
    <row r="60" spans="1:10" hidden="1" x14ac:dyDescent="0.55000000000000004">
      <c r="A60" s="5">
        <f t="shared" si="0"/>
        <v>13.5</v>
      </c>
      <c r="B60" s="4">
        <f t="shared" si="1"/>
        <v>0</v>
      </c>
      <c r="C60" s="14" t="e">
        <f>#REF!</f>
        <v>#REF!</v>
      </c>
      <c r="D60" s="14" t="e">
        <f>#REF!+1.5</f>
        <v>#REF!</v>
      </c>
      <c r="E60" s="14" t="e">
        <f>#REF!+1.5</f>
        <v>#REF!</v>
      </c>
      <c r="F60" s="14" t="e">
        <f>#REF!+1.5</f>
        <v>#REF!</v>
      </c>
      <c r="G60" s="14" t="e">
        <f>#REF!</f>
        <v>#REF!</v>
      </c>
    </row>
    <row r="61" spans="1:10" hidden="1" x14ac:dyDescent="0.55000000000000004">
      <c r="A61" s="5">
        <f t="shared" si="0"/>
        <v>13.75</v>
      </c>
      <c r="B61" s="4">
        <f t="shared" si="1"/>
        <v>0</v>
      </c>
      <c r="C61" s="14" t="e">
        <f>#REF!</f>
        <v>#REF!</v>
      </c>
      <c r="D61" s="14" t="e">
        <f>#REF!+1.5</f>
        <v>#REF!</v>
      </c>
      <c r="E61" s="14" t="e">
        <f>#REF!+1.5</f>
        <v>#REF!</v>
      </c>
      <c r="F61" s="14" t="e">
        <f>#REF!+1.5</f>
        <v>#REF!</v>
      </c>
      <c r="G61" s="14" t="e">
        <f>#REF!</f>
        <v>#REF!</v>
      </c>
    </row>
    <row r="62" spans="1:10" hidden="1" x14ac:dyDescent="0.55000000000000004">
      <c r="A62" s="5">
        <f t="shared" si="0"/>
        <v>14</v>
      </c>
      <c r="B62" s="4">
        <f t="shared" si="1"/>
        <v>0</v>
      </c>
      <c r="C62" s="14" t="e">
        <f>#REF!</f>
        <v>#REF!</v>
      </c>
      <c r="D62" s="14" t="e">
        <f>#REF!+1.5</f>
        <v>#REF!</v>
      </c>
      <c r="E62" s="14" t="e">
        <f>#REF!+1.5</f>
        <v>#REF!</v>
      </c>
      <c r="F62" s="14" t="e">
        <f>#REF!+1.5</f>
        <v>#REF!</v>
      </c>
      <c r="G62" s="14" t="e">
        <f>#REF!</f>
        <v>#REF!</v>
      </c>
    </row>
    <row r="63" spans="1:10" hidden="1" x14ac:dyDescent="0.55000000000000004">
      <c r="A63" s="5">
        <f t="shared" si="0"/>
        <v>14.25</v>
      </c>
      <c r="B63" s="4">
        <f t="shared" si="1"/>
        <v>0</v>
      </c>
      <c r="C63" s="14" t="e">
        <f>#REF!</f>
        <v>#REF!</v>
      </c>
      <c r="D63" s="14" t="e">
        <f>#REF!+1.5</f>
        <v>#REF!</v>
      </c>
      <c r="E63" s="14" t="e">
        <f>#REF!+1.5</f>
        <v>#REF!</v>
      </c>
      <c r="F63" s="14" t="e">
        <f>#REF!+1.5</f>
        <v>#REF!</v>
      </c>
      <c r="G63" s="14" t="e">
        <f>#REF!</f>
        <v>#REF!</v>
      </c>
    </row>
    <row r="64" spans="1:10" hidden="1" x14ac:dyDescent="0.55000000000000004">
      <c r="A64" s="5">
        <f t="shared" si="0"/>
        <v>14.5</v>
      </c>
      <c r="B64" s="4">
        <f t="shared" si="1"/>
        <v>0</v>
      </c>
      <c r="C64" s="14" t="e">
        <f>#REF!</f>
        <v>#REF!</v>
      </c>
      <c r="D64" s="14" t="e">
        <f>#REF!+1.5</f>
        <v>#REF!</v>
      </c>
      <c r="E64" s="14" t="e">
        <f>#REF!+1.5</f>
        <v>#REF!</v>
      </c>
      <c r="F64" s="14" t="e">
        <f>#REF!+1.5</f>
        <v>#REF!</v>
      </c>
      <c r="G64" s="14" t="e">
        <f>#REF!</f>
        <v>#REF!</v>
      </c>
    </row>
    <row r="65" spans="1:7" hidden="1" x14ac:dyDescent="0.55000000000000004">
      <c r="A65" s="5">
        <f t="shared" si="0"/>
        <v>14.75</v>
      </c>
      <c r="B65" s="4">
        <f t="shared" si="1"/>
        <v>0</v>
      </c>
      <c r="C65" s="14" t="e">
        <f>#REF!</f>
        <v>#REF!</v>
      </c>
      <c r="D65" s="14" t="e">
        <f>#REF!+1.5</f>
        <v>#REF!</v>
      </c>
      <c r="E65" s="14" t="e">
        <f>#REF!+1.5</f>
        <v>#REF!</v>
      </c>
      <c r="F65" s="14" t="e">
        <f>#REF!+1.5</f>
        <v>#REF!</v>
      </c>
      <c r="G65" s="14" t="e">
        <f>#REF!</f>
        <v>#REF!</v>
      </c>
    </row>
    <row r="66" spans="1:7" hidden="1" x14ac:dyDescent="0.55000000000000004">
      <c r="A66" s="5">
        <f t="shared" si="0"/>
        <v>15</v>
      </c>
      <c r="B66" s="4">
        <f t="shared" si="1"/>
        <v>0</v>
      </c>
      <c r="C66" s="14" t="e">
        <f>#REF!</f>
        <v>#REF!</v>
      </c>
      <c r="D66" s="14" t="e">
        <f>#REF!+1.5</f>
        <v>#REF!</v>
      </c>
      <c r="E66" s="14" t="e">
        <f>#REF!+1.5</f>
        <v>#REF!</v>
      </c>
      <c r="F66" s="14" t="e">
        <f>#REF!+1.5</f>
        <v>#REF!</v>
      </c>
      <c r="G66" s="14" t="e">
        <f>#REF!</f>
        <v>#REF!</v>
      </c>
    </row>
    <row r="67" spans="1:7" hidden="1" x14ac:dyDescent="0.55000000000000004">
      <c r="A67" s="5">
        <f t="shared" si="0"/>
        <v>15.25</v>
      </c>
      <c r="B67" s="4">
        <f t="shared" si="1"/>
        <v>0</v>
      </c>
      <c r="C67" s="14" t="e">
        <f>#REF!</f>
        <v>#REF!</v>
      </c>
      <c r="D67" s="14" t="e">
        <f>#REF!+1.5</f>
        <v>#REF!</v>
      </c>
      <c r="E67" s="14" t="e">
        <f>#REF!+1.5</f>
        <v>#REF!</v>
      </c>
      <c r="F67" s="14" t="e">
        <f>#REF!+1.5</f>
        <v>#REF!</v>
      </c>
      <c r="G67" s="14" t="e">
        <f>#REF!</f>
        <v>#REF!</v>
      </c>
    </row>
    <row r="68" spans="1:7" hidden="1" x14ac:dyDescent="0.55000000000000004">
      <c r="A68" s="5">
        <f t="shared" ref="A68:A131" si="6">A67+0.25</f>
        <v>15.5</v>
      </c>
      <c r="B68" s="4">
        <f t="shared" ref="B68:B131" si="7">B67</f>
        <v>0</v>
      </c>
      <c r="C68" s="14" t="e">
        <f>#REF!</f>
        <v>#REF!</v>
      </c>
      <c r="D68" s="14" t="e">
        <f>#REF!+1.5</f>
        <v>#REF!</v>
      </c>
      <c r="E68" s="14" t="e">
        <f>#REF!+1.5</f>
        <v>#REF!</v>
      </c>
      <c r="F68" s="14" t="e">
        <f>#REF!+1.5</f>
        <v>#REF!</v>
      </c>
      <c r="G68" s="14" t="e">
        <f>#REF!</f>
        <v>#REF!</v>
      </c>
    </row>
    <row r="69" spans="1:7" hidden="1" x14ac:dyDescent="0.55000000000000004">
      <c r="A69" s="5">
        <f t="shared" si="6"/>
        <v>15.75</v>
      </c>
      <c r="B69" s="4">
        <f t="shared" si="7"/>
        <v>0</v>
      </c>
      <c r="C69" s="14" t="e">
        <f>#REF!</f>
        <v>#REF!</v>
      </c>
      <c r="D69" s="14" t="e">
        <f>#REF!+1.5</f>
        <v>#REF!</v>
      </c>
      <c r="E69" s="14" t="e">
        <f>#REF!+1.5</f>
        <v>#REF!</v>
      </c>
      <c r="F69" s="14" t="e">
        <f>#REF!+1.5</f>
        <v>#REF!</v>
      </c>
      <c r="G69" s="14" t="e">
        <f>#REF!</f>
        <v>#REF!</v>
      </c>
    </row>
    <row r="70" spans="1:7" hidden="1" x14ac:dyDescent="0.55000000000000004">
      <c r="A70" s="5">
        <f t="shared" si="6"/>
        <v>16</v>
      </c>
      <c r="B70" s="4">
        <f t="shared" si="7"/>
        <v>0</v>
      </c>
      <c r="C70" s="14" t="e">
        <f>#REF!</f>
        <v>#REF!</v>
      </c>
      <c r="D70" s="14" t="e">
        <f>#REF!+1.5</f>
        <v>#REF!</v>
      </c>
      <c r="E70" s="14" t="e">
        <f>#REF!+1.5</f>
        <v>#REF!</v>
      </c>
      <c r="F70" s="14" t="e">
        <f>#REF!+1.5</f>
        <v>#REF!</v>
      </c>
      <c r="G70" s="14" t="e">
        <f>#REF!</f>
        <v>#REF!</v>
      </c>
    </row>
    <row r="71" spans="1:7" hidden="1" x14ac:dyDescent="0.55000000000000004">
      <c r="A71" s="5">
        <f t="shared" si="6"/>
        <v>16.25</v>
      </c>
      <c r="B71" s="4">
        <f t="shared" si="7"/>
        <v>0</v>
      </c>
      <c r="C71" s="14" t="e">
        <f>#REF!</f>
        <v>#REF!</v>
      </c>
      <c r="D71" s="14" t="e">
        <f>#REF!+1.5</f>
        <v>#REF!</v>
      </c>
      <c r="E71" s="14" t="e">
        <f>#REF!+1.5</f>
        <v>#REF!</v>
      </c>
      <c r="F71" s="14" t="e">
        <f>#REF!+1.5</f>
        <v>#REF!</v>
      </c>
      <c r="G71" s="14" t="e">
        <f>#REF!</f>
        <v>#REF!</v>
      </c>
    </row>
    <row r="72" spans="1:7" hidden="1" x14ac:dyDescent="0.55000000000000004">
      <c r="A72" s="5">
        <f t="shared" si="6"/>
        <v>16.5</v>
      </c>
      <c r="B72" s="4">
        <f t="shared" si="7"/>
        <v>0</v>
      </c>
      <c r="C72" s="14" t="e">
        <f>#REF!</f>
        <v>#REF!</v>
      </c>
      <c r="D72" s="14" t="e">
        <f>#REF!+1.5</f>
        <v>#REF!</v>
      </c>
      <c r="E72" s="14" t="e">
        <f>#REF!+1.5</f>
        <v>#REF!</v>
      </c>
      <c r="F72" s="14" t="e">
        <f>#REF!+1.5</f>
        <v>#REF!</v>
      </c>
      <c r="G72" s="14" t="e">
        <f>#REF!</f>
        <v>#REF!</v>
      </c>
    </row>
    <row r="73" spans="1:7" hidden="1" x14ac:dyDescent="0.55000000000000004">
      <c r="A73" s="5">
        <f t="shared" si="6"/>
        <v>16.75</v>
      </c>
      <c r="B73" s="4">
        <f t="shared" si="7"/>
        <v>0</v>
      </c>
      <c r="C73" s="14" t="e">
        <f>#REF!</f>
        <v>#REF!</v>
      </c>
      <c r="D73" s="14" t="e">
        <f>#REF!+1.5</f>
        <v>#REF!</v>
      </c>
      <c r="E73" s="14" t="e">
        <f>#REF!+1.5</f>
        <v>#REF!</v>
      </c>
      <c r="F73" s="14" t="e">
        <f>#REF!+1.5</f>
        <v>#REF!</v>
      </c>
      <c r="G73" s="14" t="e">
        <f>#REF!</f>
        <v>#REF!</v>
      </c>
    </row>
    <row r="74" spans="1:7" hidden="1" x14ac:dyDescent="0.55000000000000004">
      <c r="A74" s="5">
        <f t="shared" si="6"/>
        <v>17</v>
      </c>
      <c r="B74" s="4">
        <f t="shared" si="7"/>
        <v>0</v>
      </c>
      <c r="C74" s="14" t="e">
        <f>#REF!</f>
        <v>#REF!</v>
      </c>
      <c r="D74" s="14" t="e">
        <f>#REF!+1.5</f>
        <v>#REF!</v>
      </c>
      <c r="E74" s="14" t="e">
        <f>#REF!+1.5</f>
        <v>#REF!</v>
      </c>
      <c r="F74" s="14" t="e">
        <f>#REF!+1.5</f>
        <v>#REF!</v>
      </c>
      <c r="G74" s="14" t="e">
        <f>#REF!</f>
        <v>#REF!</v>
      </c>
    </row>
    <row r="75" spans="1:7" hidden="1" x14ac:dyDescent="0.55000000000000004">
      <c r="A75" s="5">
        <f t="shared" si="6"/>
        <v>17.25</v>
      </c>
      <c r="B75" s="4">
        <f t="shared" si="7"/>
        <v>0</v>
      </c>
      <c r="C75" s="14" t="e">
        <f>#REF!</f>
        <v>#REF!</v>
      </c>
      <c r="D75" s="14" t="e">
        <f>#REF!+1.5</f>
        <v>#REF!</v>
      </c>
      <c r="E75" s="14" t="e">
        <f>#REF!+1.5</f>
        <v>#REF!</v>
      </c>
      <c r="F75" s="14" t="e">
        <f>#REF!+1.5</f>
        <v>#REF!</v>
      </c>
      <c r="G75" s="14" t="e">
        <f>#REF!</f>
        <v>#REF!</v>
      </c>
    </row>
    <row r="76" spans="1:7" hidden="1" x14ac:dyDescent="0.55000000000000004">
      <c r="A76" s="5">
        <f t="shared" si="6"/>
        <v>17.5</v>
      </c>
      <c r="B76" s="4">
        <f t="shared" si="7"/>
        <v>0</v>
      </c>
      <c r="C76" s="14" t="e">
        <f>#REF!</f>
        <v>#REF!</v>
      </c>
      <c r="D76" s="14" t="e">
        <f>#REF!+1.5</f>
        <v>#REF!</v>
      </c>
      <c r="E76" s="14" t="e">
        <f>#REF!+1.5</f>
        <v>#REF!</v>
      </c>
      <c r="F76" s="14" t="e">
        <f>#REF!+1.5</f>
        <v>#REF!</v>
      </c>
      <c r="G76" s="14" t="e">
        <f>#REF!</f>
        <v>#REF!</v>
      </c>
    </row>
    <row r="77" spans="1:7" hidden="1" x14ac:dyDescent="0.55000000000000004">
      <c r="A77" s="5">
        <f t="shared" si="6"/>
        <v>17.75</v>
      </c>
      <c r="B77" s="4">
        <f t="shared" si="7"/>
        <v>0</v>
      </c>
      <c r="C77" s="14" t="e">
        <f>#REF!</f>
        <v>#REF!</v>
      </c>
      <c r="D77" s="14" t="e">
        <f>#REF!+1.5</f>
        <v>#REF!</v>
      </c>
      <c r="E77" s="14" t="e">
        <f>#REF!+1.5</f>
        <v>#REF!</v>
      </c>
      <c r="F77" s="14" t="e">
        <f>#REF!+1.5</f>
        <v>#REF!</v>
      </c>
      <c r="G77" s="14" t="e">
        <f>#REF!</f>
        <v>#REF!</v>
      </c>
    </row>
    <row r="78" spans="1:7" hidden="1" x14ac:dyDescent="0.55000000000000004">
      <c r="A78" s="5">
        <f t="shared" si="6"/>
        <v>18</v>
      </c>
      <c r="B78" s="4">
        <f t="shared" si="7"/>
        <v>0</v>
      </c>
      <c r="C78" s="14" t="e">
        <f>#REF!</f>
        <v>#REF!</v>
      </c>
      <c r="D78" s="14" t="e">
        <f>#REF!+1.5</f>
        <v>#REF!</v>
      </c>
      <c r="E78" s="14" t="e">
        <f>#REF!+1.5</f>
        <v>#REF!</v>
      </c>
      <c r="F78" s="14" t="e">
        <f>#REF!+1.5</f>
        <v>#REF!</v>
      </c>
      <c r="G78" s="14" t="e">
        <f>#REF!</f>
        <v>#REF!</v>
      </c>
    </row>
    <row r="79" spans="1:7" hidden="1" x14ac:dyDescent="0.55000000000000004">
      <c r="A79" s="5">
        <f t="shared" si="6"/>
        <v>18.25</v>
      </c>
      <c r="B79" s="4">
        <f t="shared" si="7"/>
        <v>0</v>
      </c>
      <c r="C79" s="14" t="e">
        <f>#REF!</f>
        <v>#REF!</v>
      </c>
      <c r="D79" s="14" t="e">
        <f>#REF!+1.5</f>
        <v>#REF!</v>
      </c>
      <c r="E79" s="14" t="e">
        <f>#REF!+1.5</f>
        <v>#REF!</v>
      </c>
      <c r="F79" s="14" t="e">
        <f>#REF!+1.5</f>
        <v>#REF!</v>
      </c>
      <c r="G79" s="14" t="e">
        <f>#REF!</f>
        <v>#REF!</v>
      </c>
    </row>
    <row r="80" spans="1:7" hidden="1" x14ac:dyDescent="0.55000000000000004">
      <c r="A80" s="5">
        <f t="shared" si="6"/>
        <v>18.5</v>
      </c>
      <c r="B80" s="4">
        <f t="shared" si="7"/>
        <v>0</v>
      </c>
      <c r="C80" s="14" t="e">
        <f>#REF!</f>
        <v>#REF!</v>
      </c>
      <c r="D80" s="14" t="e">
        <f>#REF!+1.5</f>
        <v>#REF!</v>
      </c>
      <c r="E80" s="14" t="e">
        <f>#REF!+1.5</f>
        <v>#REF!</v>
      </c>
      <c r="F80" s="14" t="e">
        <f>#REF!+1.5</f>
        <v>#REF!</v>
      </c>
      <c r="G80" s="14" t="e">
        <f>#REF!</f>
        <v>#REF!</v>
      </c>
    </row>
    <row r="81" spans="1:7" hidden="1" x14ac:dyDescent="0.55000000000000004">
      <c r="A81" s="5">
        <f t="shared" si="6"/>
        <v>18.75</v>
      </c>
      <c r="B81" s="4">
        <f t="shared" si="7"/>
        <v>0</v>
      </c>
      <c r="C81" s="14" t="e">
        <f>#REF!</f>
        <v>#REF!</v>
      </c>
      <c r="D81" s="14" t="e">
        <f>#REF!+1.5</f>
        <v>#REF!</v>
      </c>
      <c r="E81" s="14" t="e">
        <f>#REF!+1.5</f>
        <v>#REF!</v>
      </c>
      <c r="F81" s="14" t="e">
        <f>#REF!+1.5</f>
        <v>#REF!</v>
      </c>
      <c r="G81" s="14" t="e">
        <f>#REF!</f>
        <v>#REF!</v>
      </c>
    </row>
    <row r="82" spans="1:7" hidden="1" x14ac:dyDescent="0.55000000000000004">
      <c r="A82" s="5">
        <f t="shared" si="6"/>
        <v>19</v>
      </c>
      <c r="B82" s="4">
        <f t="shared" si="7"/>
        <v>0</v>
      </c>
      <c r="C82" s="14" t="e">
        <f>#REF!</f>
        <v>#REF!</v>
      </c>
      <c r="D82" s="14" t="e">
        <f>#REF!+1.5</f>
        <v>#REF!</v>
      </c>
      <c r="E82" s="14" t="e">
        <f>#REF!+1.5</f>
        <v>#REF!</v>
      </c>
      <c r="F82" s="14" t="e">
        <f>#REF!+1.5</f>
        <v>#REF!</v>
      </c>
      <c r="G82" s="14" t="e">
        <f>#REF!</f>
        <v>#REF!</v>
      </c>
    </row>
    <row r="83" spans="1:7" hidden="1" x14ac:dyDescent="0.55000000000000004">
      <c r="A83" s="5">
        <f t="shared" si="6"/>
        <v>19.25</v>
      </c>
      <c r="B83" s="4">
        <f t="shared" si="7"/>
        <v>0</v>
      </c>
      <c r="C83" s="14" t="e">
        <f>#REF!</f>
        <v>#REF!</v>
      </c>
      <c r="D83" s="14" t="e">
        <f>#REF!+1.5</f>
        <v>#REF!</v>
      </c>
      <c r="E83" s="14" t="e">
        <f>#REF!+1.5</f>
        <v>#REF!</v>
      </c>
      <c r="F83" s="14" t="e">
        <f>#REF!+1.5</f>
        <v>#REF!</v>
      </c>
      <c r="G83" s="14" t="e">
        <f>#REF!</f>
        <v>#REF!</v>
      </c>
    </row>
    <row r="84" spans="1:7" hidden="1" x14ac:dyDescent="0.55000000000000004">
      <c r="A84" s="5">
        <f t="shared" si="6"/>
        <v>19.5</v>
      </c>
      <c r="B84" s="4">
        <f t="shared" si="7"/>
        <v>0</v>
      </c>
      <c r="C84" s="14" t="e">
        <f>#REF!</f>
        <v>#REF!</v>
      </c>
      <c r="D84" s="14" t="e">
        <f>#REF!+1.5</f>
        <v>#REF!</v>
      </c>
      <c r="E84" s="14" t="e">
        <f>#REF!+1.5</f>
        <v>#REF!</v>
      </c>
      <c r="F84" s="14" t="e">
        <f>#REF!+1.5</f>
        <v>#REF!</v>
      </c>
      <c r="G84" s="14" t="e">
        <f>#REF!</f>
        <v>#REF!</v>
      </c>
    </row>
    <row r="85" spans="1:7" hidden="1" x14ac:dyDescent="0.55000000000000004">
      <c r="A85" s="5">
        <f t="shared" si="6"/>
        <v>19.75</v>
      </c>
      <c r="B85" s="4">
        <f t="shared" si="7"/>
        <v>0</v>
      </c>
      <c r="C85" s="14" t="e">
        <f>#REF!</f>
        <v>#REF!</v>
      </c>
      <c r="D85" s="14" t="e">
        <f>#REF!+1.5</f>
        <v>#REF!</v>
      </c>
      <c r="E85" s="14" t="e">
        <f>#REF!+1.5</f>
        <v>#REF!</v>
      </c>
      <c r="F85" s="14" t="e">
        <f>#REF!+1.5</f>
        <v>#REF!</v>
      </c>
      <c r="G85" s="14" t="e">
        <f>#REF!</f>
        <v>#REF!</v>
      </c>
    </row>
    <row r="86" spans="1:7" hidden="1" x14ac:dyDescent="0.55000000000000004">
      <c r="A86" s="5">
        <f t="shared" si="6"/>
        <v>20</v>
      </c>
      <c r="B86" s="4">
        <f t="shared" si="7"/>
        <v>0</v>
      </c>
      <c r="C86" s="14" t="e">
        <f>#REF!</f>
        <v>#REF!</v>
      </c>
      <c r="D86" s="14" t="e">
        <f>#REF!+1.5</f>
        <v>#REF!</v>
      </c>
      <c r="E86" s="14" t="e">
        <f>#REF!+1.5</f>
        <v>#REF!</v>
      </c>
      <c r="F86" s="14" t="e">
        <f>#REF!+1.5</f>
        <v>#REF!</v>
      </c>
      <c r="G86" s="14" t="e">
        <f>#REF!</f>
        <v>#REF!</v>
      </c>
    </row>
    <row r="87" spans="1:7" hidden="1" x14ac:dyDescent="0.55000000000000004">
      <c r="A87" s="5">
        <f t="shared" si="6"/>
        <v>20.25</v>
      </c>
      <c r="B87" s="4">
        <f t="shared" si="7"/>
        <v>0</v>
      </c>
      <c r="C87" s="14" t="e">
        <f>#REF!</f>
        <v>#REF!</v>
      </c>
      <c r="D87" s="14" t="e">
        <f>#REF!+1.5</f>
        <v>#REF!</v>
      </c>
      <c r="E87" s="14" t="e">
        <f>#REF!+1.5</f>
        <v>#REF!</v>
      </c>
      <c r="F87" s="14" t="e">
        <f>#REF!+1.5</f>
        <v>#REF!</v>
      </c>
      <c r="G87" s="14" t="e">
        <f>#REF!</f>
        <v>#REF!</v>
      </c>
    </row>
    <row r="88" spans="1:7" hidden="1" x14ac:dyDescent="0.55000000000000004">
      <c r="A88" s="5">
        <f t="shared" si="6"/>
        <v>20.5</v>
      </c>
      <c r="B88" s="4">
        <f t="shared" si="7"/>
        <v>0</v>
      </c>
      <c r="C88" s="14" t="e">
        <f>#REF!</f>
        <v>#REF!</v>
      </c>
      <c r="D88" s="14" t="e">
        <f>#REF!+1.5</f>
        <v>#REF!</v>
      </c>
      <c r="E88" s="14" t="e">
        <f>#REF!+1.5</f>
        <v>#REF!</v>
      </c>
      <c r="F88" s="14" t="e">
        <f>#REF!+1.5</f>
        <v>#REF!</v>
      </c>
      <c r="G88" s="14" t="e">
        <f>#REF!</f>
        <v>#REF!</v>
      </c>
    </row>
    <row r="89" spans="1:7" hidden="1" x14ac:dyDescent="0.55000000000000004">
      <c r="A89" s="5">
        <f t="shared" si="6"/>
        <v>20.75</v>
      </c>
      <c r="B89" s="4">
        <f t="shared" si="7"/>
        <v>0</v>
      </c>
      <c r="C89" s="14" t="e">
        <f>#REF!</f>
        <v>#REF!</v>
      </c>
      <c r="D89" s="14" t="e">
        <f>#REF!+1.5</f>
        <v>#REF!</v>
      </c>
      <c r="E89" s="14" t="e">
        <f>#REF!+1.5</f>
        <v>#REF!</v>
      </c>
      <c r="F89" s="14" t="e">
        <f>#REF!+1.5</f>
        <v>#REF!</v>
      </c>
      <c r="G89" s="14" t="e">
        <f>#REF!</f>
        <v>#REF!</v>
      </c>
    </row>
    <row r="90" spans="1:7" hidden="1" x14ac:dyDescent="0.55000000000000004">
      <c r="A90" s="5">
        <f t="shared" si="6"/>
        <v>21</v>
      </c>
      <c r="B90" s="4">
        <f t="shared" si="7"/>
        <v>0</v>
      </c>
      <c r="C90" s="14" t="e">
        <f>#REF!</f>
        <v>#REF!</v>
      </c>
      <c r="D90" s="14" t="e">
        <f>#REF!+1.5</f>
        <v>#REF!</v>
      </c>
      <c r="E90" s="14" t="e">
        <f>#REF!+1.5</f>
        <v>#REF!</v>
      </c>
      <c r="F90" s="14" t="e">
        <f>#REF!+1.5</f>
        <v>#REF!</v>
      </c>
      <c r="G90" s="14" t="e">
        <f>#REF!</f>
        <v>#REF!</v>
      </c>
    </row>
    <row r="91" spans="1:7" hidden="1" x14ac:dyDescent="0.55000000000000004">
      <c r="A91" s="5">
        <f t="shared" si="6"/>
        <v>21.25</v>
      </c>
      <c r="B91" s="4">
        <f t="shared" si="7"/>
        <v>0</v>
      </c>
      <c r="C91" s="14" t="e">
        <f>#REF!</f>
        <v>#REF!</v>
      </c>
      <c r="D91" s="14" t="e">
        <f>#REF!+1.5</f>
        <v>#REF!</v>
      </c>
      <c r="E91" s="14" t="e">
        <f>#REF!+1.5</f>
        <v>#REF!</v>
      </c>
      <c r="F91" s="14" t="e">
        <f>#REF!+1.5</f>
        <v>#REF!</v>
      </c>
      <c r="G91" s="14" t="e">
        <f>#REF!</f>
        <v>#REF!</v>
      </c>
    </row>
    <row r="92" spans="1:7" hidden="1" x14ac:dyDescent="0.55000000000000004">
      <c r="A92" s="5">
        <f t="shared" si="6"/>
        <v>21.5</v>
      </c>
      <c r="B92" s="4">
        <f t="shared" si="7"/>
        <v>0</v>
      </c>
      <c r="C92" s="14" t="e">
        <f>#REF!</f>
        <v>#REF!</v>
      </c>
      <c r="D92" s="14" t="e">
        <f>#REF!+1.5</f>
        <v>#REF!</v>
      </c>
      <c r="E92" s="14" t="e">
        <f>#REF!+1.5</f>
        <v>#REF!</v>
      </c>
      <c r="F92" s="14" t="e">
        <f>#REF!+1.5</f>
        <v>#REF!</v>
      </c>
      <c r="G92" s="14" t="e">
        <f>#REF!</f>
        <v>#REF!</v>
      </c>
    </row>
    <row r="93" spans="1:7" hidden="1" x14ac:dyDescent="0.55000000000000004">
      <c r="A93" s="5">
        <f t="shared" si="6"/>
        <v>21.75</v>
      </c>
      <c r="B93" s="4">
        <f t="shared" si="7"/>
        <v>0</v>
      </c>
      <c r="C93" s="14" t="e">
        <f>#REF!</f>
        <v>#REF!</v>
      </c>
      <c r="D93" s="14" t="e">
        <f>#REF!+1.5</f>
        <v>#REF!</v>
      </c>
      <c r="E93" s="14" t="e">
        <f>#REF!+1.5</f>
        <v>#REF!</v>
      </c>
      <c r="F93" s="14" t="e">
        <f>#REF!+1.5</f>
        <v>#REF!</v>
      </c>
      <c r="G93" s="14" t="e">
        <f>#REF!</f>
        <v>#REF!</v>
      </c>
    </row>
    <row r="94" spans="1:7" hidden="1" x14ac:dyDescent="0.55000000000000004">
      <c r="A94" s="5">
        <f t="shared" si="6"/>
        <v>22</v>
      </c>
      <c r="B94" s="4">
        <f t="shared" si="7"/>
        <v>0</v>
      </c>
      <c r="C94" s="14" t="e">
        <f>#REF!</f>
        <v>#REF!</v>
      </c>
      <c r="D94" s="14" t="e">
        <f>#REF!+1.5</f>
        <v>#REF!</v>
      </c>
      <c r="E94" s="14" t="e">
        <f>#REF!+1.5</f>
        <v>#REF!</v>
      </c>
      <c r="F94" s="14" t="e">
        <f>#REF!+1.5</f>
        <v>#REF!</v>
      </c>
      <c r="G94" s="14" t="e">
        <f>#REF!</f>
        <v>#REF!</v>
      </c>
    </row>
    <row r="95" spans="1:7" hidden="1" x14ac:dyDescent="0.55000000000000004">
      <c r="A95" s="5">
        <f t="shared" si="6"/>
        <v>22.25</v>
      </c>
      <c r="B95" s="4">
        <f t="shared" si="7"/>
        <v>0</v>
      </c>
      <c r="C95" s="14" t="e">
        <f>#REF!</f>
        <v>#REF!</v>
      </c>
      <c r="D95" s="14" t="e">
        <f>#REF!+1.5</f>
        <v>#REF!</v>
      </c>
      <c r="E95" s="14" t="e">
        <f>#REF!+1.5</f>
        <v>#REF!</v>
      </c>
      <c r="F95" s="14" t="e">
        <f>#REF!+1.5</f>
        <v>#REF!</v>
      </c>
      <c r="G95" s="14" t="e">
        <f>#REF!</f>
        <v>#REF!</v>
      </c>
    </row>
    <row r="96" spans="1:7" hidden="1" x14ac:dyDescent="0.55000000000000004">
      <c r="A96" s="5">
        <f t="shared" si="6"/>
        <v>22.5</v>
      </c>
      <c r="B96" s="4">
        <f t="shared" si="7"/>
        <v>0</v>
      </c>
      <c r="C96" s="14" t="e">
        <f>#REF!</f>
        <v>#REF!</v>
      </c>
      <c r="D96" s="14" t="e">
        <f>#REF!+1.5</f>
        <v>#REF!</v>
      </c>
      <c r="E96" s="14" t="e">
        <f>#REF!+1.5</f>
        <v>#REF!</v>
      </c>
      <c r="F96" s="14" t="e">
        <f>#REF!+1.5</f>
        <v>#REF!</v>
      </c>
      <c r="G96" s="14" t="e">
        <f>#REF!</f>
        <v>#REF!</v>
      </c>
    </row>
    <row r="97" spans="1:7" hidden="1" x14ac:dyDescent="0.55000000000000004">
      <c r="A97" s="5">
        <f t="shared" si="6"/>
        <v>22.75</v>
      </c>
      <c r="B97" s="4">
        <f t="shared" si="7"/>
        <v>0</v>
      </c>
      <c r="C97" s="14" t="e">
        <f>#REF!</f>
        <v>#REF!</v>
      </c>
      <c r="D97" s="14" t="e">
        <f>#REF!+1.5</f>
        <v>#REF!</v>
      </c>
      <c r="E97" s="14" t="e">
        <f>#REF!+1.5</f>
        <v>#REF!</v>
      </c>
      <c r="F97" s="14" t="e">
        <f>#REF!+1.5</f>
        <v>#REF!</v>
      </c>
      <c r="G97" s="14" t="e">
        <f>#REF!</f>
        <v>#REF!</v>
      </c>
    </row>
    <row r="98" spans="1:7" hidden="1" x14ac:dyDescent="0.55000000000000004">
      <c r="A98" s="5">
        <f t="shared" si="6"/>
        <v>23</v>
      </c>
      <c r="B98" s="4">
        <f t="shared" si="7"/>
        <v>0</v>
      </c>
      <c r="C98" s="14" t="e">
        <f>#REF!</f>
        <v>#REF!</v>
      </c>
      <c r="D98" s="14" t="e">
        <f>#REF!+1.5</f>
        <v>#REF!</v>
      </c>
      <c r="E98" s="14" t="e">
        <f>#REF!+1.5</f>
        <v>#REF!</v>
      </c>
      <c r="F98" s="14" t="e">
        <f>#REF!+1.5</f>
        <v>#REF!</v>
      </c>
      <c r="G98" s="14" t="e">
        <f>#REF!</f>
        <v>#REF!</v>
      </c>
    </row>
    <row r="99" spans="1:7" hidden="1" x14ac:dyDescent="0.55000000000000004">
      <c r="A99" s="5">
        <f t="shared" si="6"/>
        <v>23.25</v>
      </c>
      <c r="B99" s="4">
        <f t="shared" si="7"/>
        <v>0</v>
      </c>
      <c r="C99" s="14" t="e">
        <f>#REF!</f>
        <v>#REF!</v>
      </c>
      <c r="D99" s="14" t="e">
        <f>#REF!+1.5</f>
        <v>#REF!</v>
      </c>
      <c r="E99" s="14" t="e">
        <f>#REF!+1.5</f>
        <v>#REF!</v>
      </c>
      <c r="F99" s="14" t="e">
        <f>#REF!+1.5</f>
        <v>#REF!</v>
      </c>
      <c r="G99" s="14" t="e">
        <f>#REF!</f>
        <v>#REF!</v>
      </c>
    </row>
    <row r="100" spans="1:7" hidden="1" x14ac:dyDescent="0.55000000000000004">
      <c r="A100" s="5">
        <f t="shared" si="6"/>
        <v>23.5</v>
      </c>
      <c r="B100" s="4">
        <f t="shared" si="7"/>
        <v>0</v>
      </c>
      <c r="C100" s="14" t="e">
        <f>#REF!</f>
        <v>#REF!</v>
      </c>
      <c r="D100" s="14" t="e">
        <f>#REF!+1.5</f>
        <v>#REF!</v>
      </c>
      <c r="E100" s="14" t="e">
        <f>#REF!+1.5</f>
        <v>#REF!</v>
      </c>
      <c r="F100" s="14" t="e">
        <f>#REF!+1.5</f>
        <v>#REF!</v>
      </c>
      <c r="G100" s="14" t="e">
        <f>#REF!</f>
        <v>#REF!</v>
      </c>
    </row>
    <row r="101" spans="1:7" hidden="1" x14ac:dyDescent="0.55000000000000004">
      <c r="A101" s="5">
        <f t="shared" si="6"/>
        <v>23.75</v>
      </c>
      <c r="B101" s="4">
        <f t="shared" si="7"/>
        <v>0</v>
      </c>
      <c r="C101" s="14" t="e">
        <f>#REF!</f>
        <v>#REF!</v>
      </c>
      <c r="D101" s="14" t="e">
        <f>#REF!+1.5</f>
        <v>#REF!</v>
      </c>
      <c r="E101" s="14" t="e">
        <f>#REF!+1.5</f>
        <v>#REF!</v>
      </c>
      <c r="F101" s="14" t="e">
        <f>#REF!+1.5</f>
        <v>#REF!</v>
      </c>
      <c r="G101" s="14" t="e">
        <f>#REF!</f>
        <v>#REF!</v>
      </c>
    </row>
    <row r="102" spans="1:7" hidden="1" x14ac:dyDescent="0.55000000000000004">
      <c r="A102" s="5">
        <f t="shared" si="6"/>
        <v>24</v>
      </c>
      <c r="B102" s="4">
        <f t="shared" si="7"/>
        <v>0</v>
      </c>
      <c r="C102" s="14" t="e">
        <f>#REF!</f>
        <v>#REF!</v>
      </c>
      <c r="D102" s="14" t="e">
        <f>#REF!+1.5</f>
        <v>#REF!</v>
      </c>
      <c r="E102" s="14" t="e">
        <f>#REF!+1.5</f>
        <v>#REF!</v>
      </c>
      <c r="F102" s="14" t="e">
        <f>#REF!+1.5</f>
        <v>#REF!</v>
      </c>
      <c r="G102" s="14" t="e">
        <f>#REF!</f>
        <v>#REF!</v>
      </c>
    </row>
    <row r="103" spans="1:7" hidden="1" x14ac:dyDescent="0.55000000000000004">
      <c r="A103" s="5">
        <f t="shared" si="6"/>
        <v>24.25</v>
      </c>
      <c r="B103" s="4">
        <f t="shared" si="7"/>
        <v>0</v>
      </c>
      <c r="C103" s="14" t="e">
        <f>#REF!</f>
        <v>#REF!</v>
      </c>
      <c r="D103" s="14" t="e">
        <f>#REF!+1.5</f>
        <v>#REF!</v>
      </c>
      <c r="E103" s="14" t="e">
        <f>#REF!+1.5</f>
        <v>#REF!</v>
      </c>
      <c r="F103" s="14" t="e">
        <f>#REF!+1.5</f>
        <v>#REF!</v>
      </c>
      <c r="G103" s="14" t="e">
        <f>#REF!</f>
        <v>#REF!</v>
      </c>
    </row>
    <row r="104" spans="1:7" hidden="1" x14ac:dyDescent="0.55000000000000004">
      <c r="A104" s="5">
        <f t="shared" si="6"/>
        <v>24.5</v>
      </c>
      <c r="B104" s="4">
        <f t="shared" si="7"/>
        <v>0</v>
      </c>
      <c r="C104" s="14" t="e">
        <f>#REF!</f>
        <v>#REF!</v>
      </c>
      <c r="D104" s="14" t="e">
        <f>#REF!+1.5</f>
        <v>#REF!</v>
      </c>
      <c r="E104" s="14" t="e">
        <f>#REF!+1.5</f>
        <v>#REF!</v>
      </c>
      <c r="F104" s="14" t="e">
        <f>#REF!+1.5</f>
        <v>#REF!</v>
      </c>
      <c r="G104" s="14" t="e">
        <f>#REF!</f>
        <v>#REF!</v>
      </c>
    </row>
    <row r="105" spans="1:7" hidden="1" x14ac:dyDescent="0.55000000000000004">
      <c r="A105" s="5">
        <f t="shared" si="6"/>
        <v>24.75</v>
      </c>
      <c r="B105" s="4">
        <f t="shared" si="7"/>
        <v>0</v>
      </c>
      <c r="C105" s="14" t="e">
        <f>#REF!</f>
        <v>#REF!</v>
      </c>
      <c r="D105" s="14" t="e">
        <f>#REF!+1.5</f>
        <v>#REF!</v>
      </c>
      <c r="E105" s="14" t="e">
        <f>#REF!+1.5</f>
        <v>#REF!</v>
      </c>
      <c r="F105" s="14" t="e">
        <f>#REF!+1.5</f>
        <v>#REF!</v>
      </c>
      <c r="G105" s="14" t="e">
        <f>#REF!</f>
        <v>#REF!</v>
      </c>
    </row>
    <row r="106" spans="1:7" hidden="1" x14ac:dyDescent="0.55000000000000004">
      <c r="A106" s="5">
        <f t="shared" si="6"/>
        <v>25</v>
      </c>
      <c r="B106" s="4">
        <f t="shared" si="7"/>
        <v>0</v>
      </c>
      <c r="C106" s="14" t="e">
        <f>#REF!</f>
        <v>#REF!</v>
      </c>
      <c r="D106" s="14" t="e">
        <f>#REF!+1.5</f>
        <v>#REF!</v>
      </c>
      <c r="E106" s="14" t="e">
        <f>#REF!+1.5</f>
        <v>#REF!</v>
      </c>
      <c r="F106" s="14" t="e">
        <f>#REF!+1.5</f>
        <v>#REF!</v>
      </c>
      <c r="G106" s="14" t="e">
        <f>#REF!</f>
        <v>#REF!</v>
      </c>
    </row>
    <row r="107" spans="1:7" hidden="1" x14ac:dyDescent="0.55000000000000004">
      <c r="A107" s="5">
        <f t="shared" si="6"/>
        <v>25.25</v>
      </c>
      <c r="B107" s="4">
        <f t="shared" si="7"/>
        <v>0</v>
      </c>
      <c r="C107" s="14" t="e">
        <f>#REF!</f>
        <v>#REF!</v>
      </c>
      <c r="D107" s="14" t="e">
        <f>#REF!+1.5</f>
        <v>#REF!</v>
      </c>
      <c r="E107" s="14" t="e">
        <f>#REF!+1.5</f>
        <v>#REF!</v>
      </c>
      <c r="F107" s="14" t="e">
        <f>#REF!+1.5</f>
        <v>#REF!</v>
      </c>
      <c r="G107" s="14" t="e">
        <f>#REF!</f>
        <v>#REF!</v>
      </c>
    </row>
    <row r="108" spans="1:7" hidden="1" x14ac:dyDescent="0.55000000000000004">
      <c r="A108" s="5">
        <f t="shared" si="6"/>
        <v>25.5</v>
      </c>
      <c r="B108" s="4">
        <f t="shared" si="7"/>
        <v>0</v>
      </c>
      <c r="C108" s="14" t="e">
        <f>#REF!</f>
        <v>#REF!</v>
      </c>
      <c r="D108" s="14" t="e">
        <f>#REF!+1.5</f>
        <v>#REF!</v>
      </c>
      <c r="E108" s="14" t="e">
        <f>#REF!+1.5</f>
        <v>#REF!</v>
      </c>
      <c r="F108" s="14" t="e">
        <f>#REF!+1.5</f>
        <v>#REF!</v>
      </c>
      <c r="G108" s="14" t="e">
        <f>#REF!</f>
        <v>#REF!</v>
      </c>
    </row>
    <row r="109" spans="1:7" hidden="1" x14ac:dyDescent="0.55000000000000004">
      <c r="A109" s="5">
        <f t="shared" si="6"/>
        <v>25.75</v>
      </c>
      <c r="B109" s="4">
        <f t="shared" si="7"/>
        <v>0</v>
      </c>
      <c r="C109" s="14" t="e">
        <f>#REF!</f>
        <v>#REF!</v>
      </c>
      <c r="D109" s="14" t="e">
        <f>#REF!+1.5</f>
        <v>#REF!</v>
      </c>
      <c r="E109" s="14" t="e">
        <f>#REF!+1.5</f>
        <v>#REF!</v>
      </c>
      <c r="F109" s="14" t="e">
        <f>#REF!+1.5</f>
        <v>#REF!</v>
      </c>
      <c r="G109" s="14" t="e">
        <f>#REF!</f>
        <v>#REF!</v>
      </c>
    </row>
    <row r="110" spans="1:7" hidden="1" x14ac:dyDescent="0.55000000000000004">
      <c r="A110" s="5">
        <f t="shared" si="6"/>
        <v>26</v>
      </c>
      <c r="B110" s="4">
        <f t="shared" si="7"/>
        <v>0</v>
      </c>
      <c r="C110" s="14" t="e">
        <f>#REF!</f>
        <v>#REF!</v>
      </c>
      <c r="D110" s="14" t="e">
        <f>#REF!+1.5</f>
        <v>#REF!</v>
      </c>
      <c r="E110" s="14" t="e">
        <f>#REF!+1.5</f>
        <v>#REF!</v>
      </c>
      <c r="F110" s="14" t="e">
        <f>#REF!+1.5</f>
        <v>#REF!</v>
      </c>
      <c r="G110" s="14" t="e">
        <f>#REF!</f>
        <v>#REF!</v>
      </c>
    </row>
    <row r="111" spans="1:7" hidden="1" x14ac:dyDescent="0.55000000000000004">
      <c r="A111" s="5">
        <f t="shared" si="6"/>
        <v>26.25</v>
      </c>
      <c r="B111" s="4">
        <f t="shared" si="7"/>
        <v>0</v>
      </c>
      <c r="C111" s="14" t="e">
        <f>#REF!</f>
        <v>#REF!</v>
      </c>
      <c r="D111" s="14" t="e">
        <f>#REF!+1.5</f>
        <v>#REF!</v>
      </c>
      <c r="E111" s="14" t="e">
        <f>#REF!+1.5</f>
        <v>#REF!</v>
      </c>
      <c r="F111" s="14" t="e">
        <f>#REF!+1.5</f>
        <v>#REF!</v>
      </c>
      <c r="G111" s="14" t="e">
        <f>#REF!</f>
        <v>#REF!</v>
      </c>
    </row>
    <row r="112" spans="1:7" hidden="1" x14ac:dyDescent="0.55000000000000004">
      <c r="A112" s="5">
        <f t="shared" si="6"/>
        <v>26.5</v>
      </c>
      <c r="B112" s="4">
        <f t="shared" si="7"/>
        <v>0</v>
      </c>
      <c r="C112" s="14" t="e">
        <f>#REF!</f>
        <v>#REF!</v>
      </c>
      <c r="D112" s="14" t="e">
        <f>#REF!+1.5</f>
        <v>#REF!</v>
      </c>
      <c r="E112" s="14" t="e">
        <f>#REF!+1.5</f>
        <v>#REF!</v>
      </c>
      <c r="F112" s="14" t="e">
        <f>#REF!+1.5</f>
        <v>#REF!</v>
      </c>
      <c r="G112" s="14" t="e">
        <f>#REF!</f>
        <v>#REF!</v>
      </c>
    </row>
    <row r="113" spans="1:7" hidden="1" x14ac:dyDescent="0.55000000000000004">
      <c r="A113" s="5">
        <f t="shared" si="6"/>
        <v>26.75</v>
      </c>
      <c r="B113" s="4">
        <f t="shared" si="7"/>
        <v>0</v>
      </c>
      <c r="C113" s="14" t="e">
        <f>#REF!</f>
        <v>#REF!</v>
      </c>
      <c r="D113" s="14" t="e">
        <f>#REF!+1.5</f>
        <v>#REF!</v>
      </c>
      <c r="E113" s="14" t="e">
        <f>#REF!+1.5</f>
        <v>#REF!</v>
      </c>
      <c r="F113" s="14" t="e">
        <f>#REF!+1.5</f>
        <v>#REF!</v>
      </c>
      <c r="G113" s="14" t="e">
        <f>#REF!</f>
        <v>#REF!</v>
      </c>
    </row>
    <row r="114" spans="1:7" hidden="1" x14ac:dyDescent="0.55000000000000004">
      <c r="A114" s="5">
        <f t="shared" si="6"/>
        <v>27</v>
      </c>
      <c r="B114" s="4">
        <f t="shared" si="7"/>
        <v>0</v>
      </c>
      <c r="C114" s="14" t="e">
        <f>#REF!</f>
        <v>#REF!</v>
      </c>
      <c r="D114" s="14" t="e">
        <f>#REF!+1.5</f>
        <v>#REF!</v>
      </c>
      <c r="E114" s="14" t="e">
        <f>#REF!+1.5</f>
        <v>#REF!</v>
      </c>
      <c r="F114" s="14" t="e">
        <f>#REF!+1.5</f>
        <v>#REF!</v>
      </c>
      <c r="G114" s="14" t="e">
        <f>#REF!</f>
        <v>#REF!</v>
      </c>
    </row>
    <row r="115" spans="1:7" hidden="1" x14ac:dyDescent="0.55000000000000004">
      <c r="A115" s="5">
        <f t="shared" si="6"/>
        <v>27.25</v>
      </c>
      <c r="B115" s="4">
        <f t="shared" si="7"/>
        <v>0</v>
      </c>
      <c r="C115" s="14" t="e">
        <f>#REF!</f>
        <v>#REF!</v>
      </c>
      <c r="D115" s="14" t="e">
        <f>#REF!+1.5</f>
        <v>#REF!</v>
      </c>
      <c r="E115" s="14" t="e">
        <f>#REF!+1.5</f>
        <v>#REF!</v>
      </c>
      <c r="F115" s="14" t="e">
        <f>#REF!+1.5</f>
        <v>#REF!</v>
      </c>
      <c r="G115" s="14" t="e">
        <f>#REF!</f>
        <v>#REF!</v>
      </c>
    </row>
    <row r="116" spans="1:7" hidden="1" x14ac:dyDescent="0.55000000000000004">
      <c r="A116" s="5">
        <f t="shared" si="6"/>
        <v>27.5</v>
      </c>
      <c r="B116" s="4">
        <f t="shared" si="7"/>
        <v>0</v>
      </c>
      <c r="C116" s="14" t="e">
        <f>#REF!</f>
        <v>#REF!</v>
      </c>
      <c r="D116" s="14" t="e">
        <f>#REF!+1.5</f>
        <v>#REF!</v>
      </c>
      <c r="E116" s="14" t="e">
        <f>#REF!+1.5</f>
        <v>#REF!</v>
      </c>
      <c r="F116" s="14" t="e">
        <f>#REF!+1.5</f>
        <v>#REF!</v>
      </c>
      <c r="G116" s="14" t="e">
        <f>#REF!</f>
        <v>#REF!</v>
      </c>
    </row>
    <row r="117" spans="1:7" hidden="1" x14ac:dyDescent="0.55000000000000004">
      <c r="A117" s="5">
        <f t="shared" si="6"/>
        <v>27.75</v>
      </c>
      <c r="B117" s="4">
        <f t="shared" si="7"/>
        <v>0</v>
      </c>
      <c r="C117" s="14" t="e">
        <f>#REF!</f>
        <v>#REF!</v>
      </c>
      <c r="D117" s="14" t="e">
        <f>#REF!+1.5</f>
        <v>#REF!</v>
      </c>
      <c r="E117" s="14" t="e">
        <f>#REF!+1.5</f>
        <v>#REF!</v>
      </c>
      <c r="F117" s="14" t="e">
        <f>#REF!+1.5</f>
        <v>#REF!</v>
      </c>
      <c r="G117" s="14" t="e">
        <f>#REF!</f>
        <v>#REF!</v>
      </c>
    </row>
    <row r="118" spans="1:7" hidden="1" x14ac:dyDescent="0.55000000000000004">
      <c r="A118" s="5">
        <f t="shared" si="6"/>
        <v>28</v>
      </c>
      <c r="B118" s="4">
        <f t="shared" si="7"/>
        <v>0</v>
      </c>
      <c r="C118" s="14" t="e">
        <f>#REF!</f>
        <v>#REF!</v>
      </c>
      <c r="D118" s="14" t="e">
        <f>#REF!+1.5</f>
        <v>#REF!</v>
      </c>
      <c r="E118" s="14" t="e">
        <f>#REF!+1.5</f>
        <v>#REF!</v>
      </c>
      <c r="F118" s="14" t="e">
        <f>#REF!+1.5</f>
        <v>#REF!</v>
      </c>
      <c r="G118" s="14" t="e">
        <f>#REF!</f>
        <v>#REF!</v>
      </c>
    </row>
    <row r="119" spans="1:7" hidden="1" x14ac:dyDescent="0.55000000000000004">
      <c r="A119" s="5">
        <f t="shared" si="6"/>
        <v>28.25</v>
      </c>
      <c r="B119" s="4">
        <f t="shared" si="7"/>
        <v>0</v>
      </c>
      <c r="C119" s="14" t="e">
        <f>#REF!</f>
        <v>#REF!</v>
      </c>
      <c r="D119" s="14" t="e">
        <f>#REF!+1.5</f>
        <v>#REF!</v>
      </c>
      <c r="E119" s="14" t="e">
        <f>#REF!+1.5</f>
        <v>#REF!</v>
      </c>
      <c r="F119" s="14" t="e">
        <f>#REF!+1.5</f>
        <v>#REF!</v>
      </c>
      <c r="G119" s="14" t="e">
        <f>#REF!</f>
        <v>#REF!</v>
      </c>
    </row>
    <row r="120" spans="1:7" hidden="1" x14ac:dyDescent="0.55000000000000004">
      <c r="A120" s="5">
        <f t="shared" si="6"/>
        <v>28.5</v>
      </c>
      <c r="B120" s="4">
        <f t="shared" si="7"/>
        <v>0</v>
      </c>
      <c r="C120" s="14" t="e">
        <f>#REF!</f>
        <v>#REF!</v>
      </c>
      <c r="D120" s="14" t="e">
        <f>#REF!+1.5</f>
        <v>#REF!</v>
      </c>
      <c r="E120" s="14" t="e">
        <f>#REF!+1.5</f>
        <v>#REF!</v>
      </c>
      <c r="F120" s="14" t="e">
        <f>#REF!+1.5</f>
        <v>#REF!</v>
      </c>
      <c r="G120" s="14" t="e">
        <f>#REF!</f>
        <v>#REF!</v>
      </c>
    </row>
    <row r="121" spans="1:7" hidden="1" x14ac:dyDescent="0.55000000000000004">
      <c r="A121" s="5">
        <f t="shared" si="6"/>
        <v>28.75</v>
      </c>
      <c r="B121" s="4">
        <f t="shared" si="7"/>
        <v>0</v>
      </c>
      <c r="C121" s="14" t="e">
        <f>#REF!</f>
        <v>#REF!</v>
      </c>
      <c r="D121" s="14" t="e">
        <f>#REF!+1.5</f>
        <v>#REF!</v>
      </c>
      <c r="E121" s="14" t="e">
        <f>#REF!+1.5</f>
        <v>#REF!</v>
      </c>
      <c r="F121" s="14" t="e">
        <f>#REF!+1.5</f>
        <v>#REF!</v>
      </c>
      <c r="G121" s="14" t="e">
        <f>#REF!</f>
        <v>#REF!</v>
      </c>
    </row>
    <row r="122" spans="1:7" hidden="1" x14ac:dyDescent="0.55000000000000004">
      <c r="A122" s="5">
        <f t="shared" si="6"/>
        <v>29</v>
      </c>
      <c r="B122" s="4">
        <f t="shared" si="7"/>
        <v>0</v>
      </c>
      <c r="C122" s="14" t="e">
        <f>#REF!</f>
        <v>#REF!</v>
      </c>
      <c r="D122" s="14" t="e">
        <f>#REF!+1.5</f>
        <v>#REF!</v>
      </c>
      <c r="E122" s="14" t="e">
        <f>#REF!+1.5</f>
        <v>#REF!</v>
      </c>
      <c r="F122" s="14" t="e">
        <f>#REF!+1.5</f>
        <v>#REF!</v>
      </c>
      <c r="G122" s="14" t="e">
        <f>#REF!</f>
        <v>#REF!</v>
      </c>
    </row>
    <row r="123" spans="1:7" hidden="1" x14ac:dyDescent="0.55000000000000004">
      <c r="A123" s="5">
        <f t="shared" si="6"/>
        <v>29.25</v>
      </c>
      <c r="B123" s="4">
        <f t="shared" si="7"/>
        <v>0</v>
      </c>
      <c r="C123" s="14" t="e">
        <f>#REF!</f>
        <v>#REF!</v>
      </c>
      <c r="D123" s="14" t="e">
        <f>#REF!+1.5</f>
        <v>#REF!</v>
      </c>
      <c r="E123" s="14" t="e">
        <f>#REF!+1.5</f>
        <v>#REF!</v>
      </c>
      <c r="F123" s="14" t="e">
        <f>#REF!+1.5</f>
        <v>#REF!</v>
      </c>
      <c r="G123" s="14" t="e">
        <f>#REF!</f>
        <v>#REF!</v>
      </c>
    </row>
    <row r="124" spans="1:7" hidden="1" x14ac:dyDescent="0.55000000000000004">
      <c r="A124" s="5">
        <f t="shared" si="6"/>
        <v>29.5</v>
      </c>
      <c r="B124" s="4">
        <f t="shared" si="7"/>
        <v>0</v>
      </c>
      <c r="C124" s="14" t="e">
        <f>#REF!</f>
        <v>#REF!</v>
      </c>
      <c r="D124" s="14" t="e">
        <f>#REF!+1.5</f>
        <v>#REF!</v>
      </c>
      <c r="E124" s="14" t="e">
        <f>#REF!+1.5</f>
        <v>#REF!</v>
      </c>
      <c r="F124" s="14" t="e">
        <f>#REF!+1.5</f>
        <v>#REF!</v>
      </c>
      <c r="G124" s="14" t="e">
        <f>#REF!</f>
        <v>#REF!</v>
      </c>
    </row>
    <row r="125" spans="1:7" hidden="1" x14ac:dyDescent="0.55000000000000004">
      <c r="A125" s="5">
        <f t="shared" si="6"/>
        <v>29.75</v>
      </c>
      <c r="B125" s="4">
        <f t="shared" si="7"/>
        <v>0</v>
      </c>
      <c r="C125" s="14" t="e">
        <f>#REF!</f>
        <v>#REF!</v>
      </c>
      <c r="D125" s="14" t="e">
        <f>#REF!+1.5</f>
        <v>#REF!</v>
      </c>
      <c r="E125" s="14" t="e">
        <f>#REF!+1.5</f>
        <v>#REF!</v>
      </c>
      <c r="F125" s="14" t="e">
        <f>#REF!+1.5</f>
        <v>#REF!</v>
      </c>
      <c r="G125" s="14" t="e">
        <f>#REF!</f>
        <v>#REF!</v>
      </c>
    </row>
    <row r="126" spans="1:7" hidden="1" x14ac:dyDescent="0.55000000000000004">
      <c r="A126" s="5">
        <f t="shared" si="6"/>
        <v>30</v>
      </c>
      <c r="B126" s="4">
        <f t="shared" si="7"/>
        <v>0</v>
      </c>
      <c r="C126" s="14" t="e">
        <f>#REF!</f>
        <v>#REF!</v>
      </c>
      <c r="D126" s="14" t="e">
        <f>#REF!+1.5</f>
        <v>#REF!</v>
      </c>
      <c r="E126" s="14" t="e">
        <f>#REF!+1.5</f>
        <v>#REF!</v>
      </c>
      <c r="F126" s="14" t="e">
        <f>#REF!+1.5</f>
        <v>#REF!</v>
      </c>
      <c r="G126" s="14" t="e">
        <f>#REF!</f>
        <v>#REF!</v>
      </c>
    </row>
    <row r="127" spans="1:7" hidden="1" x14ac:dyDescent="0.55000000000000004">
      <c r="A127" s="5">
        <f t="shared" si="6"/>
        <v>30.25</v>
      </c>
      <c r="B127" s="4">
        <f t="shared" si="7"/>
        <v>0</v>
      </c>
      <c r="C127" s="14" t="e">
        <f>#REF!</f>
        <v>#REF!</v>
      </c>
      <c r="D127" s="14" t="e">
        <f>#REF!+1.5</f>
        <v>#REF!</v>
      </c>
      <c r="E127" s="14" t="e">
        <f>#REF!+1.5</f>
        <v>#REF!</v>
      </c>
      <c r="F127" s="14" t="e">
        <f>#REF!+1.5</f>
        <v>#REF!</v>
      </c>
      <c r="G127" s="14" t="e">
        <f>#REF!</f>
        <v>#REF!</v>
      </c>
    </row>
    <row r="128" spans="1:7" hidden="1" x14ac:dyDescent="0.55000000000000004">
      <c r="A128" s="5">
        <f t="shared" si="6"/>
        <v>30.5</v>
      </c>
      <c r="B128" s="4">
        <f t="shared" si="7"/>
        <v>0</v>
      </c>
      <c r="C128" s="14" t="e">
        <f>#REF!</f>
        <v>#REF!</v>
      </c>
      <c r="D128" s="14" t="e">
        <f>#REF!+1.5</f>
        <v>#REF!</v>
      </c>
      <c r="E128" s="14" t="e">
        <f>#REF!+1.5</f>
        <v>#REF!</v>
      </c>
      <c r="F128" s="14" t="e">
        <f>#REF!+1.5</f>
        <v>#REF!</v>
      </c>
      <c r="G128" s="14" t="e">
        <f>#REF!</f>
        <v>#REF!</v>
      </c>
    </row>
    <row r="129" spans="1:7" hidden="1" x14ac:dyDescent="0.55000000000000004">
      <c r="A129" s="5">
        <f t="shared" si="6"/>
        <v>30.75</v>
      </c>
      <c r="B129" s="4">
        <f t="shared" si="7"/>
        <v>0</v>
      </c>
      <c r="C129" s="14" t="e">
        <f>#REF!</f>
        <v>#REF!</v>
      </c>
      <c r="D129" s="14" t="e">
        <f>#REF!+1.5</f>
        <v>#REF!</v>
      </c>
      <c r="E129" s="14" t="e">
        <f>#REF!+1.5</f>
        <v>#REF!</v>
      </c>
      <c r="F129" s="14" t="e">
        <f>#REF!+1.5</f>
        <v>#REF!</v>
      </c>
      <c r="G129" s="14" t="e">
        <f>#REF!</f>
        <v>#REF!</v>
      </c>
    </row>
    <row r="130" spans="1:7" hidden="1" x14ac:dyDescent="0.55000000000000004">
      <c r="A130" s="5">
        <f t="shared" si="6"/>
        <v>31</v>
      </c>
      <c r="B130" s="4">
        <f t="shared" si="7"/>
        <v>0</v>
      </c>
      <c r="C130" s="14" t="e">
        <f>#REF!</f>
        <v>#REF!</v>
      </c>
      <c r="D130" s="14" t="e">
        <f>#REF!+1.5</f>
        <v>#REF!</v>
      </c>
      <c r="E130" s="14" t="e">
        <f>#REF!+1.5</f>
        <v>#REF!</v>
      </c>
      <c r="F130" s="14" t="e">
        <f>#REF!+1.5</f>
        <v>#REF!</v>
      </c>
      <c r="G130" s="14" t="e">
        <f>#REF!</f>
        <v>#REF!</v>
      </c>
    </row>
    <row r="131" spans="1:7" hidden="1" x14ac:dyDescent="0.55000000000000004">
      <c r="A131" s="5">
        <f t="shared" si="6"/>
        <v>31.25</v>
      </c>
      <c r="B131" s="4">
        <f t="shared" si="7"/>
        <v>0</v>
      </c>
      <c r="C131" s="14" t="e">
        <f>#REF!</f>
        <v>#REF!</v>
      </c>
      <c r="D131" s="14" t="e">
        <f>#REF!+1.5</f>
        <v>#REF!</v>
      </c>
      <c r="E131" s="14" t="e">
        <f>#REF!+1.5</f>
        <v>#REF!</v>
      </c>
      <c r="F131" s="14" t="e">
        <f>#REF!+1.5</f>
        <v>#REF!</v>
      </c>
      <c r="G131" s="14" t="e">
        <f>#REF!</f>
        <v>#REF!</v>
      </c>
    </row>
    <row r="132" spans="1:7" hidden="1" x14ac:dyDescent="0.55000000000000004">
      <c r="A132" s="5">
        <f t="shared" ref="A132:A195" si="8">A131+0.25</f>
        <v>31.5</v>
      </c>
      <c r="B132" s="4">
        <f t="shared" ref="B132:B195" si="9">B131</f>
        <v>0</v>
      </c>
      <c r="C132" s="14" t="e">
        <f>#REF!</f>
        <v>#REF!</v>
      </c>
      <c r="D132" s="14" t="e">
        <f>#REF!+1.5</f>
        <v>#REF!</v>
      </c>
      <c r="E132" s="14" t="e">
        <f>#REF!+1.5</f>
        <v>#REF!</v>
      </c>
      <c r="F132" s="14" t="e">
        <f>#REF!+1.5</f>
        <v>#REF!</v>
      </c>
      <c r="G132" s="14" t="e">
        <f>#REF!</f>
        <v>#REF!</v>
      </c>
    </row>
    <row r="133" spans="1:7" hidden="1" x14ac:dyDescent="0.55000000000000004">
      <c r="A133" s="5">
        <f t="shared" si="8"/>
        <v>31.75</v>
      </c>
      <c r="B133" s="4">
        <f t="shared" si="9"/>
        <v>0</v>
      </c>
      <c r="C133" s="14" t="e">
        <f>#REF!</f>
        <v>#REF!</v>
      </c>
      <c r="D133" s="14" t="e">
        <f>#REF!+1.5</f>
        <v>#REF!</v>
      </c>
      <c r="E133" s="14" t="e">
        <f>#REF!+1.5</f>
        <v>#REF!</v>
      </c>
      <c r="F133" s="14" t="e">
        <f>#REF!+1.5</f>
        <v>#REF!</v>
      </c>
      <c r="G133" s="14" t="e">
        <f>#REF!</f>
        <v>#REF!</v>
      </c>
    </row>
    <row r="134" spans="1:7" hidden="1" x14ac:dyDescent="0.55000000000000004">
      <c r="A134" s="5">
        <f t="shared" si="8"/>
        <v>32</v>
      </c>
      <c r="B134" s="4">
        <f t="shared" si="9"/>
        <v>0</v>
      </c>
      <c r="C134" s="14" t="e">
        <f>#REF!</f>
        <v>#REF!</v>
      </c>
      <c r="D134" s="14" t="e">
        <f>#REF!+1.5</f>
        <v>#REF!</v>
      </c>
      <c r="E134" s="14" t="e">
        <f>#REF!+1.5</f>
        <v>#REF!</v>
      </c>
      <c r="F134" s="14" t="e">
        <f>#REF!+1.5</f>
        <v>#REF!</v>
      </c>
      <c r="G134" s="14" t="e">
        <f>#REF!</f>
        <v>#REF!</v>
      </c>
    </row>
    <row r="135" spans="1:7" hidden="1" x14ac:dyDescent="0.55000000000000004">
      <c r="A135" s="5">
        <f t="shared" si="8"/>
        <v>32.25</v>
      </c>
      <c r="B135" s="4">
        <f t="shared" si="9"/>
        <v>0</v>
      </c>
      <c r="C135" s="14" t="e">
        <f>#REF!</f>
        <v>#REF!</v>
      </c>
      <c r="D135" s="14" t="e">
        <f>#REF!+1.5</f>
        <v>#REF!</v>
      </c>
      <c r="E135" s="14" t="e">
        <f>#REF!+1.5</f>
        <v>#REF!</v>
      </c>
      <c r="F135" s="14" t="e">
        <f>#REF!+1.5</f>
        <v>#REF!</v>
      </c>
      <c r="G135" s="14" t="e">
        <f>#REF!</f>
        <v>#REF!</v>
      </c>
    </row>
    <row r="136" spans="1:7" hidden="1" x14ac:dyDescent="0.55000000000000004">
      <c r="A136" s="5">
        <f t="shared" si="8"/>
        <v>32.5</v>
      </c>
      <c r="B136" s="4">
        <f t="shared" si="9"/>
        <v>0</v>
      </c>
      <c r="C136" s="14" t="e">
        <f>#REF!</f>
        <v>#REF!</v>
      </c>
      <c r="D136" s="14" t="e">
        <f>#REF!+1.5</f>
        <v>#REF!</v>
      </c>
      <c r="E136" s="14" t="e">
        <f>#REF!+1.5</f>
        <v>#REF!</v>
      </c>
      <c r="F136" s="14" t="e">
        <f>#REF!+1.5</f>
        <v>#REF!</v>
      </c>
      <c r="G136" s="14" t="e">
        <f>#REF!</f>
        <v>#REF!</v>
      </c>
    </row>
    <row r="137" spans="1:7" hidden="1" x14ac:dyDescent="0.55000000000000004">
      <c r="A137" s="5">
        <f t="shared" si="8"/>
        <v>32.75</v>
      </c>
      <c r="B137" s="4">
        <f t="shared" si="9"/>
        <v>0</v>
      </c>
      <c r="C137" s="14" t="e">
        <f>#REF!</f>
        <v>#REF!</v>
      </c>
      <c r="D137" s="14" t="e">
        <f>#REF!+1.5</f>
        <v>#REF!</v>
      </c>
      <c r="E137" s="14" t="e">
        <f>#REF!+1.5</f>
        <v>#REF!</v>
      </c>
      <c r="F137" s="14" t="e">
        <f>#REF!+1.5</f>
        <v>#REF!</v>
      </c>
      <c r="G137" s="14" t="e">
        <f>#REF!</f>
        <v>#REF!</v>
      </c>
    </row>
    <row r="138" spans="1:7" hidden="1" x14ac:dyDescent="0.55000000000000004">
      <c r="A138" s="5">
        <f t="shared" si="8"/>
        <v>33</v>
      </c>
      <c r="B138" s="4">
        <f t="shared" si="9"/>
        <v>0</v>
      </c>
      <c r="C138" s="14" t="e">
        <f>#REF!</f>
        <v>#REF!</v>
      </c>
      <c r="D138" s="14" t="e">
        <f>#REF!+1.5</f>
        <v>#REF!</v>
      </c>
      <c r="E138" s="14" t="e">
        <f>#REF!+1.5</f>
        <v>#REF!</v>
      </c>
      <c r="F138" s="14" t="e">
        <f>#REF!+1.5</f>
        <v>#REF!</v>
      </c>
      <c r="G138" s="14" t="e">
        <f>#REF!</f>
        <v>#REF!</v>
      </c>
    </row>
    <row r="139" spans="1:7" hidden="1" x14ac:dyDescent="0.55000000000000004">
      <c r="A139" s="5">
        <f t="shared" si="8"/>
        <v>33.25</v>
      </c>
      <c r="B139" s="4">
        <f t="shared" si="9"/>
        <v>0</v>
      </c>
      <c r="C139" s="14" t="e">
        <f>#REF!</f>
        <v>#REF!</v>
      </c>
      <c r="D139" s="14" t="e">
        <f>#REF!+1.5</f>
        <v>#REF!</v>
      </c>
      <c r="E139" s="14" t="e">
        <f>#REF!+1.5</f>
        <v>#REF!</v>
      </c>
      <c r="F139" s="14" t="e">
        <f>#REF!+1.5</f>
        <v>#REF!</v>
      </c>
      <c r="G139" s="14" t="e">
        <f>#REF!</f>
        <v>#REF!</v>
      </c>
    </row>
    <row r="140" spans="1:7" hidden="1" x14ac:dyDescent="0.55000000000000004">
      <c r="A140" s="5">
        <f t="shared" si="8"/>
        <v>33.5</v>
      </c>
      <c r="B140" s="4">
        <f t="shared" si="9"/>
        <v>0</v>
      </c>
      <c r="C140" s="14" t="e">
        <f>#REF!</f>
        <v>#REF!</v>
      </c>
      <c r="D140" s="14" t="e">
        <f>#REF!+1.5</f>
        <v>#REF!</v>
      </c>
      <c r="E140" s="14" t="e">
        <f>#REF!+1.5</f>
        <v>#REF!</v>
      </c>
      <c r="F140" s="14" t="e">
        <f>#REF!+1.5</f>
        <v>#REF!</v>
      </c>
      <c r="G140" s="14" t="e">
        <f>#REF!</f>
        <v>#REF!</v>
      </c>
    </row>
    <row r="141" spans="1:7" hidden="1" x14ac:dyDescent="0.55000000000000004">
      <c r="A141" s="5">
        <f t="shared" si="8"/>
        <v>33.75</v>
      </c>
      <c r="B141" s="4">
        <f t="shared" si="9"/>
        <v>0</v>
      </c>
      <c r="C141" s="14" t="e">
        <f>#REF!</f>
        <v>#REF!</v>
      </c>
      <c r="D141" s="14" t="e">
        <f>#REF!+1.5</f>
        <v>#REF!</v>
      </c>
      <c r="E141" s="14" t="e">
        <f>#REF!+1.5</f>
        <v>#REF!</v>
      </c>
      <c r="F141" s="14" t="e">
        <f>#REF!+1.5</f>
        <v>#REF!</v>
      </c>
      <c r="G141" s="14" t="e">
        <f>#REF!</f>
        <v>#REF!</v>
      </c>
    </row>
    <row r="142" spans="1:7" hidden="1" x14ac:dyDescent="0.55000000000000004">
      <c r="A142" s="5">
        <f t="shared" si="8"/>
        <v>34</v>
      </c>
      <c r="B142" s="4">
        <f t="shared" si="9"/>
        <v>0</v>
      </c>
      <c r="C142" s="14" t="e">
        <f>#REF!</f>
        <v>#REF!</v>
      </c>
      <c r="D142" s="14" t="e">
        <f>#REF!+1.5</f>
        <v>#REF!</v>
      </c>
      <c r="E142" s="14" t="e">
        <f>#REF!+1.5</f>
        <v>#REF!</v>
      </c>
      <c r="F142" s="14" t="e">
        <f>#REF!+1.5</f>
        <v>#REF!</v>
      </c>
      <c r="G142" s="14" t="e">
        <f>#REF!</f>
        <v>#REF!</v>
      </c>
    </row>
    <row r="143" spans="1:7" hidden="1" x14ac:dyDescent="0.55000000000000004">
      <c r="A143" s="5">
        <f t="shared" si="8"/>
        <v>34.25</v>
      </c>
      <c r="B143" s="4">
        <f t="shared" si="9"/>
        <v>0</v>
      </c>
      <c r="C143" s="14" t="e">
        <f>#REF!</f>
        <v>#REF!</v>
      </c>
      <c r="D143" s="14" t="e">
        <f>#REF!+1.5</f>
        <v>#REF!</v>
      </c>
      <c r="E143" s="14" t="e">
        <f>#REF!+1.5</f>
        <v>#REF!</v>
      </c>
      <c r="F143" s="14" t="e">
        <f>#REF!+1.5</f>
        <v>#REF!</v>
      </c>
      <c r="G143" s="14" t="e">
        <f>#REF!</f>
        <v>#REF!</v>
      </c>
    </row>
    <row r="144" spans="1:7" hidden="1" x14ac:dyDescent="0.55000000000000004">
      <c r="A144" s="5">
        <f t="shared" si="8"/>
        <v>34.5</v>
      </c>
      <c r="B144" s="4">
        <f t="shared" si="9"/>
        <v>0</v>
      </c>
      <c r="C144" s="14" t="e">
        <f>#REF!</f>
        <v>#REF!</v>
      </c>
      <c r="D144" s="14" t="e">
        <f>#REF!+1.5</f>
        <v>#REF!</v>
      </c>
      <c r="E144" s="14" t="e">
        <f>#REF!+1.5</f>
        <v>#REF!</v>
      </c>
      <c r="F144" s="14" t="e">
        <f>#REF!+1.5</f>
        <v>#REF!</v>
      </c>
      <c r="G144" s="14" t="e">
        <f>#REF!</f>
        <v>#REF!</v>
      </c>
    </row>
    <row r="145" spans="1:7" hidden="1" x14ac:dyDescent="0.55000000000000004">
      <c r="A145" s="5">
        <f t="shared" si="8"/>
        <v>34.75</v>
      </c>
      <c r="B145" s="4">
        <f t="shared" si="9"/>
        <v>0</v>
      </c>
      <c r="C145" s="14" t="e">
        <f>#REF!</f>
        <v>#REF!</v>
      </c>
      <c r="D145" s="14" t="e">
        <f>#REF!+1.5</f>
        <v>#REF!</v>
      </c>
      <c r="E145" s="14" t="e">
        <f>#REF!+1.5</f>
        <v>#REF!</v>
      </c>
      <c r="F145" s="14" t="e">
        <f>#REF!+1.5</f>
        <v>#REF!</v>
      </c>
      <c r="G145" s="14" t="e">
        <f>#REF!</f>
        <v>#REF!</v>
      </c>
    </row>
    <row r="146" spans="1:7" hidden="1" x14ac:dyDescent="0.55000000000000004">
      <c r="A146" s="5">
        <f t="shared" si="8"/>
        <v>35</v>
      </c>
      <c r="B146" s="4">
        <f t="shared" si="9"/>
        <v>0</v>
      </c>
      <c r="C146" s="14" t="e">
        <f>#REF!</f>
        <v>#REF!</v>
      </c>
      <c r="D146" s="14" t="e">
        <f>#REF!+1.5</f>
        <v>#REF!</v>
      </c>
      <c r="E146" s="14" t="e">
        <f>#REF!+1.5</f>
        <v>#REF!</v>
      </c>
      <c r="F146" s="14" t="e">
        <f>#REF!+1.5</f>
        <v>#REF!</v>
      </c>
      <c r="G146" s="14" t="e">
        <f>#REF!</f>
        <v>#REF!</v>
      </c>
    </row>
    <row r="147" spans="1:7" hidden="1" x14ac:dyDescent="0.55000000000000004">
      <c r="A147" s="5">
        <f t="shared" si="8"/>
        <v>35.25</v>
      </c>
      <c r="B147" s="4">
        <f t="shared" si="9"/>
        <v>0</v>
      </c>
      <c r="C147" s="14" t="e">
        <f>#REF!</f>
        <v>#REF!</v>
      </c>
      <c r="D147" s="14" t="e">
        <f>#REF!+1.5</f>
        <v>#REF!</v>
      </c>
      <c r="E147" s="14" t="e">
        <f>#REF!+1.5</f>
        <v>#REF!</v>
      </c>
      <c r="F147" s="14" t="e">
        <f>#REF!+1.5</f>
        <v>#REF!</v>
      </c>
      <c r="G147" s="14" t="e">
        <f>#REF!</f>
        <v>#REF!</v>
      </c>
    </row>
    <row r="148" spans="1:7" hidden="1" x14ac:dyDescent="0.55000000000000004">
      <c r="A148" s="5">
        <f t="shared" si="8"/>
        <v>35.5</v>
      </c>
      <c r="B148" s="4">
        <f t="shared" si="9"/>
        <v>0</v>
      </c>
      <c r="C148" s="14" t="e">
        <f>#REF!</f>
        <v>#REF!</v>
      </c>
      <c r="D148" s="14" t="e">
        <f>#REF!+1.5</f>
        <v>#REF!</v>
      </c>
      <c r="E148" s="14" t="e">
        <f>#REF!+1.5</f>
        <v>#REF!</v>
      </c>
      <c r="F148" s="14" t="e">
        <f>#REF!+1.5</f>
        <v>#REF!</v>
      </c>
      <c r="G148" s="14" t="e">
        <f>#REF!</f>
        <v>#REF!</v>
      </c>
    </row>
    <row r="149" spans="1:7" hidden="1" x14ac:dyDescent="0.55000000000000004">
      <c r="A149" s="5">
        <f t="shared" si="8"/>
        <v>35.75</v>
      </c>
      <c r="B149" s="4">
        <f t="shared" si="9"/>
        <v>0</v>
      </c>
      <c r="C149" s="14" t="e">
        <f>#REF!</f>
        <v>#REF!</v>
      </c>
      <c r="D149" s="14" t="e">
        <f>#REF!+1.5</f>
        <v>#REF!</v>
      </c>
      <c r="E149" s="14" t="e">
        <f>#REF!+1.5</f>
        <v>#REF!</v>
      </c>
      <c r="F149" s="14" t="e">
        <f>#REF!+1.5</f>
        <v>#REF!</v>
      </c>
      <c r="G149" s="14" t="e">
        <f>#REF!</f>
        <v>#REF!</v>
      </c>
    </row>
    <row r="150" spans="1:7" hidden="1" x14ac:dyDescent="0.55000000000000004">
      <c r="A150" s="5">
        <f t="shared" si="8"/>
        <v>36</v>
      </c>
      <c r="B150" s="4">
        <f t="shared" si="9"/>
        <v>0</v>
      </c>
      <c r="C150" s="14" t="e">
        <f>#REF!</f>
        <v>#REF!</v>
      </c>
      <c r="D150" s="14" t="e">
        <f>#REF!+1.5</f>
        <v>#REF!</v>
      </c>
      <c r="E150" s="14" t="e">
        <f>#REF!+1.5</f>
        <v>#REF!</v>
      </c>
      <c r="F150" s="14" t="e">
        <f>#REF!+1.5</f>
        <v>#REF!</v>
      </c>
      <c r="G150" s="14" t="e">
        <f>#REF!</f>
        <v>#REF!</v>
      </c>
    </row>
    <row r="151" spans="1:7" hidden="1" x14ac:dyDescent="0.55000000000000004">
      <c r="A151" s="5">
        <f t="shared" si="8"/>
        <v>36.25</v>
      </c>
      <c r="B151" s="4">
        <f t="shared" si="9"/>
        <v>0</v>
      </c>
      <c r="C151" s="14" t="e">
        <f>#REF!</f>
        <v>#REF!</v>
      </c>
      <c r="D151" s="14" t="e">
        <f>#REF!+1.5</f>
        <v>#REF!</v>
      </c>
      <c r="E151" s="14" t="e">
        <f>#REF!+1.5</f>
        <v>#REF!</v>
      </c>
      <c r="F151" s="14" t="e">
        <f>#REF!+1.5</f>
        <v>#REF!</v>
      </c>
      <c r="G151" s="14" t="e">
        <f>#REF!</f>
        <v>#REF!</v>
      </c>
    </row>
    <row r="152" spans="1:7" hidden="1" x14ac:dyDescent="0.55000000000000004">
      <c r="A152" s="5">
        <f t="shared" si="8"/>
        <v>36.5</v>
      </c>
      <c r="B152" s="4">
        <f t="shared" si="9"/>
        <v>0</v>
      </c>
      <c r="C152" s="14" t="e">
        <f>#REF!</f>
        <v>#REF!</v>
      </c>
      <c r="D152" s="14" t="e">
        <f>#REF!+1.5</f>
        <v>#REF!</v>
      </c>
      <c r="E152" s="14" t="e">
        <f>#REF!+1.5</f>
        <v>#REF!</v>
      </c>
      <c r="F152" s="14" t="e">
        <f>#REF!+1.5</f>
        <v>#REF!</v>
      </c>
      <c r="G152" s="14" t="e">
        <f>#REF!</f>
        <v>#REF!</v>
      </c>
    </row>
    <row r="153" spans="1:7" hidden="1" x14ac:dyDescent="0.55000000000000004">
      <c r="A153" s="5">
        <f t="shared" si="8"/>
        <v>36.75</v>
      </c>
      <c r="B153" s="4">
        <f t="shared" si="9"/>
        <v>0</v>
      </c>
      <c r="C153" s="14" t="e">
        <f>#REF!</f>
        <v>#REF!</v>
      </c>
      <c r="D153" s="14" t="e">
        <f>#REF!+1.5</f>
        <v>#REF!</v>
      </c>
      <c r="E153" s="14" t="e">
        <f>#REF!+1.5</f>
        <v>#REF!</v>
      </c>
      <c r="F153" s="14" t="e">
        <f>#REF!+1.5</f>
        <v>#REF!</v>
      </c>
      <c r="G153" s="14" t="e">
        <f>#REF!</f>
        <v>#REF!</v>
      </c>
    </row>
    <row r="154" spans="1:7" hidden="1" x14ac:dyDescent="0.55000000000000004">
      <c r="A154" s="5">
        <f t="shared" si="8"/>
        <v>37</v>
      </c>
      <c r="B154" s="4">
        <f t="shared" si="9"/>
        <v>0</v>
      </c>
      <c r="C154" s="14" t="e">
        <f>#REF!</f>
        <v>#REF!</v>
      </c>
      <c r="D154" s="14" t="e">
        <f>#REF!+1.5</f>
        <v>#REF!</v>
      </c>
      <c r="E154" s="14" t="e">
        <f>#REF!+1.5</f>
        <v>#REF!</v>
      </c>
      <c r="F154" s="14" t="e">
        <f>#REF!+1.5</f>
        <v>#REF!</v>
      </c>
      <c r="G154" s="14" t="e">
        <f>#REF!</f>
        <v>#REF!</v>
      </c>
    </row>
    <row r="155" spans="1:7" hidden="1" x14ac:dyDescent="0.55000000000000004">
      <c r="A155" s="5">
        <f t="shared" si="8"/>
        <v>37.25</v>
      </c>
      <c r="B155" s="4">
        <f t="shared" si="9"/>
        <v>0</v>
      </c>
      <c r="C155" s="14" t="e">
        <f>#REF!</f>
        <v>#REF!</v>
      </c>
      <c r="D155" s="14" t="e">
        <f>#REF!+1.5</f>
        <v>#REF!</v>
      </c>
      <c r="E155" s="14" t="e">
        <f>#REF!+1.5</f>
        <v>#REF!</v>
      </c>
      <c r="F155" s="14" t="e">
        <f>#REF!+1.5</f>
        <v>#REF!</v>
      </c>
      <c r="G155" s="14" t="e">
        <f>#REF!</f>
        <v>#REF!</v>
      </c>
    </row>
    <row r="156" spans="1:7" hidden="1" x14ac:dyDescent="0.55000000000000004">
      <c r="A156" s="5">
        <f t="shared" si="8"/>
        <v>37.5</v>
      </c>
      <c r="B156" s="4">
        <f t="shared" si="9"/>
        <v>0</v>
      </c>
      <c r="C156" s="14" t="e">
        <f>#REF!</f>
        <v>#REF!</v>
      </c>
      <c r="D156" s="14" t="e">
        <f>#REF!+1.5</f>
        <v>#REF!</v>
      </c>
      <c r="E156" s="14" t="e">
        <f>#REF!+1.5</f>
        <v>#REF!</v>
      </c>
      <c r="F156" s="14" t="e">
        <f>#REF!+1.5</f>
        <v>#REF!</v>
      </c>
      <c r="G156" s="14" t="e">
        <f>#REF!</f>
        <v>#REF!</v>
      </c>
    </row>
    <row r="157" spans="1:7" hidden="1" x14ac:dyDescent="0.55000000000000004">
      <c r="A157" s="5">
        <f t="shared" si="8"/>
        <v>37.75</v>
      </c>
      <c r="B157" s="4">
        <f t="shared" si="9"/>
        <v>0</v>
      </c>
      <c r="C157" s="14" t="e">
        <f>#REF!</f>
        <v>#REF!</v>
      </c>
      <c r="D157" s="14" t="e">
        <f>#REF!+1.5</f>
        <v>#REF!</v>
      </c>
      <c r="E157" s="14" t="e">
        <f>#REF!+1.5</f>
        <v>#REF!</v>
      </c>
      <c r="F157" s="14" t="e">
        <f>#REF!+1.5</f>
        <v>#REF!</v>
      </c>
      <c r="G157" s="14" t="e">
        <f>#REF!</f>
        <v>#REF!</v>
      </c>
    </row>
    <row r="158" spans="1:7" hidden="1" x14ac:dyDescent="0.55000000000000004">
      <c r="A158" s="5">
        <f t="shared" si="8"/>
        <v>38</v>
      </c>
      <c r="B158" s="4">
        <f t="shared" si="9"/>
        <v>0</v>
      </c>
      <c r="C158" s="14" t="e">
        <f>#REF!</f>
        <v>#REF!</v>
      </c>
      <c r="D158" s="14" t="e">
        <f>#REF!+1.5</f>
        <v>#REF!</v>
      </c>
      <c r="E158" s="14" t="e">
        <f>#REF!+1.5</f>
        <v>#REF!</v>
      </c>
      <c r="F158" s="14" t="e">
        <f>#REF!+1.5</f>
        <v>#REF!</v>
      </c>
      <c r="G158" s="14" t="e">
        <f>#REF!</f>
        <v>#REF!</v>
      </c>
    </row>
    <row r="159" spans="1:7" hidden="1" x14ac:dyDescent="0.55000000000000004">
      <c r="A159" s="5">
        <f t="shared" si="8"/>
        <v>38.25</v>
      </c>
      <c r="B159" s="4">
        <f t="shared" si="9"/>
        <v>0</v>
      </c>
      <c r="C159" s="14" t="e">
        <f>#REF!</f>
        <v>#REF!</v>
      </c>
      <c r="D159" s="14" t="e">
        <f>#REF!+1.5</f>
        <v>#REF!</v>
      </c>
      <c r="E159" s="14" t="e">
        <f>#REF!+1.5</f>
        <v>#REF!</v>
      </c>
      <c r="F159" s="14" t="e">
        <f>#REF!+1.5</f>
        <v>#REF!</v>
      </c>
      <c r="G159" s="14" t="e">
        <f>#REF!</f>
        <v>#REF!</v>
      </c>
    </row>
    <row r="160" spans="1:7" hidden="1" x14ac:dyDescent="0.55000000000000004">
      <c r="A160" s="5">
        <f t="shared" si="8"/>
        <v>38.5</v>
      </c>
      <c r="B160" s="4">
        <f t="shared" si="9"/>
        <v>0</v>
      </c>
      <c r="C160" s="14" t="e">
        <f>#REF!</f>
        <v>#REF!</v>
      </c>
      <c r="D160" s="14" t="e">
        <f>#REF!+1.5</f>
        <v>#REF!</v>
      </c>
      <c r="E160" s="14" t="e">
        <f>#REF!+1.5</f>
        <v>#REF!</v>
      </c>
      <c r="F160" s="14" t="e">
        <f>#REF!+1.5</f>
        <v>#REF!</v>
      </c>
      <c r="G160" s="14" t="e">
        <f>#REF!</f>
        <v>#REF!</v>
      </c>
    </row>
    <row r="161" spans="1:7" hidden="1" x14ac:dyDescent="0.55000000000000004">
      <c r="A161" s="5">
        <f t="shared" si="8"/>
        <v>38.75</v>
      </c>
      <c r="B161" s="4">
        <f t="shared" si="9"/>
        <v>0</v>
      </c>
      <c r="C161" s="14" t="e">
        <f>#REF!</f>
        <v>#REF!</v>
      </c>
      <c r="D161" s="14" t="e">
        <f>#REF!+1.5</f>
        <v>#REF!</v>
      </c>
      <c r="E161" s="14" t="e">
        <f>#REF!+1.5</f>
        <v>#REF!</v>
      </c>
      <c r="F161" s="14" t="e">
        <f>#REF!+1.5</f>
        <v>#REF!</v>
      </c>
      <c r="G161" s="14" t="e">
        <f>#REF!</f>
        <v>#REF!</v>
      </c>
    </row>
    <row r="162" spans="1:7" hidden="1" x14ac:dyDescent="0.55000000000000004">
      <c r="A162" s="5">
        <f t="shared" si="8"/>
        <v>39</v>
      </c>
      <c r="B162" s="4">
        <f t="shared" si="9"/>
        <v>0</v>
      </c>
      <c r="C162" s="14" t="e">
        <f>#REF!</f>
        <v>#REF!</v>
      </c>
      <c r="D162" s="14" t="e">
        <f>#REF!+1.5</f>
        <v>#REF!</v>
      </c>
      <c r="E162" s="14" t="e">
        <f>#REF!+1.5</f>
        <v>#REF!</v>
      </c>
      <c r="F162" s="14" t="e">
        <f>#REF!+1.5</f>
        <v>#REF!</v>
      </c>
      <c r="G162" s="14" t="e">
        <f>#REF!</f>
        <v>#REF!</v>
      </c>
    </row>
    <row r="163" spans="1:7" hidden="1" x14ac:dyDescent="0.55000000000000004">
      <c r="A163" s="5">
        <f t="shared" si="8"/>
        <v>39.25</v>
      </c>
      <c r="B163" s="4">
        <f t="shared" si="9"/>
        <v>0</v>
      </c>
      <c r="C163" s="14" t="e">
        <f>#REF!</f>
        <v>#REF!</v>
      </c>
      <c r="D163" s="14" t="e">
        <f>#REF!+1.5</f>
        <v>#REF!</v>
      </c>
      <c r="E163" s="14" t="e">
        <f>#REF!+1.5</f>
        <v>#REF!</v>
      </c>
      <c r="F163" s="14" t="e">
        <f>#REF!+1.5</f>
        <v>#REF!</v>
      </c>
      <c r="G163" s="14" t="e">
        <f>#REF!</f>
        <v>#REF!</v>
      </c>
    </row>
    <row r="164" spans="1:7" hidden="1" x14ac:dyDescent="0.55000000000000004">
      <c r="A164" s="5">
        <f t="shared" si="8"/>
        <v>39.5</v>
      </c>
      <c r="B164" s="4">
        <f t="shared" si="9"/>
        <v>0</v>
      </c>
      <c r="C164" s="14" t="e">
        <f>#REF!</f>
        <v>#REF!</v>
      </c>
      <c r="D164" s="14" t="e">
        <f>#REF!+1.5</f>
        <v>#REF!</v>
      </c>
      <c r="E164" s="14" t="e">
        <f>#REF!+1.5</f>
        <v>#REF!</v>
      </c>
      <c r="F164" s="14" t="e">
        <f>#REF!+1.5</f>
        <v>#REF!</v>
      </c>
      <c r="G164" s="14" t="e">
        <f>#REF!</f>
        <v>#REF!</v>
      </c>
    </row>
    <row r="165" spans="1:7" hidden="1" x14ac:dyDescent="0.55000000000000004">
      <c r="A165" s="5">
        <f t="shared" si="8"/>
        <v>39.75</v>
      </c>
      <c r="B165" s="4">
        <f t="shared" si="9"/>
        <v>0</v>
      </c>
      <c r="C165" s="14" t="e">
        <f>#REF!</f>
        <v>#REF!</v>
      </c>
      <c r="D165" s="14" t="e">
        <f>#REF!+1.5</f>
        <v>#REF!</v>
      </c>
      <c r="E165" s="14" t="e">
        <f>#REF!+1.5</f>
        <v>#REF!</v>
      </c>
      <c r="F165" s="14" t="e">
        <f>#REF!+1.5</f>
        <v>#REF!</v>
      </c>
      <c r="G165" s="14" t="e">
        <f>#REF!</f>
        <v>#REF!</v>
      </c>
    </row>
    <row r="166" spans="1:7" hidden="1" x14ac:dyDescent="0.55000000000000004">
      <c r="A166" s="5">
        <f t="shared" si="8"/>
        <v>40</v>
      </c>
      <c r="B166" s="4">
        <f t="shared" si="9"/>
        <v>0</v>
      </c>
      <c r="C166" s="14" t="e">
        <f>#REF!</f>
        <v>#REF!</v>
      </c>
      <c r="D166" s="14" t="e">
        <f>#REF!+1.5</f>
        <v>#REF!</v>
      </c>
      <c r="E166" s="14" t="e">
        <f>#REF!+1.5</f>
        <v>#REF!</v>
      </c>
      <c r="F166" s="14" t="e">
        <f>#REF!+1.5</f>
        <v>#REF!</v>
      </c>
      <c r="G166" s="14" t="e">
        <f>#REF!</f>
        <v>#REF!</v>
      </c>
    </row>
    <row r="167" spans="1:7" hidden="1" x14ac:dyDescent="0.55000000000000004">
      <c r="A167" s="5">
        <f t="shared" si="8"/>
        <v>40.25</v>
      </c>
      <c r="B167" s="4">
        <f t="shared" si="9"/>
        <v>0</v>
      </c>
      <c r="C167" s="14" t="e">
        <f>#REF!</f>
        <v>#REF!</v>
      </c>
      <c r="D167" s="14" t="e">
        <f>#REF!+1.5</f>
        <v>#REF!</v>
      </c>
      <c r="E167" s="14" t="e">
        <f>#REF!+1.5</f>
        <v>#REF!</v>
      </c>
      <c r="F167" s="14" t="e">
        <f>#REF!+1.5</f>
        <v>#REF!</v>
      </c>
      <c r="G167" s="14" t="e">
        <f>#REF!</f>
        <v>#REF!</v>
      </c>
    </row>
    <row r="168" spans="1:7" hidden="1" x14ac:dyDescent="0.55000000000000004">
      <c r="A168" s="5">
        <f t="shared" si="8"/>
        <v>40.5</v>
      </c>
      <c r="B168" s="4">
        <f t="shared" si="9"/>
        <v>0</v>
      </c>
      <c r="C168" s="14" t="e">
        <f>#REF!</f>
        <v>#REF!</v>
      </c>
      <c r="D168" s="14" t="e">
        <f>#REF!+1.5</f>
        <v>#REF!</v>
      </c>
      <c r="E168" s="14" t="e">
        <f>#REF!+1.5</f>
        <v>#REF!</v>
      </c>
      <c r="F168" s="14" t="e">
        <f>#REF!+1.5</f>
        <v>#REF!</v>
      </c>
      <c r="G168" s="14" t="e">
        <f>#REF!</f>
        <v>#REF!</v>
      </c>
    </row>
    <row r="169" spans="1:7" hidden="1" x14ac:dyDescent="0.55000000000000004">
      <c r="A169" s="5">
        <f t="shared" si="8"/>
        <v>40.75</v>
      </c>
      <c r="B169" s="4">
        <f t="shared" si="9"/>
        <v>0</v>
      </c>
      <c r="C169" s="14" t="e">
        <f>#REF!</f>
        <v>#REF!</v>
      </c>
      <c r="D169" s="14" t="e">
        <f>#REF!+1.5</f>
        <v>#REF!</v>
      </c>
      <c r="E169" s="14" t="e">
        <f>#REF!+1.5</f>
        <v>#REF!</v>
      </c>
      <c r="F169" s="14" t="e">
        <f>#REF!+1.5</f>
        <v>#REF!</v>
      </c>
      <c r="G169" s="14" t="e">
        <f>#REF!</f>
        <v>#REF!</v>
      </c>
    </row>
    <row r="170" spans="1:7" hidden="1" x14ac:dyDescent="0.55000000000000004">
      <c r="A170" s="5">
        <f t="shared" si="8"/>
        <v>41</v>
      </c>
      <c r="B170" s="4">
        <f t="shared" si="9"/>
        <v>0</v>
      </c>
      <c r="C170" s="14" t="e">
        <f>#REF!</f>
        <v>#REF!</v>
      </c>
      <c r="D170" s="14" t="e">
        <f>#REF!+1.5</f>
        <v>#REF!</v>
      </c>
      <c r="E170" s="14" t="e">
        <f>#REF!+1.5</f>
        <v>#REF!</v>
      </c>
      <c r="F170" s="14" t="e">
        <f>#REF!+1.5</f>
        <v>#REF!</v>
      </c>
      <c r="G170" s="14" t="e">
        <f>#REF!</f>
        <v>#REF!</v>
      </c>
    </row>
    <row r="171" spans="1:7" hidden="1" x14ac:dyDescent="0.55000000000000004">
      <c r="A171" s="5">
        <f t="shared" si="8"/>
        <v>41.25</v>
      </c>
      <c r="B171" s="4">
        <f t="shared" si="9"/>
        <v>0</v>
      </c>
      <c r="C171" s="14" t="e">
        <f>#REF!</f>
        <v>#REF!</v>
      </c>
      <c r="D171" s="14" t="e">
        <f>#REF!+1.5</f>
        <v>#REF!</v>
      </c>
      <c r="E171" s="14" t="e">
        <f>#REF!+1.5</f>
        <v>#REF!</v>
      </c>
      <c r="F171" s="14" t="e">
        <f>#REF!+1.5</f>
        <v>#REF!</v>
      </c>
      <c r="G171" s="14" t="e">
        <f>#REF!</f>
        <v>#REF!</v>
      </c>
    </row>
    <row r="172" spans="1:7" hidden="1" x14ac:dyDescent="0.55000000000000004">
      <c r="A172" s="5">
        <f t="shared" si="8"/>
        <v>41.5</v>
      </c>
      <c r="B172" s="4">
        <f t="shared" si="9"/>
        <v>0</v>
      </c>
      <c r="C172" s="14" t="e">
        <f>#REF!</f>
        <v>#REF!</v>
      </c>
      <c r="D172" s="14" t="e">
        <f>#REF!+1.5</f>
        <v>#REF!</v>
      </c>
      <c r="E172" s="14" t="e">
        <f>#REF!+1.5</f>
        <v>#REF!</v>
      </c>
      <c r="F172" s="14" t="e">
        <f>#REF!+1.5</f>
        <v>#REF!</v>
      </c>
      <c r="G172" s="14" t="e">
        <f>#REF!</f>
        <v>#REF!</v>
      </c>
    </row>
    <row r="173" spans="1:7" hidden="1" x14ac:dyDescent="0.55000000000000004">
      <c r="A173" s="5">
        <f t="shared" si="8"/>
        <v>41.75</v>
      </c>
      <c r="B173" s="4">
        <f t="shared" si="9"/>
        <v>0</v>
      </c>
      <c r="C173" s="14" t="e">
        <f>#REF!</f>
        <v>#REF!</v>
      </c>
      <c r="D173" s="14" t="e">
        <f>#REF!+1.5</f>
        <v>#REF!</v>
      </c>
      <c r="E173" s="14" t="e">
        <f>#REF!+1.5</f>
        <v>#REF!</v>
      </c>
      <c r="F173" s="14" t="e">
        <f>#REF!+1.5</f>
        <v>#REF!</v>
      </c>
      <c r="G173" s="14" t="e">
        <f>#REF!</f>
        <v>#REF!</v>
      </c>
    </row>
    <row r="174" spans="1:7" hidden="1" x14ac:dyDescent="0.55000000000000004">
      <c r="A174" s="5">
        <f t="shared" si="8"/>
        <v>42</v>
      </c>
      <c r="B174" s="4">
        <f t="shared" si="9"/>
        <v>0</v>
      </c>
      <c r="C174" s="14" t="e">
        <f>#REF!</f>
        <v>#REF!</v>
      </c>
      <c r="D174" s="14" t="e">
        <f>#REF!+1.5</f>
        <v>#REF!</v>
      </c>
      <c r="E174" s="14" t="e">
        <f>#REF!+1.5</f>
        <v>#REF!</v>
      </c>
      <c r="F174" s="14" t="e">
        <f>#REF!+1.5</f>
        <v>#REF!</v>
      </c>
      <c r="G174" s="14" t="e">
        <f>#REF!</f>
        <v>#REF!</v>
      </c>
    </row>
    <row r="175" spans="1:7" hidden="1" x14ac:dyDescent="0.55000000000000004">
      <c r="A175" s="5">
        <f t="shared" si="8"/>
        <v>42.25</v>
      </c>
      <c r="B175" s="4">
        <f t="shared" si="9"/>
        <v>0</v>
      </c>
      <c r="C175" s="14" t="e">
        <f>#REF!</f>
        <v>#REF!</v>
      </c>
      <c r="D175" s="14" t="e">
        <f>#REF!+1.5</f>
        <v>#REF!</v>
      </c>
      <c r="E175" s="14" t="e">
        <f>#REF!+1.5</f>
        <v>#REF!</v>
      </c>
      <c r="F175" s="14" t="e">
        <f>#REF!+1.5</f>
        <v>#REF!</v>
      </c>
      <c r="G175" s="14" t="e">
        <f>#REF!</f>
        <v>#REF!</v>
      </c>
    </row>
    <row r="176" spans="1:7" hidden="1" x14ac:dyDescent="0.55000000000000004">
      <c r="A176" s="5">
        <f t="shared" si="8"/>
        <v>42.5</v>
      </c>
      <c r="B176" s="4">
        <f t="shared" si="9"/>
        <v>0</v>
      </c>
      <c r="C176" s="14" t="e">
        <f>#REF!</f>
        <v>#REF!</v>
      </c>
      <c r="D176" s="14" t="e">
        <f>#REF!+1.5</f>
        <v>#REF!</v>
      </c>
      <c r="E176" s="14" t="e">
        <f>#REF!+1.5</f>
        <v>#REF!</v>
      </c>
      <c r="F176" s="14" t="e">
        <f>#REF!+1.5</f>
        <v>#REF!</v>
      </c>
      <c r="G176" s="14" t="e">
        <f>#REF!</f>
        <v>#REF!</v>
      </c>
    </row>
    <row r="177" spans="1:7" hidden="1" x14ac:dyDescent="0.55000000000000004">
      <c r="A177" s="5">
        <f t="shared" si="8"/>
        <v>42.75</v>
      </c>
      <c r="B177" s="4">
        <f t="shared" si="9"/>
        <v>0</v>
      </c>
      <c r="C177" s="14" t="e">
        <f>#REF!</f>
        <v>#REF!</v>
      </c>
      <c r="D177" s="14" t="e">
        <f>#REF!+1.5</f>
        <v>#REF!</v>
      </c>
      <c r="E177" s="14" t="e">
        <f>#REF!+1.5</f>
        <v>#REF!</v>
      </c>
      <c r="F177" s="14" t="e">
        <f>#REF!+1.5</f>
        <v>#REF!</v>
      </c>
      <c r="G177" s="14" t="e">
        <f>#REF!</f>
        <v>#REF!</v>
      </c>
    </row>
    <row r="178" spans="1:7" hidden="1" x14ac:dyDescent="0.55000000000000004">
      <c r="A178" s="5">
        <f t="shared" si="8"/>
        <v>43</v>
      </c>
      <c r="B178" s="4">
        <f t="shared" si="9"/>
        <v>0</v>
      </c>
      <c r="C178" s="14" t="e">
        <f>#REF!</f>
        <v>#REF!</v>
      </c>
      <c r="D178" s="14" t="e">
        <f>#REF!+1.5</f>
        <v>#REF!</v>
      </c>
      <c r="E178" s="14" t="e">
        <f>#REF!+1.5</f>
        <v>#REF!</v>
      </c>
      <c r="F178" s="14" t="e">
        <f>#REF!+1.5</f>
        <v>#REF!</v>
      </c>
      <c r="G178" s="14" t="e">
        <f>#REF!</f>
        <v>#REF!</v>
      </c>
    </row>
    <row r="179" spans="1:7" hidden="1" x14ac:dyDescent="0.55000000000000004">
      <c r="A179" s="5">
        <f t="shared" si="8"/>
        <v>43.25</v>
      </c>
      <c r="B179" s="4">
        <f t="shared" si="9"/>
        <v>0</v>
      </c>
      <c r="C179" s="14" t="e">
        <f>#REF!</f>
        <v>#REF!</v>
      </c>
      <c r="D179" s="14" t="e">
        <f>#REF!+1.5</f>
        <v>#REF!</v>
      </c>
      <c r="E179" s="14" t="e">
        <f>#REF!+1.5</f>
        <v>#REF!</v>
      </c>
      <c r="F179" s="14" t="e">
        <f>#REF!+1.5</f>
        <v>#REF!</v>
      </c>
      <c r="G179" s="14" t="e">
        <f>#REF!</f>
        <v>#REF!</v>
      </c>
    </row>
    <row r="180" spans="1:7" hidden="1" x14ac:dyDescent="0.55000000000000004">
      <c r="A180" s="5">
        <f t="shared" si="8"/>
        <v>43.5</v>
      </c>
      <c r="B180" s="4">
        <f t="shared" si="9"/>
        <v>0</v>
      </c>
      <c r="C180" s="14" t="e">
        <f>#REF!</f>
        <v>#REF!</v>
      </c>
      <c r="D180" s="14" t="e">
        <f>#REF!+1.5</f>
        <v>#REF!</v>
      </c>
      <c r="E180" s="14" t="e">
        <f>#REF!+1.5</f>
        <v>#REF!</v>
      </c>
      <c r="F180" s="14" t="e">
        <f>#REF!+1.5</f>
        <v>#REF!</v>
      </c>
      <c r="G180" s="14" t="e">
        <f>#REF!</f>
        <v>#REF!</v>
      </c>
    </row>
    <row r="181" spans="1:7" hidden="1" x14ac:dyDescent="0.55000000000000004">
      <c r="A181" s="5">
        <f t="shared" si="8"/>
        <v>43.75</v>
      </c>
      <c r="B181" s="4">
        <f t="shared" si="9"/>
        <v>0</v>
      </c>
      <c r="C181" s="14" t="e">
        <f>#REF!</f>
        <v>#REF!</v>
      </c>
      <c r="D181" s="14" t="e">
        <f>#REF!+1.5</f>
        <v>#REF!</v>
      </c>
      <c r="E181" s="14" t="e">
        <f>#REF!+1.5</f>
        <v>#REF!</v>
      </c>
      <c r="F181" s="14" t="e">
        <f>#REF!+1.5</f>
        <v>#REF!</v>
      </c>
      <c r="G181" s="14" t="e">
        <f>#REF!</f>
        <v>#REF!</v>
      </c>
    </row>
    <row r="182" spans="1:7" hidden="1" x14ac:dyDescent="0.55000000000000004">
      <c r="A182" s="5">
        <f t="shared" si="8"/>
        <v>44</v>
      </c>
      <c r="B182" s="4">
        <f t="shared" si="9"/>
        <v>0</v>
      </c>
      <c r="C182" s="14" t="e">
        <f>#REF!</f>
        <v>#REF!</v>
      </c>
      <c r="D182" s="14" t="e">
        <f>#REF!+1.5</f>
        <v>#REF!</v>
      </c>
      <c r="E182" s="14" t="e">
        <f>#REF!+1.5</f>
        <v>#REF!</v>
      </c>
      <c r="F182" s="14" t="e">
        <f>#REF!+1.5</f>
        <v>#REF!</v>
      </c>
      <c r="G182" s="14" t="e">
        <f>#REF!</f>
        <v>#REF!</v>
      </c>
    </row>
    <row r="183" spans="1:7" hidden="1" x14ac:dyDescent="0.55000000000000004">
      <c r="A183" s="5">
        <f t="shared" si="8"/>
        <v>44.25</v>
      </c>
      <c r="B183" s="4">
        <f t="shared" si="9"/>
        <v>0</v>
      </c>
      <c r="C183" s="14" t="e">
        <f>#REF!</f>
        <v>#REF!</v>
      </c>
      <c r="D183" s="14" t="e">
        <f>#REF!+1.5</f>
        <v>#REF!</v>
      </c>
      <c r="E183" s="14" t="e">
        <f>#REF!+1.5</f>
        <v>#REF!</v>
      </c>
      <c r="F183" s="14" t="e">
        <f>#REF!+1.5</f>
        <v>#REF!</v>
      </c>
      <c r="G183" s="14" t="e">
        <f>#REF!</f>
        <v>#REF!</v>
      </c>
    </row>
    <row r="184" spans="1:7" hidden="1" x14ac:dyDescent="0.55000000000000004">
      <c r="A184" s="5">
        <f t="shared" si="8"/>
        <v>44.5</v>
      </c>
      <c r="B184" s="4">
        <f t="shared" si="9"/>
        <v>0</v>
      </c>
      <c r="C184" s="14" t="e">
        <f>#REF!</f>
        <v>#REF!</v>
      </c>
      <c r="D184" s="14" t="e">
        <f>#REF!+1.5</f>
        <v>#REF!</v>
      </c>
      <c r="E184" s="14" t="e">
        <f>#REF!+1.5</f>
        <v>#REF!</v>
      </c>
      <c r="F184" s="14" t="e">
        <f>#REF!+1.5</f>
        <v>#REF!</v>
      </c>
      <c r="G184" s="14" t="e">
        <f>#REF!</f>
        <v>#REF!</v>
      </c>
    </row>
    <row r="185" spans="1:7" hidden="1" x14ac:dyDescent="0.55000000000000004">
      <c r="A185" s="5">
        <f t="shared" si="8"/>
        <v>44.75</v>
      </c>
      <c r="B185" s="4">
        <f t="shared" si="9"/>
        <v>0</v>
      </c>
      <c r="C185" s="14" t="e">
        <f>#REF!</f>
        <v>#REF!</v>
      </c>
      <c r="D185" s="14" t="e">
        <f>#REF!+1.5</f>
        <v>#REF!</v>
      </c>
      <c r="E185" s="14" t="e">
        <f>#REF!+1.5</f>
        <v>#REF!</v>
      </c>
      <c r="F185" s="14" t="e">
        <f>#REF!+1.5</f>
        <v>#REF!</v>
      </c>
      <c r="G185" s="14" t="e">
        <f>#REF!</f>
        <v>#REF!</v>
      </c>
    </row>
    <row r="186" spans="1:7" hidden="1" x14ac:dyDescent="0.55000000000000004">
      <c r="A186" s="5">
        <f t="shared" si="8"/>
        <v>45</v>
      </c>
      <c r="B186" s="4">
        <f t="shared" si="9"/>
        <v>0</v>
      </c>
      <c r="C186" s="14" t="e">
        <f>#REF!</f>
        <v>#REF!</v>
      </c>
      <c r="D186" s="14" t="e">
        <f>#REF!+1.5</f>
        <v>#REF!</v>
      </c>
      <c r="E186" s="14" t="e">
        <f>#REF!+1.5</f>
        <v>#REF!</v>
      </c>
      <c r="F186" s="14" t="e">
        <f>#REF!+1.5</f>
        <v>#REF!</v>
      </c>
      <c r="G186" s="14" t="e">
        <f>#REF!</f>
        <v>#REF!</v>
      </c>
    </row>
    <row r="187" spans="1:7" hidden="1" x14ac:dyDescent="0.55000000000000004">
      <c r="A187" s="5">
        <f t="shared" si="8"/>
        <v>45.25</v>
      </c>
      <c r="B187" s="4">
        <f t="shared" si="9"/>
        <v>0</v>
      </c>
      <c r="C187" s="14" t="e">
        <f>#REF!</f>
        <v>#REF!</v>
      </c>
      <c r="D187" s="14" t="e">
        <f>#REF!+1.5</f>
        <v>#REF!</v>
      </c>
      <c r="E187" s="14" t="e">
        <f>#REF!+1.5</f>
        <v>#REF!</v>
      </c>
      <c r="F187" s="14" t="e">
        <f>#REF!+1.5</f>
        <v>#REF!</v>
      </c>
      <c r="G187" s="14" t="e">
        <f>#REF!</f>
        <v>#REF!</v>
      </c>
    </row>
    <row r="188" spans="1:7" hidden="1" x14ac:dyDescent="0.55000000000000004">
      <c r="A188" s="5">
        <f t="shared" si="8"/>
        <v>45.5</v>
      </c>
      <c r="B188" s="4">
        <f t="shared" si="9"/>
        <v>0</v>
      </c>
      <c r="C188" s="14" t="e">
        <f>#REF!</f>
        <v>#REF!</v>
      </c>
      <c r="D188" s="14" t="e">
        <f>#REF!+1.5</f>
        <v>#REF!</v>
      </c>
      <c r="E188" s="14" t="e">
        <f>#REF!+1.5</f>
        <v>#REF!</v>
      </c>
      <c r="F188" s="14" t="e">
        <f>#REF!+1.5</f>
        <v>#REF!</v>
      </c>
      <c r="G188" s="14" t="e">
        <f>#REF!</f>
        <v>#REF!</v>
      </c>
    </row>
    <row r="189" spans="1:7" hidden="1" x14ac:dyDescent="0.55000000000000004">
      <c r="A189" s="5">
        <f t="shared" si="8"/>
        <v>45.75</v>
      </c>
      <c r="B189" s="4">
        <f t="shared" si="9"/>
        <v>0</v>
      </c>
      <c r="C189" s="14" t="e">
        <f>#REF!</f>
        <v>#REF!</v>
      </c>
      <c r="D189" s="14" t="e">
        <f>#REF!+1.5</f>
        <v>#REF!</v>
      </c>
      <c r="E189" s="14" t="e">
        <f>#REF!+1.5</f>
        <v>#REF!</v>
      </c>
      <c r="F189" s="14" t="e">
        <f>#REF!+1.5</f>
        <v>#REF!</v>
      </c>
      <c r="G189" s="14" t="e">
        <f>#REF!</f>
        <v>#REF!</v>
      </c>
    </row>
    <row r="190" spans="1:7" hidden="1" x14ac:dyDescent="0.55000000000000004">
      <c r="A190" s="5">
        <f t="shared" si="8"/>
        <v>46</v>
      </c>
      <c r="B190" s="4">
        <f t="shared" si="9"/>
        <v>0</v>
      </c>
      <c r="C190" s="14" t="e">
        <f>#REF!</f>
        <v>#REF!</v>
      </c>
      <c r="D190" s="14" t="e">
        <f>#REF!+1.5</f>
        <v>#REF!</v>
      </c>
      <c r="E190" s="14" t="e">
        <f>#REF!+1.5</f>
        <v>#REF!</v>
      </c>
      <c r="F190" s="14" t="e">
        <f>#REF!+1.5</f>
        <v>#REF!</v>
      </c>
      <c r="G190" s="14" t="e">
        <f>#REF!</f>
        <v>#REF!</v>
      </c>
    </row>
    <row r="191" spans="1:7" hidden="1" x14ac:dyDescent="0.55000000000000004">
      <c r="A191" s="5">
        <f t="shared" si="8"/>
        <v>46.25</v>
      </c>
      <c r="B191" s="4">
        <f t="shared" si="9"/>
        <v>0</v>
      </c>
      <c r="C191" s="14" t="e">
        <f>#REF!</f>
        <v>#REF!</v>
      </c>
      <c r="D191" s="14" t="e">
        <f>#REF!+1.5</f>
        <v>#REF!</v>
      </c>
      <c r="E191" s="14" t="e">
        <f>#REF!+1.5</f>
        <v>#REF!</v>
      </c>
      <c r="F191" s="14" t="e">
        <f>#REF!+1.5</f>
        <v>#REF!</v>
      </c>
      <c r="G191" s="14" t="e">
        <f>#REF!</f>
        <v>#REF!</v>
      </c>
    </row>
    <row r="192" spans="1:7" hidden="1" x14ac:dyDescent="0.55000000000000004">
      <c r="A192" s="5">
        <f t="shared" si="8"/>
        <v>46.5</v>
      </c>
      <c r="B192" s="4">
        <f t="shared" si="9"/>
        <v>0</v>
      </c>
      <c r="C192" s="14" t="e">
        <f>#REF!</f>
        <v>#REF!</v>
      </c>
      <c r="D192" s="14" t="e">
        <f>#REF!+1.5</f>
        <v>#REF!</v>
      </c>
      <c r="E192" s="14" t="e">
        <f>#REF!+1.5</f>
        <v>#REF!</v>
      </c>
      <c r="F192" s="14" t="e">
        <f>#REF!+1.5</f>
        <v>#REF!</v>
      </c>
      <c r="G192" s="14" t="e">
        <f>#REF!</f>
        <v>#REF!</v>
      </c>
    </row>
    <row r="193" spans="1:7" hidden="1" x14ac:dyDescent="0.55000000000000004">
      <c r="A193" s="5">
        <f t="shared" si="8"/>
        <v>46.75</v>
      </c>
      <c r="B193" s="4">
        <f t="shared" si="9"/>
        <v>0</v>
      </c>
      <c r="C193" s="14" t="e">
        <f>#REF!</f>
        <v>#REF!</v>
      </c>
      <c r="D193" s="14" t="e">
        <f>#REF!+1.5</f>
        <v>#REF!</v>
      </c>
      <c r="E193" s="14" t="e">
        <f>#REF!+1.5</f>
        <v>#REF!</v>
      </c>
      <c r="F193" s="14" t="e">
        <f>#REF!+1.5</f>
        <v>#REF!</v>
      </c>
      <c r="G193" s="14" t="e">
        <f>#REF!</f>
        <v>#REF!</v>
      </c>
    </row>
    <row r="194" spans="1:7" hidden="1" x14ac:dyDescent="0.55000000000000004">
      <c r="A194" s="5">
        <f t="shared" si="8"/>
        <v>47</v>
      </c>
      <c r="B194" s="4">
        <f t="shared" si="9"/>
        <v>0</v>
      </c>
      <c r="C194" s="14" t="e">
        <f>#REF!</f>
        <v>#REF!</v>
      </c>
      <c r="D194" s="14" t="e">
        <f>#REF!+1.5</f>
        <v>#REF!</v>
      </c>
      <c r="E194" s="14" t="e">
        <f>#REF!+1.5</f>
        <v>#REF!</v>
      </c>
      <c r="F194" s="14" t="e">
        <f>#REF!+1.5</f>
        <v>#REF!</v>
      </c>
      <c r="G194" s="14" t="e">
        <f>#REF!</f>
        <v>#REF!</v>
      </c>
    </row>
    <row r="195" spans="1:7" hidden="1" x14ac:dyDescent="0.55000000000000004">
      <c r="A195" s="5">
        <f t="shared" si="8"/>
        <v>47.25</v>
      </c>
      <c r="B195" s="4">
        <f t="shared" si="9"/>
        <v>0</v>
      </c>
      <c r="C195" s="14" t="e">
        <f>#REF!</f>
        <v>#REF!</v>
      </c>
      <c r="D195" s="14" t="e">
        <f>#REF!+1.5</f>
        <v>#REF!</v>
      </c>
      <c r="E195" s="14" t="e">
        <f>#REF!+1.5</f>
        <v>#REF!</v>
      </c>
      <c r="F195" s="14" t="e">
        <f>#REF!+1.5</f>
        <v>#REF!</v>
      </c>
      <c r="G195" s="14" t="e">
        <f>#REF!</f>
        <v>#REF!</v>
      </c>
    </row>
    <row r="196" spans="1:7" hidden="1" x14ac:dyDescent="0.55000000000000004">
      <c r="A196" s="5">
        <f t="shared" ref="A196:A200" si="10">A195+0.25</f>
        <v>47.5</v>
      </c>
      <c r="B196" s="4">
        <f t="shared" ref="B196:B200" si="11">B195</f>
        <v>0</v>
      </c>
      <c r="C196" s="14" t="e">
        <f>#REF!</f>
        <v>#REF!</v>
      </c>
      <c r="D196" s="14" t="e">
        <f>#REF!+1.5</f>
        <v>#REF!</v>
      </c>
      <c r="E196" s="14" t="e">
        <f>#REF!+1.5</f>
        <v>#REF!</v>
      </c>
      <c r="F196" s="14" t="e">
        <f>#REF!+1.5</f>
        <v>#REF!</v>
      </c>
      <c r="G196" s="14" t="e">
        <f>#REF!</f>
        <v>#REF!</v>
      </c>
    </row>
    <row r="197" spans="1:7" hidden="1" x14ac:dyDescent="0.55000000000000004">
      <c r="A197" s="5">
        <f t="shared" si="10"/>
        <v>47.75</v>
      </c>
      <c r="B197" s="4">
        <f t="shared" si="11"/>
        <v>0</v>
      </c>
      <c r="C197" s="14" t="e">
        <f>#REF!</f>
        <v>#REF!</v>
      </c>
      <c r="D197" s="14" t="e">
        <f>#REF!+1.5</f>
        <v>#REF!</v>
      </c>
      <c r="E197" s="14" t="e">
        <f>#REF!+1.5</f>
        <v>#REF!</v>
      </c>
      <c r="F197" s="14" t="e">
        <f>#REF!+1.5</f>
        <v>#REF!</v>
      </c>
      <c r="G197" s="14" t="e">
        <f>#REF!</f>
        <v>#REF!</v>
      </c>
    </row>
    <row r="198" spans="1:7" hidden="1" x14ac:dyDescent="0.55000000000000004">
      <c r="A198" s="5">
        <f t="shared" si="10"/>
        <v>48</v>
      </c>
      <c r="B198" s="4">
        <f t="shared" si="11"/>
        <v>0</v>
      </c>
      <c r="C198" s="14" t="e">
        <f>#REF!</f>
        <v>#REF!</v>
      </c>
      <c r="D198" s="14" t="e">
        <f>#REF!+1.5</f>
        <v>#REF!</v>
      </c>
      <c r="E198" s="14" t="e">
        <f>#REF!+1.5</f>
        <v>#REF!</v>
      </c>
      <c r="F198" s="14" t="e">
        <f>#REF!+1.5</f>
        <v>#REF!</v>
      </c>
      <c r="G198" s="14" t="e">
        <f>#REF!</f>
        <v>#REF!</v>
      </c>
    </row>
    <row r="199" spans="1:7" hidden="1" x14ac:dyDescent="0.55000000000000004">
      <c r="A199" s="5">
        <f t="shared" si="10"/>
        <v>48.25</v>
      </c>
      <c r="B199" s="4">
        <f t="shared" si="11"/>
        <v>0</v>
      </c>
      <c r="C199" s="14" t="e">
        <f>#REF!</f>
        <v>#REF!</v>
      </c>
      <c r="D199" s="14" t="e">
        <f>#REF!+1.5</f>
        <v>#REF!</v>
      </c>
      <c r="E199" s="14" t="e">
        <f>#REF!+1.5</f>
        <v>#REF!</v>
      </c>
      <c r="F199" s="14" t="e">
        <f>#REF!+1.5</f>
        <v>#REF!</v>
      </c>
      <c r="G199" s="14" t="e">
        <f>#REF!</f>
        <v>#REF!</v>
      </c>
    </row>
    <row r="200" spans="1:7" hidden="1" x14ac:dyDescent="0.55000000000000004">
      <c r="A200" s="5">
        <f t="shared" si="10"/>
        <v>48.5</v>
      </c>
      <c r="B200" s="4">
        <f t="shared" si="11"/>
        <v>0</v>
      </c>
      <c r="C200" s="14" t="e">
        <f>#REF!</f>
        <v>#REF!</v>
      </c>
      <c r="D200" s="14" t="e">
        <f>#REF!+1.5</f>
        <v>#REF!</v>
      </c>
      <c r="E200" s="14" t="e">
        <f>#REF!+1.5</f>
        <v>#REF!</v>
      </c>
      <c r="F200" s="14" t="e">
        <f>#REF!+1.5</f>
        <v>#REF!</v>
      </c>
      <c r="G200" s="14" t="e">
        <f>#REF!</f>
        <v>#REF!</v>
      </c>
    </row>
  </sheetData>
  <phoneticPr fontId="1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4766F2-D36F-442D-97CC-335941099AE7}">
  <sheetPr codeName="Sheet8"/>
  <dimension ref="A1:J200"/>
  <sheetViews>
    <sheetView zoomScaleNormal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2" sqref="C2"/>
    </sheetView>
  </sheetViews>
  <sheetFormatPr defaultRowHeight="18" x14ac:dyDescent="0.55000000000000004"/>
  <cols>
    <col min="1" max="1" width="8.6640625" style="5"/>
    <col min="2" max="2" width="4.75" style="4" bestFit="1" customWidth="1"/>
    <col min="3" max="7" width="8.6640625" style="14"/>
    <col min="8" max="10" width="8.6640625" style="17"/>
  </cols>
  <sheetData>
    <row r="1" spans="1:10" s="1" customFormat="1" ht="33" x14ac:dyDescent="0.55000000000000004">
      <c r="A1" s="3" t="s">
        <v>15</v>
      </c>
      <c r="B1" s="3" t="s">
        <v>0</v>
      </c>
      <c r="C1" s="13" t="s">
        <v>10</v>
      </c>
      <c r="D1" s="13" t="s">
        <v>11</v>
      </c>
      <c r="E1" s="13" t="s">
        <v>12</v>
      </c>
      <c r="F1" s="13" t="s">
        <v>13</v>
      </c>
      <c r="G1" s="13" t="s">
        <v>14</v>
      </c>
      <c r="H1" s="15" t="s">
        <v>16</v>
      </c>
      <c r="I1" s="15" t="s">
        <v>17</v>
      </c>
      <c r="J1" s="15" t="s">
        <v>18</v>
      </c>
    </row>
    <row r="2" spans="1:10" x14ac:dyDescent="0.55000000000000004">
      <c r="A2" s="5">
        <v>-1</v>
      </c>
      <c r="B2" s="4">
        <v>0</v>
      </c>
      <c r="C2" s="14">
        <v>1.4598756488026017E-3</v>
      </c>
      <c r="D2" s="14">
        <v>-0.71563858445062778</v>
      </c>
      <c r="E2" s="14">
        <v>-0.21285603293610156</v>
      </c>
      <c r="F2" s="14">
        <v>-6.4407472600556487E-2</v>
      </c>
      <c r="G2" s="14">
        <v>-0.25</v>
      </c>
      <c r="H2" s="16">
        <v>2</v>
      </c>
      <c r="I2" s="16">
        <v>0.5</v>
      </c>
      <c r="J2" s="16">
        <v>-200</v>
      </c>
    </row>
    <row r="3" spans="1:10" ht="18" customHeight="1" x14ac:dyDescent="0.55000000000000004">
      <c r="A3" s="5">
        <f>A2+0.25</f>
        <v>-0.75</v>
      </c>
      <c r="B3" s="4">
        <f>B2</f>
        <v>0</v>
      </c>
      <c r="C3" s="14">
        <v>1.7861341185779887E-2</v>
      </c>
      <c r="D3" s="14">
        <v>-0.51105890260768683</v>
      </c>
      <c r="E3" s="14">
        <v>-0.24124074610718441</v>
      </c>
      <c r="F3" s="14">
        <v>-0.10460610130119823</v>
      </c>
      <c r="G3" s="14">
        <v>-0.25</v>
      </c>
      <c r="H3" s="16">
        <f>H2</f>
        <v>2</v>
      </c>
      <c r="I3" s="16">
        <f>I2</f>
        <v>0.5</v>
      </c>
      <c r="J3" s="16">
        <v>-200</v>
      </c>
    </row>
    <row r="4" spans="1:10" x14ac:dyDescent="0.55000000000000004">
      <c r="A4" s="5">
        <f t="shared" ref="A4:A67" si="0">A3+0.25</f>
        <v>-0.5</v>
      </c>
      <c r="B4" s="4">
        <f t="shared" ref="B4:B67" si="1">B3</f>
        <v>0</v>
      </c>
      <c r="C4" s="14">
        <v>5.1360314363167139E-2</v>
      </c>
      <c r="D4" s="14">
        <v>-0.25444014181812497</v>
      </c>
      <c r="E4" s="14">
        <v>-0.15465694564062177</v>
      </c>
      <c r="F4" s="14">
        <v>-0.11809116494772165</v>
      </c>
      <c r="G4" s="14">
        <v>-0.24999999999999997</v>
      </c>
      <c r="H4" s="16">
        <f t="shared" ref="H4:I19" si="2">H3</f>
        <v>2</v>
      </c>
      <c r="I4" s="16">
        <f t="shared" si="2"/>
        <v>0.5</v>
      </c>
      <c r="J4" s="16">
        <v>-200</v>
      </c>
    </row>
    <row r="5" spans="1:10" x14ac:dyDescent="0.55000000000000004">
      <c r="A5" s="5">
        <f t="shared" si="0"/>
        <v>-0.25</v>
      </c>
      <c r="B5" s="4">
        <f t="shared" si="1"/>
        <v>0</v>
      </c>
      <c r="C5" s="14">
        <v>9.3518569511168007E-2</v>
      </c>
      <c r="D5" s="14">
        <v>-7.8394634658821932E-2</v>
      </c>
      <c r="E5" s="14">
        <v>-8.3186460946544402E-2</v>
      </c>
      <c r="F5" s="14">
        <v>-0.11451847722172068</v>
      </c>
      <c r="G5" s="14">
        <v>-0.2268418585151023</v>
      </c>
      <c r="H5" s="16">
        <f t="shared" si="2"/>
        <v>2</v>
      </c>
      <c r="I5" s="16">
        <f t="shared" si="2"/>
        <v>0.5</v>
      </c>
      <c r="J5" s="16">
        <v>-200</v>
      </c>
    </row>
    <row r="6" spans="1:10" x14ac:dyDescent="0.55000000000000004">
      <c r="A6" s="5">
        <f t="shared" si="0"/>
        <v>0</v>
      </c>
      <c r="B6" s="4">
        <f t="shared" si="1"/>
        <v>0</v>
      </c>
      <c r="C6" s="14">
        <v>0.1115609894829336</v>
      </c>
      <c r="D6" s="14">
        <v>1.4818920362573051E-2</v>
      </c>
      <c r="E6" s="14">
        <v>-4.1025129886170006E-2</v>
      </c>
      <c r="F6" s="14">
        <v>-0.10287811143913424</v>
      </c>
      <c r="G6" s="14">
        <v>-5.0850315248111025E-2</v>
      </c>
      <c r="H6" s="16">
        <f t="shared" si="2"/>
        <v>2</v>
      </c>
      <c r="I6" s="16">
        <f t="shared" si="2"/>
        <v>0.5</v>
      </c>
      <c r="J6" s="16">
        <v>100</v>
      </c>
    </row>
    <row r="7" spans="1:10" x14ac:dyDescent="0.55000000000000004">
      <c r="A7" s="5">
        <f t="shared" si="0"/>
        <v>0.25</v>
      </c>
      <c r="B7" s="4">
        <f t="shared" si="1"/>
        <v>0</v>
      </c>
      <c r="C7" s="14">
        <v>0.10473049257302749</v>
      </c>
      <c r="D7" s="14">
        <v>4.8926350992242934E-2</v>
      </c>
      <c r="E7" s="14">
        <v>-2.1883274642949223E-2</v>
      </c>
      <c r="F7" s="14">
        <v>-8.9215709820310324E-2</v>
      </c>
      <c r="G7" s="14">
        <v>4.5476565763423973E-2</v>
      </c>
      <c r="H7" s="16">
        <f t="shared" si="2"/>
        <v>2</v>
      </c>
      <c r="I7" s="16">
        <f t="shared" si="2"/>
        <v>0.5</v>
      </c>
      <c r="J7" s="16">
        <v>-200</v>
      </c>
    </row>
    <row r="8" spans="1:10" x14ac:dyDescent="0.55000000000000004">
      <c r="A8" s="5">
        <f t="shared" si="0"/>
        <v>0.5</v>
      </c>
      <c r="B8" s="4">
        <f t="shared" si="1"/>
        <v>0</v>
      </c>
      <c r="C8" s="14">
        <v>8.4102284271966338E-2</v>
      </c>
      <c r="D8" s="14">
        <v>4.9199396426241312E-2</v>
      </c>
      <c r="E8" s="14">
        <v>-1.6562155124710307E-2</v>
      </c>
      <c r="F8" s="14">
        <v>-7.6758350258120681E-2</v>
      </c>
      <c r="G8" s="14">
        <v>7.1874655029353265E-2</v>
      </c>
      <c r="H8" s="16">
        <f t="shared" si="2"/>
        <v>2</v>
      </c>
      <c r="I8" s="16">
        <f t="shared" si="2"/>
        <v>0.5</v>
      </c>
      <c r="J8" s="16">
        <v>-200</v>
      </c>
    </row>
    <row r="9" spans="1:10" x14ac:dyDescent="0.55000000000000004">
      <c r="A9" s="5">
        <f t="shared" si="0"/>
        <v>0.75</v>
      </c>
      <c r="B9" s="4">
        <f t="shared" si="1"/>
        <v>0</v>
      </c>
      <c r="C9" s="14">
        <v>6.1022145412915077E-2</v>
      </c>
      <c r="D9" s="14">
        <v>3.5471554462323612E-2</v>
      </c>
      <c r="E9" s="14">
        <v>-1.7469573159282832E-2</v>
      </c>
      <c r="F9" s="14">
        <v>-6.6657658833280689E-2</v>
      </c>
      <c r="G9" s="14">
        <v>5.6601710351352842E-2</v>
      </c>
      <c r="H9" s="16">
        <f t="shared" si="2"/>
        <v>2</v>
      </c>
      <c r="I9" s="16">
        <f t="shared" si="2"/>
        <v>0.5</v>
      </c>
      <c r="J9" s="16">
        <v>-200</v>
      </c>
    </row>
    <row r="10" spans="1:10" x14ac:dyDescent="0.55000000000000004">
      <c r="A10" s="5">
        <f t="shared" si="0"/>
        <v>1</v>
      </c>
      <c r="B10" s="4">
        <f t="shared" si="1"/>
        <v>0</v>
      </c>
      <c r="C10" s="14">
        <v>4.2456734282100519E-2</v>
      </c>
      <c r="D10" s="14">
        <v>2.0228720801143539E-2</v>
      </c>
      <c r="E10" s="14">
        <v>-1.9708396707581358E-2</v>
      </c>
      <c r="F10" s="14">
        <v>-5.8837884666182512E-2</v>
      </c>
      <c r="G10" s="14">
        <v>2.6888113093565327E-2</v>
      </c>
      <c r="H10" s="16">
        <f t="shared" si="2"/>
        <v>2</v>
      </c>
      <c r="I10" s="16">
        <f t="shared" si="2"/>
        <v>0.5</v>
      </c>
      <c r="J10" s="16">
        <v>-200</v>
      </c>
    </row>
    <row r="11" spans="1:10" x14ac:dyDescent="0.55000000000000004">
      <c r="A11" s="5">
        <f t="shared" si="0"/>
        <v>1.25</v>
      </c>
      <c r="B11" s="4">
        <f t="shared" si="1"/>
        <v>0</v>
      </c>
      <c r="C11" s="14">
        <v>3.0653110619294634E-2</v>
      </c>
      <c r="D11" s="14">
        <v>9.2844303176405248E-3</v>
      </c>
      <c r="E11" s="14">
        <v>-2.089765091836044E-2</v>
      </c>
      <c r="F11" s="14">
        <v>-5.2706876317638443E-2</v>
      </c>
      <c r="G11" s="14">
        <v>4.027598535255323E-4</v>
      </c>
      <c r="H11" s="16">
        <f t="shared" si="2"/>
        <v>2</v>
      </c>
      <c r="I11" s="16">
        <f t="shared" si="2"/>
        <v>0.5</v>
      </c>
      <c r="J11" s="16">
        <v>-200</v>
      </c>
    </row>
    <row r="12" spans="1:10" x14ac:dyDescent="0.55000000000000004">
      <c r="A12" s="5">
        <f t="shared" si="0"/>
        <v>1.5</v>
      </c>
      <c r="B12" s="4">
        <f t="shared" si="1"/>
        <v>0</v>
      </c>
      <c r="C12" s="14">
        <v>2.4715628442914861E-2</v>
      </c>
      <c r="D12" s="14">
        <v>3.7797454123845017E-3</v>
      </c>
      <c r="E12" s="14">
        <v>-2.0447632574274545E-2</v>
      </c>
      <c r="F12" s="14">
        <v>-4.7623080361936375E-2</v>
      </c>
      <c r="G12" s="14">
        <v>-1.5535375041597674E-2</v>
      </c>
      <c r="H12" s="16">
        <f t="shared" si="2"/>
        <v>2</v>
      </c>
      <c r="I12" s="16">
        <f t="shared" si="2"/>
        <v>0.5</v>
      </c>
      <c r="J12" s="16">
        <v>-200</v>
      </c>
    </row>
    <row r="13" spans="1:10" x14ac:dyDescent="0.55000000000000004">
      <c r="A13" s="5">
        <f t="shared" si="0"/>
        <v>1.75</v>
      </c>
      <c r="B13" s="4">
        <f t="shared" si="1"/>
        <v>0</v>
      </c>
      <c r="C13" s="14">
        <v>2.2468189732663169E-2</v>
      </c>
      <c r="D13" s="14">
        <v>2.4204892239511056E-3</v>
      </c>
      <c r="E13" s="14">
        <v>-1.8730446237205867E-2</v>
      </c>
      <c r="F13" s="14">
        <v>-4.3119159099206501E-2</v>
      </c>
      <c r="G13" s="14">
        <v>-2.0919187902279156E-2</v>
      </c>
      <c r="H13" s="16">
        <f t="shared" si="2"/>
        <v>2</v>
      </c>
      <c r="I13" s="16">
        <f t="shared" si="2"/>
        <v>0.5</v>
      </c>
      <c r="J13" s="16">
        <v>-200</v>
      </c>
    </row>
    <row r="14" spans="1:10" x14ac:dyDescent="0.55000000000000004">
      <c r="A14" s="5">
        <f t="shared" si="0"/>
        <v>2</v>
      </c>
      <c r="B14" s="4">
        <f t="shared" si="1"/>
        <v>0</v>
      </c>
      <c r="C14" s="14">
        <v>2.1795658165429929E-2</v>
      </c>
      <c r="D14" s="14">
        <v>3.2345673177331851E-3</v>
      </c>
      <c r="E14" s="14">
        <v>-1.6417547681918766E-2</v>
      </c>
      <c r="F14" s="14">
        <v>-3.8947323721681928E-2</v>
      </c>
      <c r="G14" s="14">
        <v>-1.9219468693437814E-2</v>
      </c>
      <c r="H14" s="16">
        <f t="shared" si="2"/>
        <v>2</v>
      </c>
      <c r="I14" s="16">
        <f t="shared" si="2"/>
        <v>0.5</v>
      </c>
      <c r="J14" s="16">
        <v>-200</v>
      </c>
    </row>
    <row r="15" spans="1:10" x14ac:dyDescent="0.55000000000000004">
      <c r="A15" s="5">
        <f t="shared" si="0"/>
        <v>2.25</v>
      </c>
      <c r="B15" s="4">
        <f t="shared" si="1"/>
        <v>0</v>
      </c>
      <c r="C15" s="14">
        <v>2.1279116974045467E-2</v>
      </c>
      <c r="D15" s="14">
        <v>4.589518376937776E-3</v>
      </c>
      <c r="E15" s="14">
        <v>-1.4086223685584039E-2</v>
      </c>
      <c r="F15" s="14">
        <v>-3.5029007932806153E-2</v>
      </c>
      <c r="G15" s="14">
        <v>-1.4428144015164098E-2</v>
      </c>
      <c r="H15" s="16">
        <f t="shared" si="2"/>
        <v>2</v>
      </c>
      <c r="I15" s="16">
        <f t="shared" si="2"/>
        <v>0.5</v>
      </c>
      <c r="J15" s="16">
        <v>-200</v>
      </c>
    </row>
    <row r="16" spans="1:10" x14ac:dyDescent="0.55000000000000004">
      <c r="A16" s="5">
        <f t="shared" si="0"/>
        <v>2.5</v>
      </c>
      <c r="B16" s="4">
        <f t="shared" si="1"/>
        <v>0</v>
      </c>
      <c r="C16" s="14">
        <v>2.0279109228878142E-2</v>
      </c>
      <c r="D16" s="14">
        <v>5.5516351743219701E-3</v>
      </c>
      <c r="E16" s="14">
        <v>-1.2070800720401703E-2</v>
      </c>
      <c r="F16" s="14">
        <v>-3.1376750053164627E-2</v>
      </c>
      <c r="G16" s="14">
        <v>-9.4820954799833563E-3</v>
      </c>
      <c r="H16" s="16">
        <f t="shared" si="2"/>
        <v>2</v>
      </c>
      <c r="I16" s="16">
        <f t="shared" si="2"/>
        <v>0.5</v>
      </c>
      <c r="J16" s="16">
        <v>-200</v>
      </c>
    </row>
    <row r="17" spans="1:10" x14ac:dyDescent="0.55000000000000004">
      <c r="A17" s="5">
        <f t="shared" si="0"/>
        <v>2.75</v>
      </c>
      <c r="B17" s="4">
        <f t="shared" si="1"/>
        <v>0</v>
      </c>
      <c r="C17" s="14">
        <v>1.8725146528619441E-2</v>
      </c>
      <c r="D17" s="14">
        <v>5.8243612531310917E-3</v>
      </c>
      <c r="E17" s="14">
        <v>-1.0474186979302568E-2</v>
      </c>
      <c r="F17" s="14">
        <v>-2.8028650035598013E-2</v>
      </c>
      <c r="G17" s="14">
        <v>-5.8566956413694093E-3</v>
      </c>
      <c r="H17" s="16">
        <f t="shared" si="2"/>
        <v>2</v>
      </c>
      <c r="I17" s="16">
        <f t="shared" si="2"/>
        <v>0.5</v>
      </c>
      <c r="J17" s="16">
        <v>-200</v>
      </c>
    </row>
    <row r="18" spans="1:10" x14ac:dyDescent="0.55000000000000004">
      <c r="A18" s="5">
        <f t="shared" si="0"/>
        <v>3</v>
      </c>
      <c r="B18" s="4">
        <f t="shared" si="1"/>
        <v>0</v>
      </c>
      <c r="C18" s="14">
        <v>1.6832221187794188E-2</v>
      </c>
      <c r="D18" s="14">
        <v>5.5099373171572643E-3</v>
      </c>
      <c r="E18" s="14">
        <v>-9.2502145227420316E-3</v>
      </c>
      <c r="F18" s="14">
        <v>-2.5010177173850037E-2</v>
      </c>
      <c r="G18" s="14">
        <v>-3.8482276147504598E-3</v>
      </c>
      <c r="H18" s="16">
        <f t="shared" si="2"/>
        <v>2</v>
      </c>
      <c r="I18" s="16">
        <f t="shared" si="2"/>
        <v>0.5</v>
      </c>
      <c r="J18" s="16">
        <v>-200</v>
      </c>
    </row>
    <row r="19" spans="1:10" x14ac:dyDescent="0.55000000000000004">
      <c r="A19" s="5">
        <f t="shared" si="0"/>
        <v>3.25</v>
      </c>
      <c r="B19" s="4">
        <f t="shared" si="1"/>
        <v>0</v>
      </c>
      <c r="C19" s="14">
        <v>1.4874084275922243E-2</v>
      </c>
      <c r="D19" s="14">
        <v>4.8656688588716553E-3</v>
      </c>
      <c r="E19" s="14">
        <v>-8.2922183279606609E-3</v>
      </c>
      <c r="F19" s="14">
        <v>-2.2321351030905087E-2</v>
      </c>
      <c r="G19" s="14">
        <v>-3.0923396303756314E-3</v>
      </c>
      <c r="H19" s="16">
        <f t="shared" si="2"/>
        <v>2</v>
      </c>
      <c r="I19" s="16">
        <f t="shared" si="2"/>
        <v>0.5</v>
      </c>
      <c r="J19" s="16">
        <v>-200</v>
      </c>
    </row>
    <row r="20" spans="1:10" x14ac:dyDescent="0.55000000000000004">
      <c r="A20" s="5">
        <f t="shared" si="0"/>
        <v>3.5</v>
      </c>
      <c r="B20" s="4">
        <f t="shared" si="1"/>
        <v>0</v>
      </c>
      <c r="C20" s="14">
        <v>1.3056994963782494E-2</v>
      </c>
      <c r="D20" s="14">
        <v>4.1373418471302228E-3</v>
      </c>
      <c r="E20" s="14">
        <v>-7.4954915107227687E-3</v>
      </c>
      <c r="F20" s="14">
        <v>-1.994006867188191E-2</v>
      </c>
      <c r="G20" s="14">
        <v>-3.0262054592150845E-3</v>
      </c>
      <c r="H20" s="16">
        <f t="shared" ref="H20:I35" si="3">H19</f>
        <v>2</v>
      </c>
      <c r="I20" s="16">
        <f t="shared" si="3"/>
        <v>0.5</v>
      </c>
      <c r="J20" s="16">
        <v>-200</v>
      </c>
    </row>
    <row r="21" spans="1:10" x14ac:dyDescent="0.55000000000000004">
      <c r="A21" s="5">
        <f t="shared" si="0"/>
        <v>3.75</v>
      </c>
      <c r="B21" s="4">
        <f t="shared" si="1"/>
        <v>0</v>
      </c>
      <c r="C21" s="14">
        <v>1.1482231629614079E-2</v>
      </c>
      <c r="D21" s="14">
        <v>3.4837066802973302E-3</v>
      </c>
      <c r="E21" s="14">
        <v>-6.7868540033195549E-3</v>
      </c>
      <c r="F21" s="14">
        <v>-1.7831928890185776E-2</v>
      </c>
      <c r="G21" s="14">
        <v>-3.1735091101565641E-3</v>
      </c>
      <c r="H21" s="16">
        <f t="shared" si="3"/>
        <v>2</v>
      </c>
      <c r="I21" s="16">
        <f t="shared" si="3"/>
        <v>0.5</v>
      </c>
      <c r="J21" s="16">
        <v>-200</v>
      </c>
    </row>
    <row r="22" spans="1:10" x14ac:dyDescent="0.55000000000000004">
      <c r="A22" s="5">
        <f t="shared" si="0"/>
        <v>4</v>
      </c>
      <c r="B22" s="4">
        <f t="shared" si="1"/>
        <v>0</v>
      </c>
      <c r="C22" s="14">
        <v>1.0162982093046842E-2</v>
      </c>
      <c r="D22" s="14">
        <v>2.9689423502322222E-3</v>
      </c>
      <c r="E22" s="14">
        <v>-6.1288663900075802E-3</v>
      </c>
      <c r="F22" s="14">
        <v>-1.5959850478548157E-2</v>
      </c>
      <c r="G22" s="14">
        <v>-3.2523102008152863E-3</v>
      </c>
      <c r="H22" s="16">
        <f t="shared" si="3"/>
        <v>2</v>
      </c>
      <c r="I22" s="16">
        <f t="shared" si="3"/>
        <v>0.5</v>
      </c>
      <c r="J22" s="16">
        <v>-200</v>
      </c>
    </row>
    <row r="23" spans="1:10" x14ac:dyDescent="0.55000000000000004">
      <c r="A23" s="5">
        <f t="shared" si="0"/>
        <v>4.25</v>
      </c>
      <c r="B23" s="4">
        <f t="shared" si="1"/>
        <v>0</v>
      </c>
      <c r="C23" s="14">
        <v>9.0615767848998448E-3</v>
      </c>
      <c r="D23" s="14">
        <v>2.5899610608483914E-3</v>
      </c>
      <c r="E23" s="14">
        <v>-5.5105453249841866E-3</v>
      </c>
      <c r="F23" s="14">
        <v>-1.429036744000247E-2</v>
      </c>
      <c r="G23" s="14">
        <v>-3.1634227419397799E-3</v>
      </c>
      <c r="H23" s="16">
        <f t="shared" si="3"/>
        <v>2</v>
      </c>
      <c r="I23" s="16">
        <f t="shared" si="3"/>
        <v>0.5</v>
      </c>
      <c r="J23" s="16">
        <v>-200</v>
      </c>
    </row>
    <row r="24" spans="1:10" x14ac:dyDescent="0.55000000000000004">
      <c r="A24" s="5">
        <f t="shared" si="0"/>
        <v>4.5</v>
      </c>
      <c r="B24" s="4">
        <f t="shared" si="1"/>
        <v>0</v>
      </c>
      <c r="C24" s="14">
        <v>8.1242480616431738E-3</v>
      </c>
      <c r="D24" s="14">
        <v>2.3114249818285883E-3</v>
      </c>
      <c r="E24" s="14">
        <v>-4.9346288707000415E-3</v>
      </c>
      <c r="F24" s="14">
        <v>-1.2796206122037674E-2</v>
      </c>
      <c r="G24" s="14">
        <v>-2.9256225557446692E-3</v>
      </c>
      <c r="H24" s="16">
        <f t="shared" si="3"/>
        <v>2</v>
      </c>
      <c r="I24" s="16">
        <f t="shared" si="3"/>
        <v>0.5</v>
      </c>
      <c r="J24" s="16">
        <v>-200</v>
      </c>
    </row>
    <row r="25" spans="1:10" x14ac:dyDescent="0.55000000000000004">
      <c r="A25" s="5">
        <f t="shared" si="0"/>
        <v>4.75</v>
      </c>
      <c r="B25" s="4">
        <f t="shared" si="1"/>
        <v>0</v>
      </c>
      <c r="C25" s="14">
        <v>7.3033577274832185E-3</v>
      </c>
      <c r="D25" s="14">
        <v>2.0930402290846822E-3</v>
      </c>
      <c r="E25" s="14">
        <v>-4.4073069714275683E-3</v>
      </c>
      <c r="F25" s="14">
        <v>-1.1456173950436663E-2</v>
      </c>
      <c r="G25" s="14">
        <v>-2.6065695623039057E-3</v>
      </c>
      <c r="H25" s="16">
        <f t="shared" si="3"/>
        <v>2</v>
      </c>
      <c r="I25" s="16">
        <f t="shared" si="3"/>
        <v>0.5</v>
      </c>
      <c r="J25" s="16">
        <v>-200</v>
      </c>
    </row>
    <row r="26" spans="1:10" x14ac:dyDescent="0.55000000000000004">
      <c r="A26" s="5">
        <f t="shared" si="0"/>
        <v>5</v>
      </c>
      <c r="B26" s="4">
        <f t="shared" si="1"/>
        <v>0</v>
      </c>
      <c r="C26" s="14">
        <v>6.5663814169887296E-3</v>
      </c>
      <c r="D26" s="14">
        <v>1.904284838418909E-3</v>
      </c>
      <c r="E26" s="14">
        <v>-3.9324374271426576E-3</v>
      </c>
      <c r="F26" s="14">
        <v>-1.0253732659439661E-2</v>
      </c>
      <c r="G26" s="14">
        <v>-2.2741318809234448E-3</v>
      </c>
      <c r="H26" s="16">
        <f t="shared" si="3"/>
        <v>2</v>
      </c>
      <c r="I26" s="16">
        <f t="shared" si="3"/>
        <v>0.5</v>
      </c>
      <c r="J26" s="16">
        <v>-200</v>
      </c>
    </row>
    <row r="27" spans="1:10" x14ac:dyDescent="0.55000000000000004">
      <c r="A27" s="5">
        <f t="shared" si="0"/>
        <v>5.25</v>
      </c>
      <c r="B27" s="4">
        <f t="shared" si="1"/>
        <v>0</v>
      </c>
      <c r="C27" s="14">
        <v>5.8956217404241371E-3</v>
      </c>
      <c r="D27" s="14">
        <v>1.7283504105856759E-3</v>
      </c>
      <c r="E27" s="14">
        <v>-3.5097553910587091E-3</v>
      </c>
      <c r="F27" s="14">
        <v>-9.1753451831373834E-3</v>
      </c>
      <c r="G27" s="14">
        <v>-1.9732416006464342E-3</v>
      </c>
      <c r="H27" s="16">
        <f t="shared" si="3"/>
        <v>2</v>
      </c>
      <c r="I27" s="16">
        <f t="shared" si="3"/>
        <v>0.5</v>
      </c>
      <c r="J27" s="16">
        <v>-200</v>
      </c>
    </row>
    <row r="28" spans="1:10" x14ac:dyDescent="0.55000000000000004">
      <c r="A28" s="5">
        <f t="shared" si="0"/>
        <v>5.5</v>
      </c>
      <c r="B28" s="4">
        <f t="shared" si="1"/>
        <v>0</v>
      </c>
      <c r="C28" s="14">
        <v>5.283561063017821E-3</v>
      </c>
      <c r="D28" s="14">
        <v>1.5596518392450138E-3</v>
      </c>
      <c r="E28" s="14">
        <v>-3.1355450170485809E-3</v>
      </c>
      <c r="F28" s="14">
        <v>-8.2091954511229678E-3</v>
      </c>
      <c r="G28" s="14">
        <v>-1.7224277122131928E-3</v>
      </c>
      <c r="H28" s="16">
        <f t="shared" si="3"/>
        <v>2</v>
      </c>
      <c r="I28" s="16">
        <f t="shared" si="3"/>
        <v>0.5</v>
      </c>
      <c r="J28" s="16">
        <v>-200</v>
      </c>
    </row>
    <row r="29" spans="1:10" x14ac:dyDescent="0.55000000000000004">
      <c r="A29" s="5">
        <f t="shared" si="0"/>
        <v>5.75</v>
      </c>
      <c r="B29" s="4">
        <f t="shared" si="1"/>
        <v>0</v>
      </c>
      <c r="C29" s="14">
        <v>4.7276153452674103E-3</v>
      </c>
      <c r="D29" s="14">
        <v>1.399074569636551E-3</v>
      </c>
      <c r="E29" s="14">
        <v>-2.8042478008074813E-3</v>
      </c>
      <c r="F29" s="14">
        <v>-7.3444511492546122E-3</v>
      </c>
      <c r="G29" s="14">
        <v>-1.5208390780371106E-3</v>
      </c>
      <c r="H29" s="16">
        <f t="shared" si="3"/>
        <v>2</v>
      </c>
      <c r="I29" s="16">
        <f t="shared" si="3"/>
        <v>0.5</v>
      </c>
      <c r="J29" s="16">
        <v>-200</v>
      </c>
    </row>
    <row r="30" spans="1:10" x14ac:dyDescent="0.55000000000000004">
      <c r="A30" s="5">
        <f t="shared" si="0"/>
        <v>6</v>
      </c>
      <c r="B30" s="4">
        <f t="shared" si="1"/>
        <v>0</v>
      </c>
      <c r="C30" s="14">
        <v>4.2262788085797275E-3</v>
      </c>
      <c r="D30" s="14">
        <v>1.2496774342558789E-3</v>
      </c>
      <c r="E30" s="14">
        <v>-2.5099740487099656E-3</v>
      </c>
      <c r="F30" s="14">
        <v>-6.5709795767386675E-3</v>
      </c>
      <c r="G30" s="14">
        <v>-1.3579741771043551E-3</v>
      </c>
      <c r="H30" s="16">
        <f t="shared" si="3"/>
        <v>2</v>
      </c>
      <c r="I30" s="16">
        <f t="shared" si="3"/>
        <v>0.5</v>
      </c>
      <c r="J30" s="16">
        <v>-200</v>
      </c>
    </row>
    <row r="31" spans="1:10" x14ac:dyDescent="0.55000000000000004">
      <c r="A31" s="5">
        <f t="shared" si="0"/>
        <v>6.25</v>
      </c>
      <c r="B31" s="4">
        <f t="shared" si="1"/>
        <v>0</v>
      </c>
      <c r="C31" s="14">
        <v>3.7771591071942036E-3</v>
      </c>
      <c r="D31" s="14">
        <v>1.1140080169181883E-3</v>
      </c>
      <c r="E31" s="14">
        <v>-2.2474663986113805E-3</v>
      </c>
      <c r="F31" s="14">
        <v>-5.8793306933095507E-3</v>
      </c>
      <c r="G31" s="14">
        <v>-1.2215246253673799E-3</v>
      </c>
      <c r="H31" s="16">
        <f t="shared" si="3"/>
        <v>2</v>
      </c>
      <c r="I31" s="16">
        <f t="shared" si="3"/>
        <v>0.5</v>
      </c>
      <c r="J31" s="16">
        <v>-200</v>
      </c>
    </row>
    <row r="32" spans="1:10" x14ac:dyDescent="0.55000000000000004">
      <c r="A32" s="5">
        <f t="shared" si="0"/>
        <v>6.5</v>
      </c>
      <c r="B32" s="4">
        <f t="shared" si="1"/>
        <v>0</v>
      </c>
      <c r="C32" s="14">
        <v>3.3765276289478424E-3</v>
      </c>
      <c r="D32" s="14">
        <v>9.9304113509351912E-4</v>
      </c>
      <c r="E32" s="14">
        <v>-2.0124653444882636E-3</v>
      </c>
      <c r="F32" s="14">
        <v>-5.2608172287532742E-3</v>
      </c>
      <c r="G32" s="14">
        <v>-1.1017692431067481E-3</v>
      </c>
      <c r="H32" s="16">
        <f t="shared" si="3"/>
        <v>2</v>
      </c>
      <c r="I32" s="16">
        <f t="shared" si="3"/>
        <v>0.5</v>
      </c>
      <c r="J32" s="16">
        <v>-200</v>
      </c>
    </row>
    <row r="33" spans="1:10" x14ac:dyDescent="0.55000000000000004">
      <c r="A33" s="5">
        <f t="shared" si="0"/>
        <v>6.75</v>
      </c>
      <c r="B33" s="4">
        <f t="shared" si="1"/>
        <v>0</v>
      </c>
      <c r="C33" s="14">
        <v>3.0197187977127338E-3</v>
      </c>
      <c r="D33" s="14">
        <v>8.8625044063312785E-4</v>
      </c>
      <c r="E33" s="14">
        <v>-1.8016765541309652E-3</v>
      </c>
      <c r="F33" s="14">
        <v>-4.7075811385084978E-3</v>
      </c>
      <c r="G33" s="14">
        <v>-9.9287601411608413E-4</v>
      </c>
      <c r="H33" s="16">
        <f t="shared" si="3"/>
        <v>2</v>
      </c>
      <c r="I33" s="16">
        <f t="shared" si="3"/>
        <v>0.5</v>
      </c>
      <c r="J33" s="16">
        <v>-200</v>
      </c>
    </row>
    <row r="34" spans="1:10" x14ac:dyDescent="0.55000000000000004">
      <c r="A34" s="5">
        <f t="shared" si="0"/>
        <v>7</v>
      </c>
      <c r="B34" s="4">
        <f t="shared" si="1"/>
        <v>0</v>
      </c>
      <c r="C34" s="14">
        <v>2.7017818677136738E-3</v>
      </c>
      <c r="D34" s="14">
        <v>7.9215256727383269E-4</v>
      </c>
      <c r="E34" s="14">
        <v>-1.6125142579144253E-3</v>
      </c>
      <c r="F34" s="14">
        <v>-4.2126051049880889E-3</v>
      </c>
      <c r="G34" s="14">
        <v>-8.9232572901385906E-4</v>
      </c>
      <c r="H34" s="16">
        <f t="shared" si="3"/>
        <v>2</v>
      </c>
      <c r="I34" s="16">
        <f t="shared" si="3"/>
        <v>0.5</v>
      </c>
      <c r="J34" s="16">
        <v>-200</v>
      </c>
    </row>
    <row r="35" spans="1:10" x14ac:dyDescent="0.55000000000000004">
      <c r="A35" s="5">
        <f t="shared" si="0"/>
        <v>7.25</v>
      </c>
      <c r="B35" s="4">
        <f t="shared" si="1"/>
        <v>0</v>
      </c>
      <c r="C35" s="14">
        <v>2.4180307908794681E-3</v>
      </c>
      <c r="D35" s="14">
        <v>7.0896662553190785E-4</v>
      </c>
      <c r="E35" s="14">
        <v>-1.4428737902038838E-3</v>
      </c>
      <c r="F35" s="14">
        <v>-3.7696636492412891E-3</v>
      </c>
      <c r="G35" s="14">
        <v>-7.9957701647237044E-4</v>
      </c>
      <c r="H35" s="16">
        <f t="shared" si="3"/>
        <v>2</v>
      </c>
      <c r="I35" s="16">
        <f t="shared" si="3"/>
        <v>0.5</v>
      </c>
      <c r="J35" s="16">
        <v>-200</v>
      </c>
    </row>
    <row r="36" spans="1:10" x14ac:dyDescent="0.55000000000000004">
      <c r="A36" s="5">
        <f t="shared" si="0"/>
        <v>7.5</v>
      </c>
      <c r="B36" s="4">
        <f t="shared" si="1"/>
        <v>0</v>
      </c>
      <c r="C36" s="14">
        <v>2.1643397898926647E-3</v>
      </c>
      <c r="D36" s="14">
        <v>6.3497632105012582E-4</v>
      </c>
      <c r="E36" s="14">
        <v>-1.2908665408912859E-3</v>
      </c>
      <c r="F36" s="14">
        <v>-3.3732460519150615E-3</v>
      </c>
      <c r="G36" s="14">
        <v>-7.1488331800278158E-4</v>
      </c>
      <c r="H36" s="16">
        <f t="shared" ref="H36:I51" si="4">H35</f>
        <v>2</v>
      </c>
      <c r="I36" s="16">
        <f t="shared" si="4"/>
        <v>0.5</v>
      </c>
      <c r="J36" s="16">
        <v>-200</v>
      </c>
    </row>
    <row r="37" spans="1:10" x14ac:dyDescent="0.55000000000000004">
      <c r="A37" s="5">
        <f t="shared" si="0"/>
        <v>7.75</v>
      </c>
      <c r="B37" s="4">
        <f t="shared" si="1"/>
        <v>0</v>
      </c>
      <c r="C37" s="14">
        <v>1.937230557975121E-3</v>
      </c>
      <c r="D37" s="14">
        <v>5.6887792851146874E-4</v>
      </c>
      <c r="E37" s="14">
        <v>-1.1548313263833113E-3</v>
      </c>
      <c r="F37" s="14">
        <v>-3.0184548936766742E-3</v>
      </c>
      <c r="G37" s="14">
        <v>-6.3840479420080481E-4</v>
      </c>
      <c r="H37" s="16">
        <f t="shared" si="4"/>
        <v>2</v>
      </c>
      <c r="I37" s="16">
        <f t="shared" si="4"/>
        <v>0.5</v>
      </c>
      <c r="J37" s="16">
        <v>-200</v>
      </c>
    </row>
    <row r="38" spans="1:10" x14ac:dyDescent="0.55000000000000004">
      <c r="A38" s="5">
        <f t="shared" si="0"/>
        <v>8</v>
      </c>
      <c r="B38" s="4">
        <f t="shared" si="1"/>
        <v>0</v>
      </c>
      <c r="C38" s="14">
        <v>1.7337783758262463E-3</v>
      </c>
      <c r="D38" s="14">
        <v>5.0954235045461973E-4</v>
      </c>
      <c r="E38" s="14">
        <v>-1.0330635412754746E-3</v>
      </c>
      <c r="F38" s="14">
        <v>-2.7009351417048577E-3</v>
      </c>
      <c r="G38" s="14">
        <v>-5.7003759812095675E-4</v>
      </c>
      <c r="H38" s="16">
        <f t="shared" si="4"/>
        <v>2</v>
      </c>
      <c r="I38" s="16">
        <f t="shared" si="4"/>
        <v>0.5</v>
      </c>
      <c r="J38" s="16">
        <v>-200</v>
      </c>
    </row>
    <row r="39" spans="1:10" x14ac:dyDescent="0.55000000000000004">
      <c r="A39" s="5">
        <f t="shared" si="0"/>
        <v>8.25</v>
      </c>
      <c r="B39" s="4">
        <f t="shared" si="1"/>
        <v>0</v>
      </c>
      <c r="C39" s="14">
        <v>1.5515288861948303E-3</v>
      </c>
      <c r="D39" s="14">
        <v>4.5643449185268491E-4</v>
      </c>
      <c r="E39" s="14">
        <v>-9.2424014180668467E-4</v>
      </c>
      <c r="F39" s="14">
        <v>-2.4167718746846791E-3</v>
      </c>
      <c r="G39" s="14">
        <v>-5.0909155538769865E-4</v>
      </c>
      <c r="H39" s="16">
        <f t="shared" si="4"/>
        <v>2</v>
      </c>
      <c r="I39" s="16">
        <f t="shared" si="4"/>
        <v>0.5</v>
      </c>
      <c r="J39" s="16">
        <v>-200</v>
      </c>
    </row>
    <row r="40" spans="1:10" x14ac:dyDescent="0.55000000000000004">
      <c r="A40" s="5">
        <f t="shared" si="0"/>
        <v>8.5</v>
      </c>
      <c r="B40" s="4">
        <f t="shared" si="1"/>
        <v>0</v>
      </c>
      <c r="C40" s="14">
        <v>1.3882938646177911E-3</v>
      </c>
      <c r="D40" s="14">
        <v>4.0860477684076361E-4</v>
      </c>
      <c r="E40" s="14">
        <v>-8.2663741022803629E-4</v>
      </c>
      <c r="F40" s="14">
        <v>-2.162487976047389E-3</v>
      </c>
      <c r="G40" s="14">
        <v>-4.5500909455670516E-4</v>
      </c>
      <c r="H40" s="16">
        <f t="shared" si="4"/>
        <v>2</v>
      </c>
      <c r="I40" s="16">
        <f t="shared" si="4"/>
        <v>0.5</v>
      </c>
      <c r="J40" s="16">
        <v>-200</v>
      </c>
    </row>
    <row r="41" spans="1:10" x14ac:dyDescent="0.55000000000000004">
      <c r="A41" s="5">
        <f t="shared" si="0"/>
        <v>8.75</v>
      </c>
      <c r="B41" s="4">
        <f t="shared" si="1"/>
        <v>0</v>
      </c>
      <c r="C41" s="14">
        <v>1.2422141984702465E-3</v>
      </c>
      <c r="D41" s="14">
        <v>3.6630978071997445E-4</v>
      </c>
      <c r="E41" s="14">
        <v>-7.396151881442453E-4</v>
      </c>
      <c r="F41" s="14">
        <v>-1.9348961779383264E-3</v>
      </c>
      <c r="G41" s="14">
        <v>-4.0645690916477241E-4</v>
      </c>
      <c r="H41" s="16">
        <f t="shared" si="4"/>
        <v>2</v>
      </c>
      <c r="I41" s="16">
        <f t="shared" si="4"/>
        <v>0.5</v>
      </c>
      <c r="J41" s="16">
        <v>-200</v>
      </c>
    </row>
    <row r="42" spans="1:10" x14ac:dyDescent="0.55000000000000004">
      <c r="A42" s="5">
        <f t="shared" si="0"/>
        <v>9</v>
      </c>
      <c r="B42" s="4">
        <f t="shared" si="1"/>
        <v>0</v>
      </c>
      <c r="C42" s="14">
        <v>1.1114251084615315E-3</v>
      </c>
      <c r="D42" s="14">
        <v>3.2780944284797864E-4</v>
      </c>
      <c r="E42" s="14">
        <v>-6.6086616122318766E-4</v>
      </c>
      <c r="F42" s="14">
        <v>-1.7312526720675589E-3</v>
      </c>
      <c r="G42" s="14">
        <v>-3.6343963987088714E-4</v>
      </c>
      <c r="H42" s="16">
        <f t="shared" si="4"/>
        <v>2</v>
      </c>
      <c r="I42" s="16">
        <f t="shared" si="4"/>
        <v>0.5</v>
      </c>
      <c r="J42" s="16">
        <v>-200</v>
      </c>
    </row>
    <row r="43" spans="1:10" x14ac:dyDescent="0.55000000000000004">
      <c r="A43" s="5">
        <f t="shared" si="0"/>
        <v>9.25</v>
      </c>
      <c r="B43" s="4">
        <f t="shared" si="1"/>
        <v>0</v>
      </c>
      <c r="C43" s="14">
        <v>9.9455833789269298E-4</v>
      </c>
      <c r="D43" s="14">
        <v>2.9523376903980926E-4</v>
      </c>
      <c r="E43" s="14">
        <v>-5.9151398538213147E-4</v>
      </c>
      <c r="F43" s="14">
        <v>-1.5488688923678956E-3</v>
      </c>
      <c r="G43" s="14">
        <v>-3.2363448142117777E-4</v>
      </c>
      <c r="H43" s="16">
        <f t="shared" si="4"/>
        <v>2</v>
      </c>
      <c r="I43" s="16">
        <f t="shared" si="4"/>
        <v>0.5</v>
      </c>
      <c r="J43" s="16">
        <v>-200</v>
      </c>
    </row>
    <row r="44" spans="1:10" x14ac:dyDescent="0.55000000000000004">
      <c r="A44" s="5">
        <f t="shared" si="0"/>
        <v>9.5</v>
      </c>
      <c r="B44" s="4">
        <f t="shared" si="1"/>
        <v>0</v>
      </c>
      <c r="C44" s="14">
        <v>8.8975348370589269E-4</v>
      </c>
      <c r="D44" s="14">
        <v>2.6365577798789574E-4</v>
      </c>
      <c r="E44" s="14">
        <v>-5.2657946009126392E-4</v>
      </c>
      <c r="F44" s="14">
        <v>-1.3857416720358744E-3</v>
      </c>
      <c r="G44" s="14">
        <v>-2.892978173645809E-4</v>
      </c>
      <c r="H44" s="16">
        <f t="shared" si="4"/>
        <v>2</v>
      </c>
      <c r="I44" s="16">
        <f t="shared" si="4"/>
        <v>0.5</v>
      </c>
      <c r="J44" s="16">
        <v>-200</v>
      </c>
    </row>
    <row r="45" spans="1:10" x14ac:dyDescent="0.55000000000000004">
      <c r="A45" s="5">
        <f t="shared" si="0"/>
        <v>9.75</v>
      </c>
      <c r="B45" s="4">
        <f t="shared" si="1"/>
        <v>0</v>
      </c>
      <c r="C45" s="14">
        <v>7.9647550966075906E-4</v>
      </c>
      <c r="D45" s="14">
        <v>2.4146492051439956E-4</v>
      </c>
      <c r="E45" s="14">
        <v>-4.7265020476774656E-4</v>
      </c>
      <c r="F45" s="14">
        <v>-1.2392930787063498E-3</v>
      </c>
      <c r="G45" s="14">
        <v>-2.5436264175067571E-4</v>
      </c>
      <c r="H45" s="16">
        <f t="shared" si="4"/>
        <v>2</v>
      </c>
      <c r="I45" s="16">
        <f t="shared" si="4"/>
        <v>0.5</v>
      </c>
      <c r="J45" s="16">
        <v>-200</v>
      </c>
    </row>
    <row r="46" spans="1:10" x14ac:dyDescent="0.55000000000000004">
      <c r="A46" s="5">
        <f t="shared" si="0"/>
        <v>10</v>
      </c>
      <c r="B46" s="4">
        <f t="shared" si="1"/>
        <v>0</v>
      </c>
      <c r="C46" s="14">
        <v>7.1211833106328375E-4</v>
      </c>
      <c r="D46" s="14">
        <v>2.1253407769896917E-4</v>
      </c>
      <c r="E46" s="14">
        <v>-4.1491979140851189E-4</v>
      </c>
      <c r="F46" s="14">
        <v>-1.1086286346298712E-3</v>
      </c>
      <c r="G46" s="14">
        <v>-2.2831124743486367E-4</v>
      </c>
      <c r="H46" s="16">
        <f t="shared" si="4"/>
        <v>2</v>
      </c>
      <c r="I46" s="16">
        <f t="shared" si="4"/>
        <v>0.5</v>
      </c>
      <c r="J46" s="16">
        <v>-200</v>
      </c>
    </row>
    <row r="47" spans="1:10" x14ac:dyDescent="0.55000000000000004">
      <c r="A47" s="5">
        <f t="shared" si="0"/>
        <v>10.25</v>
      </c>
      <c r="B47" s="4">
        <f t="shared" si="1"/>
        <v>0</v>
      </c>
      <c r="C47" s="14">
        <v>6.3830405849438004E-4</v>
      </c>
      <c r="D47" s="14">
        <v>2.0670833165313527E-4</v>
      </c>
      <c r="E47" s="14">
        <v>-3.7841494645787495E-4</v>
      </c>
      <c r="F47" s="14">
        <v>-9.9024830766440068E-4</v>
      </c>
      <c r="G47" s="14">
        <v>-1.9158293745325297E-4</v>
      </c>
      <c r="H47" s="16">
        <f t="shared" si="4"/>
        <v>2</v>
      </c>
      <c r="I47" s="16">
        <f t="shared" si="4"/>
        <v>0.5</v>
      </c>
      <c r="J47" s="16">
        <v>-200</v>
      </c>
    </row>
    <row r="48" spans="1:10" x14ac:dyDescent="0.55000000000000004">
      <c r="A48" s="5">
        <f t="shared" si="0"/>
        <v>10.5</v>
      </c>
      <c r="B48" s="4">
        <f t="shared" si="1"/>
        <v>0</v>
      </c>
      <c r="C48" s="14">
        <v>5.6913406420518663E-4</v>
      </c>
      <c r="D48" s="14">
        <v>1.6877660263944487E-4</v>
      </c>
      <c r="E48" s="14">
        <v>-3.139529060730407E-4</v>
      </c>
      <c r="F48" s="14">
        <v>-8.8593606573705451E-4</v>
      </c>
      <c r="G48" s="14">
        <v>-1.7834240208850901E-4</v>
      </c>
      <c r="H48" s="16">
        <f t="shared" si="4"/>
        <v>2</v>
      </c>
      <c r="I48" s="16">
        <f t="shared" si="4"/>
        <v>0.5</v>
      </c>
      <c r="J48" s="16">
        <v>-200</v>
      </c>
    </row>
    <row r="49" spans="1:10" x14ac:dyDescent="0.55000000000000004">
      <c r="A49" s="5">
        <f t="shared" si="0"/>
        <v>10.75</v>
      </c>
      <c r="B49" s="4">
        <f t="shared" si="1"/>
        <v>0</v>
      </c>
      <c r="C49" s="14">
        <v>5.1301486577016086E-4</v>
      </c>
      <c r="D49" s="14">
        <v>2.0243333865907975E-4</v>
      </c>
      <c r="E49" s="14">
        <v>-3.101710958375821E-4</v>
      </c>
      <c r="F49" s="14">
        <v>-7.8798281934140235E-4</v>
      </c>
      <c r="G49" s="14">
        <v>-1.2224193805720934E-4</v>
      </c>
      <c r="H49" s="16">
        <f t="shared" si="4"/>
        <v>2</v>
      </c>
      <c r="I49" s="16">
        <f t="shared" si="4"/>
        <v>0.5</v>
      </c>
      <c r="J49" s="16">
        <v>-200</v>
      </c>
    </row>
    <row r="50" spans="1:10" x14ac:dyDescent="0.55000000000000004">
      <c r="A50" s="5">
        <f t="shared" si="0"/>
        <v>11</v>
      </c>
      <c r="B50" s="4">
        <f t="shared" si="1"/>
        <v>0</v>
      </c>
      <c r="C50" s="14">
        <v>4.5201270425745331E-4</v>
      </c>
      <c r="D50" s="14">
        <v>1.1660431755945803E-4</v>
      </c>
      <c r="E50" s="14">
        <v>-1.9880541013106993E-4</v>
      </c>
      <c r="F50" s="14">
        <v>-7.0656997702032499E-4</v>
      </c>
      <c r="G50" s="14">
        <v>-1.4308891659863403E-4</v>
      </c>
      <c r="H50" s="16">
        <f t="shared" si="4"/>
        <v>2</v>
      </c>
      <c r="I50" s="16">
        <f t="shared" si="4"/>
        <v>0.5</v>
      </c>
      <c r="J50" s="16">
        <v>-200</v>
      </c>
    </row>
    <row r="51" spans="1:10" x14ac:dyDescent="0.55000000000000004">
      <c r="A51" s="5">
        <f t="shared" si="0"/>
        <v>11.25</v>
      </c>
      <c r="B51" s="4">
        <f t="shared" si="1"/>
        <v>0</v>
      </c>
      <c r="C51" s="14">
        <v>4.1744458408882093E-4</v>
      </c>
      <c r="D51" s="14">
        <v>2.6991630553317172E-4</v>
      </c>
      <c r="E51" s="14">
        <v>-2.8880743740439209E-4</v>
      </c>
      <c r="F51" s="14">
        <v>-6.1868621159051032E-4</v>
      </c>
      <c r="G51" s="14">
        <v>-1.3038494003519955E-5</v>
      </c>
      <c r="H51" s="16">
        <f t="shared" si="4"/>
        <v>2</v>
      </c>
      <c r="I51" s="16">
        <f t="shared" si="4"/>
        <v>0.5</v>
      </c>
      <c r="J51" s="16">
        <v>-200</v>
      </c>
    </row>
    <row r="52" spans="1:10" x14ac:dyDescent="0.55000000000000004">
      <c r="A52" s="5">
        <f t="shared" si="0"/>
        <v>11.5</v>
      </c>
      <c r="B52" s="4">
        <f t="shared" si="1"/>
        <v>0</v>
      </c>
      <c r="C52" s="14">
        <v>0</v>
      </c>
      <c r="D52" s="14">
        <v>0</v>
      </c>
      <c r="E52" s="14">
        <v>0</v>
      </c>
      <c r="F52" s="14">
        <v>0</v>
      </c>
      <c r="G52" s="14">
        <v>0</v>
      </c>
      <c r="H52" s="16">
        <f t="shared" ref="H52:I53" si="5">H51</f>
        <v>2</v>
      </c>
      <c r="I52" s="16">
        <f t="shared" si="5"/>
        <v>0.5</v>
      </c>
      <c r="J52" s="16">
        <v>-200</v>
      </c>
    </row>
    <row r="53" spans="1:10" hidden="1" x14ac:dyDescent="0.55000000000000004">
      <c r="A53" s="5">
        <f t="shared" si="0"/>
        <v>11.75</v>
      </c>
      <c r="B53" s="4">
        <f t="shared" si="1"/>
        <v>0</v>
      </c>
      <c r="C53" s="14">
        <v>0</v>
      </c>
      <c r="D53" s="14">
        <v>1.5</v>
      </c>
      <c r="E53" s="14">
        <v>1.5</v>
      </c>
      <c r="F53" s="14">
        <v>1.5</v>
      </c>
      <c r="G53" s="14">
        <v>0</v>
      </c>
      <c r="H53" s="16">
        <f t="shared" si="5"/>
        <v>2</v>
      </c>
      <c r="I53" s="16">
        <f t="shared" si="5"/>
        <v>0.5</v>
      </c>
      <c r="J53" s="16">
        <v>-200</v>
      </c>
    </row>
    <row r="54" spans="1:10" hidden="1" x14ac:dyDescent="0.55000000000000004">
      <c r="A54" s="5">
        <f t="shared" si="0"/>
        <v>12</v>
      </c>
      <c r="B54" s="4">
        <f t="shared" si="1"/>
        <v>0</v>
      </c>
      <c r="C54" s="14" t="e">
        <f>#REF!</f>
        <v>#REF!</v>
      </c>
      <c r="D54" s="14" t="e">
        <f>#REF!+1.5</f>
        <v>#REF!</v>
      </c>
      <c r="E54" s="14" t="e">
        <f>#REF!+1.5</f>
        <v>#REF!</v>
      </c>
      <c r="F54" s="14" t="e">
        <f>#REF!+1.5</f>
        <v>#REF!</v>
      </c>
      <c r="G54" s="14" t="e">
        <f>#REF!</f>
        <v>#REF!</v>
      </c>
    </row>
    <row r="55" spans="1:10" hidden="1" x14ac:dyDescent="0.55000000000000004">
      <c r="A55" s="5">
        <f t="shared" si="0"/>
        <v>12.25</v>
      </c>
      <c r="B55" s="4">
        <f t="shared" si="1"/>
        <v>0</v>
      </c>
      <c r="C55" s="14" t="e">
        <f>#REF!</f>
        <v>#REF!</v>
      </c>
      <c r="D55" s="14" t="e">
        <f>#REF!+1.5</f>
        <v>#REF!</v>
      </c>
      <c r="E55" s="14" t="e">
        <f>#REF!+1.5</f>
        <v>#REF!</v>
      </c>
      <c r="F55" s="14" t="e">
        <f>#REF!+1.5</f>
        <v>#REF!</v>
      </c>
      <c r="G55" s="14" t="e">
        <f>#REF!</f>
        <v>#REF!</v>
      </c>
    </row>
    <row r="56" spans="1:10" hidden="1" x14ac:dyDescent="0.55000000000000004">
      <c r="A56" s="5">
        <f t="shared" si="0"/>
        <v>12.5</v>
      </c>
      <c r="B56" s="4">
        <f t="shared" si="1"/>
        <v>0</v>
      </c>
      <c r="C56" s="14" t="e">
        <f>#REF!</f>
        <v>#REF!</v>
      </c>
      <c r="D56" s="14" t="e">
        <f>#REF!+1.5</f>
        <v>#REF!</v>
      </c>
      <c r="E56" s="14" t="e">
        <f>#REF!+1.5</f>
        <v>#REF!</v>
      </c>
      <c r="F56" s="14" t="e">
        <f>#REF!+1.5</f>
        <v>#REF!</v>
      </c>
      <c r="G56" s="14" t="e">
        <f>#REF!</f>
        <v>#REF!</v>
      </c>
    </row>
    <row r="57" spans="1:10" hidden="1" x14ac:dyDescent="0.55000000000000004">
      <c r="A57" s="5">
        <f t="shared" si="0"/>
        <v>12.75</v>
      </c>
      <c r="B57" s="4">
        <f t="shared" si="1"/>
        <v>0</v>
      </c>
      <c r="C57" s="14" t="e">
        <f>#REF!</f>
        <v>#REF!</v>
      </c>
      <c r="D57" s="14" t="e">
        <f>#REF!+1.5</f>
        <v>#REF!</v>
      </c>
      <c r="E57" s="14" t="e">
        <f>#REF!+1.5</f>
        <v>#REF!</v>
      </c>
      <c r="F57" s="14" t="e">
        <f>#REF!+1.5</f>
        <v>#REF!</v>
      </c>
      <c r="G57" s="14" t="e">
        <f>#REF!</f>
        <v>#REF!</v>
      </c>
    </row>
    <row r="58" spans="1:10" hidden="1" x14ac:dyDescent="0.55000000000000004">
      <c r="A58" s="5">
        <f t="shared" si="0"/>
        <v>13</v>
      </c>
      <c r="B58" s="4">
        <f t="shared" si="1"/>
        <v>0</v>
      </c>
      <c r="C58" s="14" t="e">
        <f>#REF!</f>
        <v>#REF!</v>
      </c>
      <c r="D58" s="14" t="e">
        <f>#REF!+1.5</f>
        <v>#REF!</v>
      </c>
      <c r="E58" s="14" t="e">
        <f>#REF!+1.5</f>
        <v>#REF!</v>
      </c>
      <c r="F58" s="14" t="e">
        <f>#REF!+1.5</f>
        <v>#REF!</v>
      </c>
      <c r="G58" s="14" t="e">
        <f>#REF!</f>
        <v>#REF!</v>
      </c>
    </row>
    <row r="59" spans="1:10" hidden="1" x14ac:dyDescent="0.55000000000000004">
      <c r="A59" s="5">
        <f t="shared" si="0"/>
        <v>13.25</v>
      </c>
      <c r="B59" s="4">
        <f t="shared" si="1"/>
        <v>0</v>
      </c>
      <c r="C59" s="14" t="e">
        <f>#REF!</f>
        <v>#REF!</v>
      </c>
      <c r="D59" s="14" t="e">
        <f>#REF!+1.5</f>
        <v>#REF!</v>
      </c>
      <c r="E59" s="14" t="e">
        <f>#REF!+1.5</f>
        <v>#REF!</v>
      </c>
      <c r="F59" s="14" t="e">
        <f>#REF!+1.5</f>
        <v>#REF!</v>
      </c>
      <c r="G59" s="14" t="e">
        <f>#REF!</f>
        <v>#REF!</v>
      </c>
    </row>
    <row r="60" spans="1:10" hidden="1" x14ac:dyDescent="0.55000000000000004">
      <c r="A60" s="5">
        <f t="shared" si="0"/>
        <v>13.5</v>
      </c>
      <c r="B60" s="4">
        <f t="shared" si="1"/>
        <v>0</v>
      </c>
      <c r="C60" s="14" t="e">
        <f>#REF!</f>
        <v>#REF!</v>
      </c>
      <c r="D60" s="14" t="e">
        <f>#REF!+1.5</f>
        <v>#REF!</v>
      </c>
      <c r="E60" s="14" t="e">
        <f>#REF!+1.5</f>
        <v>#REF!</v>
      </c>
      <c r="F60" s="14" t="e">
        <f>#REF!+1.5</f>
        <v>#REF!</v>
      </c>
      <c r="G60" s="14" t="e">
        <f>#REF!</f>
        <v>#REF!</v>
      </c>
    </row>
    <row r="61" spans="1:10" hidden="1" x14ac:dyDescent="0.55000000000000004">
      <c r="A61" s="5">
        <f t="shared" si="0"/>
        <v>13.75</v>
      </c>
      <c r="B61" s="4">
        <f t="shared" si="1"/>
        <v>0</v>
      </c>
      <c r="C61" s="14" t="e">
        <f>#REF!</f>
        <v>#REF!</v>
      </c>
      <c r="D61" s="14" t="e">
        <f>#REF!+1.5</f>
        <v>#REF!</v>
      </c>
      <c r="E61" s="14" t="e">
        <f>#REF!+1.5</f>
        <v>#REF!</v>
      </c>
      <c r="F61" s="14" t="e">
        <f>#REF!+1.5</f>
        <v>#REF!</v>
      </c>
      <c r="G61" s="14" t="e">
        <f>#REF!</f>
        <v>#REF!</v>
      </c>
    </row>
    <row r="62" spans="1:10" hidden="1" x14ac:dyDescent="0.55000000000000004">
      <c r="A62" s="5">
        <f t="shared" si="0"/>
        <v>14</v>
      </c>
      <c r="B62" s="4">
        <f t="shared" si="1"/>
        <v>0</v>
      </c>
      <c r="C62" s="14" t="e">
        <f>#REF!</f>
        <v>#REF!</v>
      </c>
      <c r="D62" s="14" t="e">
        <f>#REF!+1.5</f>
        <v>#REF!</v>
      </c>
      <c r="E62" s="14" t="e">
        <f>#REF!+1.5</f>
        <v>#REF!</v>
      </c>
      <c r="F62" s="14" t="e">
        <f>#REF!+1.5</f>
        <v>#REF!</v>
      </c>
      <c r="G62" s="14" t="e">
        <f>#REF!</f>
        <v>#REF!</v>
      </c>
    </row>
    <row r="63" spans="1:10" hidden="1" x14ac:dyDescent="0.55000000000000004">
      <c r="A63" s="5">
        <f t="shared" si="0"/>
        <v>14.25</v>
      </c>
      <c r="B63" s="4">
        <f t="shared" si="1"/>
        <v>0</v>
      </c>
      <c r="C63" s="14" t="e">
        <f>#REF!</f>
        <v>#REF!</v>
      </c>
      <c r="D63" s="14" t="e">
        <f>#REF!+1.5</f>
        <v>#REF!</v>
      </c>
      <c r="E63" s="14" t="e">
        <f>#REF!+1.5</f>
        <v>#REF!</v>
      </c>
      <c r="F63" s="14" t="e">
        <f>#REF!+1.5</f>
        <v>#REF!</v>
      </c>
      <c r="G63" s="14" t="e">
        <f>#REF!</f>
        <v>#REF!</v>
      </c>
    </row>
    <row r="64" spans="1:10" hidden="1" x14ac:dyDescent="0.55000000000000004">
      <c r="A64" s="5">
        <f t="shared" si="0"/>
        <v>14.5</v>
      </c>
      <c r="B64" s="4">
        <f t="shared" si="1"/>
        <v>0</v>
      </c>
      <c r="C64" s="14" t="e">
        <f>#REF!</f>
        <v>#REF!</v>
      </c>
      <c r="D64" s="14" t="e">
        <f>#REF!+1.5</f>
        <v>#REF!</v>
      </c>
      <c r="E64" s="14" t="e">
        <f>#REF!+1.5</f>
        <v>#REF!</v>
      </c>
      <c r="F64" s="14" t="e">
        <f>#REF!+1.5</f>
        <v>#REF!</v>
      </c>
      <c r="G64" s="14" t="e">
        <f>#REF!</f>
        <v>#REF!</v>
      </c>
    </row>
    <row r="65" spans="1:7" hidden="1" x14ac:dyDescent="0.55000000000000004">
      <c r="A65" s="5">
        <f t="shared" si="0"/>
        <v>14.75</v>
      </c>
      <c r="B65" s="4">
        <f t="shared" si="1"/>
        <v>0</v>
      </c>
      <c r="C65" s="14" t="e">
        <f>#REF!</f>
        <v>#REF!</v>
      </c>
      <c r="D65" s="14" t="e">
        <f>#REF!+1.5</f>
        <v>#REF!</v>
      </c>
      <c r="E65" s="14" t="e">
        <f>#REF!+1.5</f>
        <v>#REF!</v>
      </c>
      <c r="F65" s="14" t="e">
        <f>#REF!+1.5</f>
        <v>#REF!</v>
      </c>
      <c r="G65" s="14" t="e">
        <f>#REF!</f>
        <v>#REF!</v>
      </c>
    </row>
    <row r="66" spans="1:7" hidden="1" x14ac:dyDescent="0.55000000000000004">
      <c r="A66" s="5">
        <f t="shared" si="0"/>
        <v>15</v>
      </c>
      <c r="B66" s="4">
        <f t="shared" si="1"/>
        <v>0</v>
      </c>
      <c r="C66" s="14" t="e">
        <f>#REF!</f>
        <v>#REF!</v>
      </c>
      <c r="D66" s="14" t="e">
        <f>#REF!+1.5</f>
        <v>#REF!</v>
      </c>
      <c r="E66" s="14" t="e">
        <f>#REF!+1.5</f>
        <v>#REF!</v>
      </c>
      <c r="F66" s="14" t="e">
        <f>#REF!+1.5</f>
        <v>#REF!</v>
      </c>
      <c r="G66" s="14" t="e">
        <f>#REF!</f>
        <v>#REF!</v>
      </c>
    </row>
    <row r="67" spans="1:7" hidden="1" x14ac:dyDescent="0.55000000000000004">
      <c r="A67" s="5">
        <f t="shared" si="0"/>
        <v>15.25</v>
      </c>
      <c r="B67" s="4">
        <f t="shared" si="1"/>
        <v>0</v>
      </c>
      <c r="C67" s="14" t="e">
        <f>#REF!</f>
        <v>#REF!</v>
      </c>
      <c r="D67" s="14" t="e">
        <f>#REF!+1.5</f>
        <v>#REF!</v>
      </c>
      <c r="E67" s="14" t="e">
        <f>#REF!+1.5</f>
        <v>#REF!</v>
      </c>
      <c r="F67" s="14" t="e">
        <f>#REF!+1.5</f>
        <v>#REF!</v>
      </c>
      <c r="G67" s="14" t="e">
        <f>#REF!</f>
        <v>#REF!</v>
      </c>
    </row>
    <row r="68" spans="1:7" hidden="1" x14ac:dyDescent="0.55000000000000004">
      <c r="A68" s="5">
        <f t="shared" ref="A68:A131" si="6">A67+0.25</f>
        <v>15.5</v>
      </c>
      <c r="B68" s="4">
        <f t="shared" ref="B68:B131" si="7">B67</f>
        <v>0</v>
      </c>
      <c r="C68" s="14" t="e">
        <f>#REF!</f>
        <v>#REF!</v>
      </c>
      <c r="D68" s="14" t="e">
        <f>#REF!+1.5</f>
        <v>#REF!</v>
      </c>
      <c r="E68" s="14" t="e">
        <f>#REF!+1.5</f>
        <v>#REF!</v>
      </c>
      <c r="F68" s="14" t="e">
        <f>#REF!+1.5</f>
        <v>#REF!</v>
      </c>
      <c r="G68" s="14" t="e">
        <f>#REF!</f>
        <v>#REF!</v>
      </c>
    </row>
    <row r="69" spans="1:7" hidden="1" x14ac:dyDescent="0.55000000000000004">
      <c r="A69" s="5">
        <f t="shared" si="6"/>
        <v>15.75</v>
      </c>
      <c r="B69" s="4">
        <f t="shared" si="7"/>
        <v>0</v>
      </c>
      <c r="C69" s="14" t="e">
        <f>#REF!</f>
        <v>#REF!</v>
      </c>
      <c r="D69" s="14" t="e">
        <f>#REF!+1.5</f>
        <v>#REF!</v>
      </c>
      <c r="E69" s="14" t="e">
        <f>#REF!+1.5</f>
        <v>#REF!</v>
      </c>
      <c r="F69" s="14" t="e">
        <f>#REF!+1.5</f>
        <v>#REF!</v>
      </c>
      <c r="G69" s="14" t="e">
        <f>#REF!</f>
        <v>#REF!</v>
      </c>
    </row>
    <row r="70" spans="1:7" hidden="1" x14ac:dyDescent="0.55000000000000004">
      <c r="A70" s="5">
        <f t="shared" si="6"/>
        <v>16</v>
      </c>
      <c r="B70" s="4">
        <f t="shared" si="7"/>
        <v>0</v>
      </c>
      <c r="C70" s="14" t="e">
        <f>#REF!</f>
        <v>#REF!</v>
      </c>
      <c r="D70" s="14" t="e">
        <f>#REF!+1.5</f>
        <v>#REF!</v>
      </c>
      <c r="E70" s="14" t="e">
        <f>#REF!+1.5</f>
        <v>#REF!</v>
      </c>
      <c r="F70" s="14" t="e">
        <f>#REF!+1.5</f>
        <v>#REF!</v>
      </c>
      <c r="G70" s="14" t="e">
        <f>#REF!</f>
        <v>#REF!</v>
      </c>
    </row>
    <row r="71" spans="1:7" hidden="1" x14ac:dyDescent="0.55000000000000004">
      <c r="A71" s="5">
        <f t="shared" si="6"/>
        <v>16.25</v>
      </c>
      <c r="B71" s="4">
        <f t="shared" si="7"/>
        <v>0</v>
      </c>
      <c r="C71" s="14" t="e">
        <f>#REF!</f>
        <v>#REF!</v>
      </c>
      <c r="D71" s="14" t="e">
        <f>#REF!+1.5</f>
        <v>#REF!</v>
      </c>
      <c r="E71" s="14" t="e">
        <f>#REF!+1.5</f>
        <v>#REF!</v>
      </c>
      <c r="F71" s="14" t="e">
        <f>#REF!+1.5</f>
        <v>#REF!</v>
      </c>
      <c r="G71" s="14" t="e">
        <f>#REF!</f>
        <v>#REF!</v>
      </c>
    </row>
    <row r="72" spans="1:7" hidden="1" x14ac:dyDescent="0.55000000000000004">
      <c r="A72" s="5">
        <f t="shared" si="6"/>
        <v>16.5</v>
      </c>
      <c r="B72" s="4">
        <f t="shared" si="7"/>
        <v>0</v>
      </c>
      <c r="C72" s="14" t="e">
        <f>#REF!</f>
        <v>#REF!</v>
      </c>
      <c r="D72" s="14" t="e">
        <f>#REF!+1.5</f>
        <v>#REF!</v>
      </c>
      <c r="E72" s="14" t="e">
        <f>#REF!+1.5</f>
        <v>#REF!</v>
      </c>
      <c r="F72" s="14" t="e">
        <f>#REF!+1.5</f>
        <v>#REF!</v>
      </c>
      <c r="G72" s="14" t="e">
        <f>#REF!</f>
        <v>#REF!</v>
      </c>
    </row>
    <row r="73" spans="1:7" hidden="1" x14ac:dyDescent="0.55000000000000004">
      <c r="A73" s="5">
        <f t="shared" si="6"/>
        <v>16.75</v>
      </c>
      <c r="B73" s="4">
        <f t="shared" si="7"/>
        <v>0</v>
      </c>
      <c r="C73" s="14" t="e">
        <f>#REF!</f>
        <v>#REF!</v>
      </c>
      <c r="D73" s="14" t="e">
        <f>#REF!+1.5</f>
        <v>#REF!</v>
      </c>
      <c r="E73" s="14" t="e">
        <f>#REF!+1.5</f>
        <v>#REF!</v>
      </c>
      <c r="F73" s="14" t="e">
        <f>#REF!+1.5</f>
        <v>#REF!</v>
      </c>
      <c r="G73" s="14" t="e">
        <f>#REF!</f>
        <v>#REF!</v>
      </c>
    </row>
    <row r="74" spans="1:7" hidden="1" x14ac:dyDescent="0.55000000000000004">
      <c r="A74" s="5">
        <f t="shared" si="6"/>
        <v>17</v>
      </c>
      <c r="B74" s="4">
        <f t="shared" si="7"/>
        <v>0</v>
      </c>
      <c r="C74" s="14" t="e">
        <f>#REF!</f>
        <v>#REF!</v>
      </c>
      <c r="D74" s="14" t="e">
        <f>#REF!+1.5</f>
        <v>#REF!</v>
      </c>
      <c r="E74" s="14" t="e">
        <f>#REF!+1.5</f>
        <v>#REF!</v>
      </c>
      <c r="F74" s="14" t="e">
        <f>#REF!+1.5</f>
        <v>#REF!</v>
      </c>
      <c r="G74" s="14" t="e">
        <f>#REF!</f>
        <v>#REF!</v>
      </c>
    </row>
    <row r="75" spans="1:7" hidden="1" x14ac:dyDescent="0.55000000000000004">
      <c r="A75" s="5">
        <f t="shared" si="6"/>
        <v>17.25</v>
      </c>
      <c r="B75" s="4">
        <f t="shared" si="7"/>
        <v>0</v>
      </c>
      <c r="C75" s="14" t="e">
        <f>#REF!</f>
        <v>#REF!</v>
      </c>
      <c r="D75" s="14" t="e">
        <f>#REF!+1.5</f>
        <v>#REF!</v>
      </c>
      <c r="E75" s="14" t="e">
        <f>#REF!+1.5</f>
        <v>#REF!</v>
      </c>
      <c r="F75" s="14" t="e">
        <f>#REF!+1.5</f>
        <v>#REF!</v>
      </c>
      <c r="G75" s="14" t="e">
        <f>#REF!</f>
        <v>#REF!</v>
      </c>
    </row>
    <row r="76" spans="1:7" hidden="1" x14ac:dyDescent="0.55000000000000004">
      <c r="A76" s="5">
        <f t="shared" si="6"/>
        <v>17.5</v>
      </c>
      <c r="B76" s="4">
        <f t="shared" si="7"/>
        <v>0</v>
      </c>
      <c r="C76" s="14" t="e">
        <f>#REF!</f>
        <v>#REF!</v>
      </c>
      <c r="D76" s="14" t="e">
        <f>#REF!+1.5</f>
        <v>#REF!</v>
      </c>
      <c r="E76" s="14" t="e">
        <f>#REF!+1.5</f>
        <v>#REF!</v>
      </c>
      <c r="F76" s="14" t="e">
        <f>#REF!+1.5</f>
        <v>#REF!</v>
      </c>
      <c r="G76" s="14" t="e">
        <f>#REF!</f>
        <v>#REF!</v>
      </c>
    </row>
    <row r="77" spans="1:7" hidden="1" x14ac:dyDescent="0.55000000000000004">
      <c r="A77" s="5">
        <f t="shared" si="6"/>
        <v>17.75</v>
      </c>
      <c r="B77" s="4">
        <f t="shared" si="7"/>
        <v>0</v>
      </c>
      <c r="C77" s="14" t="e">
        <f>#REF!</f>
        <v>#REF!</v>
      </c>
      <c r="D77" s="14" t="e">
        <f>#REF!+1.5</f>
        <v>#REF!</v>
      </c>
      <c r="E77" s="14" t="e">
        <f>#REF!+1.5</f>
        <v>#REF!</v>
      </c>
      <c r="F77" s="14" t="e">
        <f>#REF!+1.5</f>
        <v>#REF!</v>
      </c>
      <c r="G77" s="14" t="e">
        <f>#REF!</f>
        <v>#REF!</v>
      </c>
    </row>
    <row r="78" spans="1:7" hidden="1" x14ac:dyDescent="0.55000000000000004">
      <c r="A78" s="5">
        <f t="shared" si="6"/>
        <v>18</v>
      </c>
      <c r="B78" s="4">
        <f t="shared" si="7"/>
        <v>0</v>
      </c>
      <c r="C78" s="14" t="e">
        <f>#REF!</f>
        <v>#REF!</v>
      </c>
      <c r="D78" s="14" t="e">
        <f>#REF!+1.5</f>
        <v>#REF!</v>
      </c>
      <c r="E78" s="14" t="e">
        <f>#REF!+1.5</f>
        <v>#REF!</v>
      </c>
      <c r="F78" s="14" t="e">
        <f>#REF!+1.5</f>
        <v>#REF!</v>
      </c>
      <c r="G78" s="14" t="e">
        <f>#REF!</f>
        <v>#REF!</v>
      </c>
    </row>
    <row r="79" spans="1:7" hidden="1" x14ac:dyDescent="0.55000000000000004">
      <c r="A79" s="5">
        <f t="shared" si="6"/>
        <v>18.25</v>
      </c>
      <c r="B79" s="4">
        <f t="shared" si="7"/>
        <v>0</v>
      </c>
      <c r="C79" s="14" t="e">
        <f>#REF!</f>
        <v>#REF!</v>
      </c>
      <c r="D79" s="14" t="e">
        <f>#REF!+1.5</f>
        <v>#REF!</v>
      </c>
      <c r="E79" s="14" t="e">
        <f>#REF!+1.5</f>
        <v>#REF!</v>
      </c>
      <c r="F79" s="14" t="e">
        <f>#REF!+1.5</f>
        <v>#REF!</v>
      </c>
      <c r="G79" s="14" t="e">
        <f>#REF!</f>
        <v>#REF!</v>
      </c>
    </row>
    <row r="80" spans="1:7" hidden="1" x14ac:dyDescent="0.55000000000000004">
      <c r="A80" s="5">
        <f t="shared" si="6"/>
        <v>18.5</v>
      </c>
      <c r="B80" s="4">
        <f t="shared" si="7"/>
        <v>0</v>
      </c>
      <c r="C80" s="14" t="e">
        <f>#REF!</f>
        <v>#REF!</v>
      </c>
      <c r="D80" s="14" t="e">
        <f>#REF!+1.5</f>
        <v>#REF!</v>
      </c>
      <c r="E80" s="14" t="e">
        <f>#REF!+1.5</f>
        <v>#REF!</v>
      </c>
      <c r="F80" s="14" t="e">
        <f>#REF!+1.5</f>
        <v>#REF!</v>
      </c>
      <c r="G80" s="14" t="e">
        <f>#REF!</f>
        <v>#REF!</v>
      </c>
    </row>
    <row r="81" spans="1:7" hidden="1" x14ac:dyDescent="0.55000000000000004">
      <c r="A81" s="5">
        <f t="shared" si="6"/>
        <v>18.75</v>
      </c>
      <c r="B81" s="4">
        <f t="shared" si="7"/>
        <v>0</v>
      </c>
      <c r="C81" s="14" t="e">
        <f>#REF!</f>
        <v>#REF!</v>
      </c>
      <c r="D81" s="14" t="e">
        <f>#REF!+1.5</f>
        <v>#REF!</v>
      </c>
      <c r="E81" s="14" t="e">
        <f>#REF!+1.5</f>
        <v>#REF!</v>
      </c>
      <c r="F81" s="14" t="e">
        <f>#REF!+1.5</f>
        <v>#REF!</v>
      </c>
      <c r="G81" s="14" t="e">
        <f>#REF!</f>
        <v>#REF!</v>
      </c>
    </row>
    <row r="82" spans="1:7" hidden="1" x14ac:dyDescent="0.55000000000000004">
      <c r="A82" s="5">
        <f t="shared" si="6"/>
        <v>19</v>
      </c>
      <c r="B82" s="4">
        <f t="shared" si="7"/>
        <v>0</v>
      </c>
      <c r="C82" s="14" t="e">
        <f>#REF!</f>
        <v>#REF!</v>
      </c>
      <c r="D82" s="14" t="e">
        <f>#REF!+1.5</f>
        <v>#REF!</v>
      </c>
      <c r="E82" s="14" t="e">
        <f>#REF!+1.5</f>
        <v>#REF!</v>
      </c>
      <c r="F82" s="14" t="e">
        <f>#REF!+1.5</f>
        <v>#REF!</v>
      </c>
      <c r="G82" s="14" t="e">
        <f>#REF!</f>
        <v>#REF!</v>
      </c>
    </row>
    <row r="83" spans="1:7" hidden="1" x14ac:dyDescent="0.55000000000000004">
      <c r="A83" s="5">
        <f t="shared" si="6"/>
        <v>19.25</v>
      </c>
      <c r="B83" s="4">
        <f t="shared" si="7"/>
        <v>0</v>
      </c>
      <c r="C83" s="14" t="e">
        <f>#REF!</f>
        <v>#REF!</v>
      </c>
      <c r="D83" s="14" t="e">
        <f>#REF!+1.5</f>
        <v>#REF!</v>
      </c>
      <c r="E83" s="14" t="e">
        <f>#REF!+1.5</f>
        <v>#REF!</v>
      </c>
      <c r="F83" s="14" t="e">
        <f>#REF!+1.5</f>
        <v>#REF!</v>
      </c>
      <c r="G83" s="14" t="e">
        <f>#REF!</f>
        <v>#REF!</v>
      </c>
    </row>
    <row r="84" spans="1:7" hidden="1" x14ac:dyDescent="0.55000000000000004">
      <c r="A84" s="5">
        <f t="shared" si="6"/>
        <v>19.5</v>
      </c>
      <c r="B84" s="4">
        <f t="shared" si="7"/>
        <v>0</v>
      </c>
      <c r="C84" s="14" t="e">
        <f>#REF!</f>
        <v>#REF!</v>
      </c>
      <c r="D84" s="14" t="e">
        <f>#REF!+1.5</f>
        <v>#REF!</v>
      </c>
      <c r="E84" s="14" t="e">
        <f>#REF!+1.5</f>
        <v>#REF!</v>
      </c>
      <c r="F84" s="14" t="e">
        <f>#REF!+1.5</f>
        <v>#REF!</v>
      </c>
      <c r="G84" s="14" t="e">
        <f>#REF!</f>
        <v>#REF!</v>
      </c>
    </row>
    <row r="85" spans="1:7" hidden="1" x14ac:dyDescent="0.55000000000000004">
      <c r="A85" s="5">
        <f t="shared" si="6"/>
        <v>19.75</v>
      </c>
      <c r="B85" s="4">
        <f t="shared" si="7"/>
        <v>0</v>
      </c>
      <c r="C85" s="14" t="e">
        <f>#REF!</f>
        <v>#REF!</v>
      </c>
      <c r="D85" s="14" t="e">
        <f>#REF!+1.5</f>
        <v>#REF!</v>
      </c>
      <c r="E85" s="14" t="e">
        <f>#REF!+1.5</f>
        <v>#REF!</v>
      </c>
      <c r="F85" s="14" t="e">
        <f>#REF!+1.5</f>
        <v>#REF!</v>
      </c>
      <c r="G85" s="14" t="e">
        <f>#REF!</f>
        <v>#REF!</v>
      </c>
    </row>
    <row r="86" spans="1:7" hidden="1" x14ac:dyDescent="0.55000000000000004">
      <c r="A86" s="5">
        <f t="shared" si="6"/>
        <v>20</v>
      </c>
      <c r="B86" s="4">
        <f t="shared" si="7"/>
        <v>0</v>
      </c>
      <c r="C86" s="14" t="e">
        <f>#REF!</f>
        <v>#REF!</v>
      </c>
      <c r="D86" s="14" t="e">
        <f>#REF!+1.5</f>
        <v>#REF!</v>
      </c>
      <c r="E86" s="14" t="e">
        <f>#REF!+1.5</f>
        <v>#REF!</v>
      </c>
      <c r="F86" s="14" t="e">
        <f>#REF!+1.5</f>
        <v>#REF!</v>
      </c>
      <c r="G86" s="14" t="e">
        <f>#REF!</f>
        <v>#REF!</v>
      </c>
    </row>
    <row r="87" spans="1:7" hidden="1" x14ac:dyDescent="0.55000000000000004">
      <c r="A87" s="5">
        <f t="shared" si="6"/>
        <v>20.25</v>
      </c>
      <c r="B87" s="4">
        <f t="shared" si="7"/>
        <v>0</v>
      </c>
      <c r="C87" s="14" t="e">
        <f>#REF!</f>
        <v>#REF!</v>
      </c>
      <c r="D87" s="14" t="e">
        <f>#REF!+1.5</f>
        <v>#REF!</v>
      </c>
      <c r="E87" s="14" t="e">
        <f>#REF!+1.5</f>
        <v>#REF!</v>
      </c>
      <c r="F87" s="14" t="e">
        <f>#REF!+1.5</f>
        <v>#REF!</v>
      </c>
      <c r="G87" s="14" t="e">
        <f>#REF!</f>
        <v>#REF!</v>
      </c>
    </row>
    <row r="88" spans="1:7" hidden="1" x14ac:dyDescent="0.55000000000000004">
      <c r="A88" s="5">
        <f t="shared" si="6"/>
        <v>20.5</v>
      </c>
      <c r="B88" s="4">
        <f t="shared" si="7"/>
        <v>0</v>
      </c>
      <c r="C88" s="14" t="e">
        <f>#REF!</f>
        <v>#REF!</v>
      </c>
      <c r="D88" s="14" t="e">
        <f>#REF!+1.5</f>
        <v>#REF!</v>
      </c>
      <c r="E88" s="14" t="e">
        <f>#REF!+1.5</f>
        <v>#REF!</v>
      </c>
      <c r="F88" s="14" t="e">
        <f>#REF!+1.5</f>
        <v>#REF!</v>
      </c>
      <c r="G88" s="14" t="e">
        <f>#REF!</f>
        <v>#REF!</v>
      </c>
    </row>
    <row r="89" spans="1:7" hidden="1" x14ac:dyDescent="0.55000000000000004">
      <c r="A89" s="5">
        <f t="shared" si="6"/>
        <v>20.75</v>
      </c>
      <c r="B89" s="4">
        <f t="shared" si="7"/>
        <v>0</v>
      </c>
      <c r="C89" s="14" t="e">
        <f>#REF!</f>
        <v>#REF!</v>
      </c>
      <c r="D89" s="14" t="e">
        <f>#REF!+1.5</f>
        <v>#REF!</v>
      </c>
      <c r="E89" s="14" t="e">
        <f>#REF!+1.5</f>
        <v>#REF!</v>
      </c>
      <c r="F89" s="14" t="e">
        <f>#REF!+1.5</f>
        <v>#REF!</v>
      </c>
      <c r="G89" s="14" t="e">
        <f>#REF!</f>
        <v>#REF!</v>
      </c>
    </row>
    <row r="90" spans="1:7" hidden="1" x14ac:dyDescent="0.55000000000000004">
      <c r="A90" s="5">
        <f t="shared" si="6"/>
        <v>21</v>
      </c>
      <c r="B90" s="4">
        <f t="shared" si="7"/>
        <v>0</v>
      </c>
      <c r="C90" s="14" t="e">
        <f>#REF!</f>
        <v>#REF!</v>
      </c>
      <c r="D90" s="14" t="e">
        <f>#REF!+1.5</f>
        <v>#REF!</v>
      </c>
      <c r="E90" s="14" t="e">
        <f>#REF!+1.5</f>
        <v>#REF!</v>
      </c>
      <c r="F90" s="14" t="e">
        <f>#REF!+1.5</f>
        <v>#REF!</v>
      </c>
      <c r="G90" s="14" t="e">
        <f>#REF!</f>
        <v>#REF!</v>
      </c>
    </row>
    <row r="91" spans="1:7" hidden="1" x14ac:dyDescent="0.55000000000000004">
      <c r="A91" s="5">
        <f t="shared" si="6"/>
        <v>21.25</v>
      </c>
      <c r="B91" s="4">
        <f t="shared" si="7"/>
        <v>0</v>
      </c>
      <c r="C91" s="14" t="e">
        <f>#REF!</f>
        <v>#REF!</v>
      </c>
      <c r="D91" s="14" t="e">
        <f>#REF!+1.5</f>
        <v>#REF!</v>
      </c>
      <c r="E91" s="14" t="e">
        <f>#REF!+1.5</f>
        <v>#REF!</v>
      </c>
      <c r="F91" s="14" t="e">
        <f>#REF!+1.5</f>
        <v>#REF!</v>
      </c>
      <c r="G91" s="14" t="e">
        <f>#REF!</f>
        <v>#REF!</v>
      </c>
    </row>
    <row r="92" spans="1:7" hidden="1" x14ac:dyDescent="0.55000000000000004">
      <c r="A92" s="5">
        <f t="shared" si="6"/>
        <v>21.5</v>
      </c>
      <c r="B92" s="4">
        <f t="shared" si="7"/>
        <v>0</v>
      </c>
      <c r="C92" s="14" t="e">
        <f>#REF!</f>
        <v>#REF!</v>
      </c>
      <c r="D92" s="14" t="e">
        <f>#REF!+1.5</f>
        <v>#REF!</v>
      </c>
      <c r="E92" s="14" t="e">
        <f>#REF!+1.5</f>
        <v>#REF!</v>
      </c>
      <c r="F92" s="14" t="e">
        <f>#REF!+1.5</f>
        <v>#REF!</v>
      </c>
      <c r="G92" s="14" t="e">
        <f>#REF!</f>
        <v>#REF!</v>
      </c>
    </row>
    <row r="93" spans="1:7" hidden="1" x14ac:dyDescent="0.55000000000000004">
      <c r="A93" s="5">
        <f t="shared" si="6"/>
        <v>21.75</v>
      </c>
      <c r="B93" s="4">
        <f t="shared" si="7"/>
        <v>0</v>
      </c>
      <c r="C93" s="14" t="e">
        <f>#REF!</f>
        <v>#REF!</v>
      </c>
      <c r="D93" s="14" t="e">
        <f>#REF!+1.5</f>
        <v>#REF!</v>
      </c>
      <c r="E93" s="14" t="e">
        <f>#REF!+1.5</f>
        <v>#REF!</v>
      </c>
      <c r="F93" s="14" t="e">
        <f>#REF!+1.5</f>
        <v>#REF!</v>
      </c>
      <c r="G93" s="14" t="e">
        <f>#REF!</f>
        <v>#REF!</v>
      </c>
    </row>
    <row r="94" spans="1:7" hidden="1" x14ac:dyDescent="0.55000000000000004">
      <c r="A94" s="5">
        <f t="shared" si="6"/>
        <v>22</v>
      </c>
      <c r="B94" s="4">
        <f t="shared" si="7"/>
        <v>0</v>
      </c>
      <c r="C94" s="14" t="e">
        <f>#REF!</f>
        <v>#REF!</v>
      </c>
      <c r="D94" s="14" t="e">
        <f>#REF!+1.5</f>
        <v>#REF!</v>
      </c>
      <c r="E94" s="14" t="e">
        <f>#REF!+1.5</f>
        <v>#REF!</v>
      </c>
      <c r="F94" s="14" t="e">
        <f>#REF!+1.5</f>
        <v>#REF!</v>
      </c>
      <c r="G94" s="14" t="e">
        <f>#REF!</f>
        <v>#REF!</v>
      </c>
    </row>
    <row r="95" spans="1:7" hidden="1" x14ac:dyDescent="0.55000000000000004">
      <c r="A95" s="5">
        <f t="shared" si="6"/>
        <v>22.25</v>
      </c>
      <c r="B95" s="4">
        <f t="shared" si="7"/>
        <v>0</v>
      </c>
      <c r="C95" s="14" t="e">
        <f>#REF!</f>
        <v>#REF!</v>
      </c>
      <c r="D95" s="14" t="e">
        <f>#REF!+1.5</f>
        <v>#REF!</v>
      </c>
      <c r="E95" s="14" t="e">
        <f>#REF!+1.5</f>
        <v>#REF!</v>
      </c>
      <c r="F95" s="14" t="e">
        <f>#REF!+1.5</f>
        <v>#REF!</v>
      </c>
      <c r="G95" s="14" t="e">
        <f>#REF!</f>
        <v>#REF!</v>
      </c>
    </row>
    <row r="96" spans="1:7" hidden="1" x14ac:dyDescent="0.55000000000000004">
      <c r="A96" s="5">
        <f t="shared" si="6"/>
        <v>22.5</v>
      </c>
      <c r="B96" s="4">
        <f t="shared" si="7"/>
        <v>0</v>
      </c>
      <c r="C96" s="14" t="e">
        <f>#REF!</f>
        <v>#REF!</v>
      </c>
      <c r="D96" s="14" t="e">
        <f>#REF!+1.5</f>
        <v>#REF!</v>
      </c>
      <c r="E96" s="14" t="e">
        <f>#REF!+1.5</f>
        <v>#REF!</v>
      </c>
      <c r="F96" s="14" t="e">
        <f>#REF!+1.5</f>
        <v>#REF!</v>
      </c>
      <c r="G96" s="14" t="e">
        <f>#REF!</f>
        <v>#REF!</v>
      </c>
    </row>
    <row r="97" spans="1:7" hidden="1" x14ac:dyDescent="0.55000000000000004">
      <c r="A97" s="5">
        <f t="shared" si="6"/>
        <v>22.75</v>
      </c>
      <c r="B97" s="4">
        <f t="shared" si="7"/>
        <v>0</v>
      </c>
      <c r="C97" s="14" t="e">
        <f>#REF!</f>
        <v>#REF!</v>
      </c>
      <c r="D97" s="14" t="e">
        <f>#REF!+1.5</f>
        <v>#REF!</v>
      </c>
      <c r="E97" s="14" t="e">
        <f>#REF!+1.5</f>
        <v>#REF!</v>
      </c>
      <c r="F97" s="14" t="e">
        <f>#REF!+1.5</f>
        <v>#REF!</v>
      </c>
      <c r="G97" s="14" t="e">
        <f>#REF!</f>
        <v>#REF!</v>
      </c>
    </row>
    <row r="98" spans="1:7" hidden="1" x14ac:dyDescent="0.55000000000000004">
      <c r="A98" s="5">
        <f t="shared" si="6"/>
        <v>23</v>
      </c>
      <c r="B98" s="4">
        <f t="shared" si="7"/>
        <v>0</v>
      </c>
      <c r="C98" s="14" t="e">
        <f>#REF!</f>
        <v>#REF!</v>
      </c>
      <c r="D98" s="14" t="e">
        <f>#REF!+1.5</f>
        <v>#REF!</v>
      </c>
      <c r="E98" s="14" t="e">
        <f>#REF!+1.5</f>
        <v>#REF!</v>
      </c>
      <c r="F98" s="14" t="e">
        <f>#REF!+1.5</f>
        <v>#REF!</v>
      </c>
      <c r="G98" s="14" t="e">
        <f>#REF!</f>
        <v>#REF!</v>
      </c>
    </row>
    <row r="99" spans="1:7" hidden="1" x14ac:dyDescent="0.55000000000000004">
      <c r="A99" s="5">
        <f t="shared" si="6"/>
        <v>23.25</v>
      </c>
      <c r="B99" s="4">
        <f t="shared" si="7"/>
        <v>0</v>
      </c>
      <c r="C99" s="14" t="e">
        <f>#REF!</f>
        <v>#REF!</v>
      </c>
      <c r="D99" s="14" t="e">
        <f>#REF!+1.5</f>
        <v>#REF!</v>
      </c>
      <c r="E99" s="14" t="e">
        <f>#REF!+1.5</f>
        <v>#REF!</v>
      </c>
      <c r="F99" s="14" t="e">
        <f>#REF!+1.5</f>
        <v>#REF!</v>
      </c>
      <c r="G99" s="14" t="e">
        <f>#REF!</f>
        <v>#REF!</v>
      </c>
    </row>
    <row r="100" spans="1:7" hidden="1" x14ac:dyDescent="0.55000000000000004">
      <c r="A100" s="5">
        <f t="shared" si="6"/>
        <v>23.5</v>
      </c>
      <c r="B100" s="4">
        <f t="shared" si="7"/>
        <v>0</v>
      </c>
      <c r="C100" s="14" t="e">
        <f>#REF!</f>
        <v>#REF!</v>
      </c>
      <c r="D100" s="14" t="e">
        <f>#REF!+1.5</f>
        <v>#REF!</v>
      </c>
      <c r="E100" s="14" t="e">
        <f>#REF!+1.5</f>
        <v>#REF!</v>
      </c>
      <c r="F100" s="14" t="e">
        <f>#REF!+1.5</f>
        <v>#REF!</v>
      </c>
      <c r="G100" s="14" t="e">
        <f>#REF!</f>
        <v>#REF!</v>
      </c>
    </row>
    <row r="101" spans="1:7" hidden="1" x14ac:dyDescent="0.55000000000000004">
      <c r="A101" s="5">
        <f t="shared" si="6"/>
        <v>23.75</v>
      </c>
      <c r="B101" s="4">
        <f t="shared" si="7"/>
        <v>0</v>
      </c>
      <c r="C101" s="14" t="e">
        <f>#REF!</f>
        <v>#REF!</v>
      </c>
      <c r="D101" s="14" t="e">
        <f>#REF!+1.5</f>
        <v>#REF!</v>
      </c>
      <c r="E101" s="14" t="e">
        <f>#REF!+1.5</f>
        <v>#REF!</v>
      </c>
      <c r="F101" s="14" t="e">
        <f>#REF!+1.5</f>
        <v>#REF!</v>
      </c>
      <c r="G101" s="14" t="e">
        <f>#REF!</f>
        <v>#REF!</v>
      </c>
    </row>
    <row r="102" spans="1:7" hidden="1" x14ac:dyDescent="0.55000000000000004">
      <c r="A102" s="5">
        <f t="shared" si="6"/>
        <v>24</v>
      </c>
      <c r="B102" s="4">
        <f t="shared" si="7"/>
        <v>0</v>
      </c>
      <c r="C102" s="14" t="e">
        <f>#REF!</f>
        <v>#REF!</v>
      </c>
      <c r="D102" s="14" t="e">
        <f>#REF!+1.5</f>
        <v>#REF!</v>
      </c>
      <c r="E102" s="14" t="e">
        <f>#REF!+1.5</f>
        <v>#REF!</v>
      </c>
      <c r="F102" s="14" t="e">
        <f>#REF!+1.5</f>
        <v>#REF!</v>
      </c>
      <c r="G102" s="14" t="e">
        <f>#REF!</f>
        <v>#REF!</v>
      </c>
    </row>
    <row r="103" spans="1:7" hidden="1" x14ac:dyDescent="0.55000000000000004">
      <c r="A103" s="5">
        <f t="shared" si="6"/>
        <v>24.25</v>
      </c>
      <c r="B103" s="4">
        <f t="shared" si="7"/>
        <v>0</v>
      </c>
      <c r="C103" s="14" t="e">
        <f>#REF!</f>
        <v>#REF!</v>
      </c>
      <c r="D103" s="14" t="e">
        <f>#REF!+1.5</f>
        <v>#REF!</v>
      </c>
      <c r="E103" s="14" t="e">
        <f>#REF!+1.5</f>
        <v>#REF!</v>
      </c>
      <c r="F103" s="14" t="e">
        <f>#REF!+1.5</f>
        <v>#REF!</v>
      </c>
      <c r="G103" s="14" t="e">
        <f>#REF!</f>
        <v>#REF!</v>
      </c>
    </row>
    <row r="104" spans="1:7" hidden="1" x14ac:dyDescent="0.55000000000000004">
      <c r="A104" s="5">
        <f t="shared" si="6"/>
        <v>24.5</v>
      </c>
      <c r="B104" s="4">
        <f t="shared" si="7"/>
        <v>0</v>
      </c>
      <c r="C104" s="14" t="e">
        <f>#REF!</f>
        <v>#REF!</v>
      </c>
      <c r="D104" s="14" t="e">
        <f>#REF!+1.5</f>
        <v>#REF!</v>
      </c>
      <c r="E104" s="14" t="e">
        <f>#REF!+1.5</f>
        <v>#REF!</v>
      </c>
      <c r="F104" s="14" t="e">
        <f>#REF!+1.5</f>
        <v>#REF!</v>
      </c>
      <c r="G104" s="14" t="e">
        <f>#REF!</f>
        <v>#REF!</v>
      </c>
    </row>
    <row r="105" spans="1:7" hidden="1" x14ac:dyDescent="0.55000000000000004">
      <c r="A105" s="5">
        <f t="shared" si="6"/>
        <v>24.75</v>
      </c>
      <c r="B105" s="4">
        <f t="shared" si="7"/>
        <v>0</v>
      </c>
      <c r="C105" s="14" t="e">
        <f>#REF!</f>
        <v>#REF!</v>
      </c>
      <c r="D105" s="14" t="e">
        <f>#REF!+1.5</f>
        <v>#REF!</v>
      </c>
      <c r="E105" s="14" t="e">
        <f>#REF!+1.5</f>
        <v>#REF!</v>
      </c>
      <c r="F105" s="14" t="e">
        <f>#REF!+1.5</f>
        <v>#REF!</v>
      </c>
      <c r="G105" s="14" t="e">
        <f>#REF!</f>
        <v>#REF!</v>
      </c>
    </row>
    <row r="106" spans="1:7" hidden="1" x14ac:dyDescent="0.55000000000000004">
      <c r="A106" s="5">
        <f t="shared" si="6"/>
        <v>25</v>
      </c>
      <c r="B106" s="4">
        <f t="shared" si="7"/>
        <v>0</v>
      </c>
      <c r="C106" s="14" t="e">
        <f>#REF!</f>
        <v>#REF!</v>
      </c>
      <c r="D106" s="14" t="e">
        <f>#REF!+1.5</f>
        <v>#REF!</v>
      </c>
      <c r="E106" s="14" t="e">
        <f>#REF!+1.5</f>
        <v>#REF!</v>
      </c>
      <c r="F106" s="14" t="e">
        <f>#REF!+1.5</f>
        <v>#REF!</v>
      </c>
      <c r="G106" s="14" t="e">
        <f>#REF!</f>
        <v>#REF!</v>
      </c>
    </row>
    <row r="107" spans="1:7" hidden="1" x14ac:dyDescent="0.55000000000000004">
      <c r="A107" s="5">
        <f t="shared" si="6"/>
        <v>25.25</v>
      </c>
      <c r="B107" s="4">
        <f t="shared" si="7"/>
        <v>0</v>
      </c>
      <c r="C107" s="14" t="e">
        <f>#REF!</f>
        <v>#REF!</v>
      </c>
      <c r="D107" s="14" t="e">
        <f>#REF!+1.5</f>
        <v>#REF!</v>
      </c>
      <c r="E107" s="14" t="e">
        <f>#REF!+1.5</f>
        <v>#REF!</v>
      </c>
      <c r="F107" s="14" t="e">
        <f>#REF!+1.5</f>
        <v>#REF!</v>
      </c>
      <c r="G107" s="14" t="e">
        <f>#REF!</f>
        <v>#REF!</v>
      </c>
    </row>
    <row r="108" spans="1:7" hidden="1" x14ac:dyDescent="0.55000000000000004">
      <c r="A108" s="5">
        <f t="shared" si="6"/>
        <v>25.5</v>
      </c>
      <c r="B108" s="4">
        <f t="shared" si="7"/>
        <v>0</v>
      </c>
      <c r="C108" s="14" t="e">
        <f>#REF!</f>
        <v>#REF!</v>
      </c>
      <c r="D108" s="14" t="e">
        <f>#REF!+1.5</f>
        <v>#REF!</v>
      </c>
      <c r="E108" s="14" t="e">
        <f>#REF!+1.5</f>
        <v>#REF!</v>
      </c>
      <c r="F108" s="14" t="e">
        <f>#REF!+1.5</f>
        <v>#REF!</v>
      </c>
      <c r="G108" s="14" t="e">
        <f>#REF!</f>
        <v>#REF!</v>
      </c>
    </row>
    <row r="109" spans="1:7" hidden="1" x14ac:dyDescent="0.55000000000000004">
      <c r="A109" s="5">
        <f t="shared" si="6"/>
        <v>25.75</v>
      </c>
      <c r="B109" s="4">
        <f t="shared" si="7"/>
        <v>0</v>
      </c>
      <c r="C109" s="14" t="e">
        <f>#REF!</f>
        <v>#REF!</v>
      </c>
      <c r="D109" s="14" t="e">
        <f>#REF!+1.5</f>
        <v>#REF!</v>
      </c>
      <c r="E109" s="14" t="e">
        <f>#REF!+1.5</f>
        <v>#REF!</v>
      </c>
      <c r="F109" s="14" t="e">
        <f>#REF!+1.5</f>
        <v>#REF!</v>
      </c>
      <c r="G109" s="14" t="e">
        <f>#REF!</f>
        <v>#REF!</v>
      </c>
    </row>
    <row r="110" spans="1:7" hidden="1" x14ac:dyDescent="0.55000000000000004">
      <c r="A110" s="5">
        <f t="shared" si="6"/>
        <v>26</v>
      </c>
      <c r="B110" s="4">
        <f t="shared" si="7"/>
        <v>0</v>
      </c>
      <c r="C110" s="14" t="e">
        <f>#REF!</f>
        <v>#REF!</v>
      </c>
      <c r="D110" s="14" t="e">
        <f>#REF!+1.5</f>
        <v>#REF!</v>
      </c>
      <c r="E110" s="14" t="e">
        <f>#REF!+1.5</f>
        <v>#REF!</v>
      </c>
      <c r="F110" s="14" t="e">
        <f>#REF!+1.5</f>
        <v>#REF!</v>
      </c>
      <c r="G110" s="14" t="e">
        <f>#REF!</f>
        <v>#REF!</v>
      </c>
    </row>
    <row r="111" spans="1:7" hidden="1" x14ac:dyDescent="0.55000000000000004">
      <c r="A111" s="5">
        <f t="shared" si="6"/>
        <v>26.25</v>
      </c>
      <c r="B111" s="4">
        <f t="shared" si="7"/>
        <v>0</v>
      </c>
      <c r="C111" s="14" t="e">
        <f>#REF!</f>
        <v>#REF!</v>
      </c>
      <c r="D111" s="14" t="e">
        <f>#REF!+1.5</f>
        <v>#REF!</v>
      </c>
      <c r="E111" s="14" t="e">
        <f>#REF!+1.5</f>
        <v>#REF!</v>
      </c>
      <c r="F111" s="14" t="e">
        <f>#REF!+1.5</f>
        <v>#REF!</v>
      </c>
      <c r="G111" s="14" t="e">
        <f>#REF!</f>
        <v>#REF!</v>
      </c>
    </row>
    <row r="112" spans="1:7" hidden="1" x14ac:dyDescent="0.55000000000000004">
      <c r="A112" s="5">
        <f t="shared" si="6"/>
        <v>26.5</v>
      </c>
      <c r="B112" s="4">
        <f t="shared" si="7"/>
        <v>0</v>
      </c>
      <c r="C112" s="14" t="e">
        <f>#REF!</f>
        <v>#REF!</v>
      </c>
      <c r="D112" s="14" t="e">
        <f>#REF!+1.5</f>
        <v>#REF!</v>
      </c>
      <c r="E112" s="14" t="e">
        <f>#REF!+1.5</f>
        <v>#REF!</v>
      </c>
      <c r="F112" s="14" t="e">
        <f>#REF!+1.5</f>
        <v>#REF!</v>
      </c>
      <c r="G112" s="14" t="e">
        <f>#REF!</f>
        <v>#REF!</v>
      </c>
    </row>
    <row r="113" spans="1:7" hidden="1" x14ac:dyDescent="0.55000000000000004">
      <c r="A113" s="5">
        <f t="shared" si="6"/>
        <v>26.75</v>
      </c>
      <c r="B113" s="4">
        <f t="shared" si="7"/>
        <v>0</v>
      </c>
      <c r="C113" s="14" t="e">
        <f>#REF!</f>
        <v>#REF!</v>
      </c>
      <c r="D113" s="14" t="e">
        <f>#REF!+1.5</f>
        <v>#REF!</v>
      </c>
      <c r="E113" s="14" t="e">
        <f>#REF!+1.5</f>
        <v>#REF!</v>
      </c>
      <c r="F113" s="14" t="e">
        <f>#REF!+1.5</f>
        <v>#REF!</v>
      </c>
      <c r="G113" s="14" t="e">
        <f>#REF!</f>
        <v>#REF!</v>
      </c>
    </row>
    <row r="114" spans="1:7" hidden="1" x14ac:dyDescent="0.55000000000000004">
      <c r="A114" s="5">
        <f t="shared" si="6"/>
        <v>27</v>
      </c>
      <c r="B114" s="4">
        <f t="shared" si="7"/>
        <v>0</v>
      </c>
      <c r="C114" s="14" t="e">
        <f>#REF!</f>
        <v>#REF!</v>
      </c>
      <c r="D114" s="14" t="e">
        <f>#REF!+1.5</f>
        <v>#REF!</v>
      </c>
      <c r="E114" s="14" t="e">
        <f>#REF!+1.5</f>
        <v>#REF!</v>
      </c>
      <c r="F114" s="14" t="e">
        <f>#REF!+1.5</f>
        <v>#REF!</v>
      </c>
      <c r="G114" s="14" t="e">
        <f>#REF!</f>
        <v>#REF!</v>
      </c>
    </row>
    <row r="115" spans="1:7" hidden="1" x14ac:dyDescent="0.55000000000000004">
      <c r="A115" s="5">
        <f t="shared" si="6"/>
        <v>27.25</v>
      </c>
      <c r="B115" s="4">
        <f t="shared" si="7"/>
        <v>0</v>
      </c>
      <c r="C115" s="14" t="e">
        <f>#REF!</f>
        <v>#REF!</v>
      </c>
      <c r="D115" s="14" t="e">
        <f>#REF!+1.5</f>
        <v>#REF!</v>
      </c>
      <c r="E115" s="14" t="e">
        <f>#REF!+1.5</f>
        <v>#REF!</v>
      </c>
      <c r="F115" s="14" t="e">
        <f>#REF!+1.5</f>
        <v>#REF!</v>
      </c>
      <c r="G115" s="14" t="e">
        <f>#REF!</f>
        <v>#REF!</v>
      </c>
    </row>
    <row r="116" spans="1:7" hidden="1" x14ac:dyDescent="0.55000000000000004">
      <c r="A116" s="5">
        <f t="shared" si="6"/>
        <v>27.5</v>
      </c>
      <c r="B116" s="4">
        <f t="shared" si="7"/>
        <v>0</v>
      </c>
      <c r="C116" s="14" t="e">
        <f>#REF!</f>
        <v>#REF!</v>
      </c>
      <c r="D116" s="14" t="e">
        <f>#REF!+1.5</f>
        <v>#REF!</v>
      </c>
      <c r="E116" s="14" t="e">
        <f>#REF!+1.5</f>
        <v>#REF!</v>
      </c>
      <c r="F116" s="14" t="e">
        <f>#REF!+1.5</f>
        <v>#REF!</v>
      </c>
      <c r="G116" s="14" t="e">
        <f>#REF!</f>
        <v>#REF!</v>
      </c>
    </row>
    <row r="117" spans="1:7" hidden="1" x14ac:dyDescent="0.55000000000000004">
      <c r="A117" s="5">
        <f t="shared" si="6"/>
        <v>27.75</v>
      </c>
      <c r="B117" s="4">
        <f t="shared" si="7"/>
        <v>0</v>
      </c>
      <c r="C117" s="14" t="e">
        <f>#REF!</f>
        <v>#REF!</v>
      </c>
      <c r="D117" s="14" t="e">
        <f>#REF!+1.5</f>
        <v>#REF!</v>
      </c>
      <c r="E117" s="14" t="e">
        <f>#REF!+1.5</f>
        <v>#REF!</v>
      </c>
      <c r="F117" s="14" t="e">
        <f>#REF!+1.5</f>
        <v>#REF!</v>
      </c>
      <c r="G117" s="14" t="e">
        <f>#REF!</f>
        <v>#REF!</v>
      </c>
    </row>
    <row r="118" spans="1:7" hidden="1" x14ac:dyDescent="0.55000000000000004">
      <c r="A118" s="5">
        <f t="shared" si="6"/>
        <v>28</v>
      </c>
      <c r="B118" s="4">
        <f t="shared" si="7"/>
        <v>0</v>
      </c>
      <c r="C118" s="14" t="e">
        <f>#REF!</f>
        <v>#REF!</v>
      </c>
      <c r="D118" s="14" t="e">
        <f>#REF!+1.5</f>
        <v>#REF!</v>
      </c>
      <c r="E118" s="14" t="e">
        <f>#REF!+1.5</f>
        <v>#REF!</v>
      </c>
      <c r="F118" s="14" t="e">
        <f>#REF!+1.5</f>
        <v>#REF!</v>
      </c>
      <c r="G118" s="14" t="e">
        <f>#REF!</f>
        <v>#REF!</v>
      </c>
    </row>
    <row r="119" spans="1:7" hidden="1" x14ac:dyDescent="0.55000000000000004">
      <c r="A119" s="5">
        <f t="shared" si="6"/>
        <v>28.25</v>
      </c>
      <c r="B119" s="4">
        <f t="shared" si="7"/>
        <v>0</v>
      </c>
      <c r="C119" s="14" t="e">
        <f>#REF!</f>
        <v>#REF!</v>
      </c>
      <c r="D119" s="14" t="e">
        <f>#REF!+1.5</f>
        <v>#REF!</v>
      </c>
      <c r="E119" s="14" t="e">
        <f>#REF!+1.5</f>
        <v>#REF!</v>
      </c>
      <c r="F119" s="14" t="e">
        <f>#REF!+1.5</f>
        <v>#REF!</v>
      </c>
      <c r="G119" s="14" t="e">
        <f>#REF!</f>
        <v>#REF!</v>
      </c>
    </row>
    <row r="120" spans="1:7" hidden="1" x14ac:dyDescent="0.55000000000000004">
      <c r="A120" s="5">
        <f t="shared" si="6"/>
        <v>28.5</v>
      </c>
      <c r="B120" s="4">
        <f t="shared" si="7"/>
        <v>0</v>
      </c>
      <c r="C120" s="14" t="e">
        <f>#REF!</f>
        <v>#REF!</v>
      </c>
      <c r="D120" s="14" t="e">
        <f>#REF!+1.5</f>
        <v>#REF!</v>
      </c>
      <c r="E120" s="14" t="e">
        <f>#REF!+1.5</f>
        <v>#REF!</v>
      </c>
      <c r="F120" s="14" t="e">
        <f>#REF!+1.5</f>
        <v>#REF!</v>
      </c>
      <c r="G120" s="14" t="e">
        <f>#REF!</f>
        <v>#REF!</v>
      </c>
    </row>
    <row r="121" spans="1:7" hidden="1" x14ac:dyDescent="0.55000000000000004">
      <c r="A121" s="5">
        <f t="shared" si="6"/>
        <v>28.75</v>
      </c>
      <c r="B121" s="4">
        <f t="shared" si="7"/>
        <v>0</v>
      </c>
      <c r="C121" s="14" t="e">
        <f>#REF!</f>
        <v>#REF!</v>
      </c>
      <c r="D121" s="14" t="e">
        <f>#REF!+1.5</f>
        <v>#REF!</v>
      </c>
      <c r="E121" s="14" t="e">
        <f>#REF!+1.5</f>
        <v>#REF!</v>
      </c>
      <c r="F121" s="14" t="e">
        <f>#REF!+1.5</f>
        <v>#REF!</v>
      </c>
      <c r="G121" s="14" t="e">
        <f>#REF!</f>
        <v>#REF!</v>
      </c>
    </row>
    <row r="122" spans="1:7" hidden="1" x14ac:dyDescent="0.55000000000000004">
      <c r="A122" s="5">
        <f t="shared" si="6"/>
        <v>29</v>
      </c>
      <c r="B122" s="4">
        <f t="shared" si="7"/>
        <v>0</v>
      </c>
      <c r="C122" s="14" t="e">
        <f>#REF!</f>
        <v>#REF!</v>
      </c>
      <c r="D122" s="14" t="e">
        <f>#REF!+1.5</f>
        <v>#REF!</v>
      </c>
      <c r="E122" s="14" t="e">
        <f>#REF!+1.5</f>
        <v>#REF!</v>
      </c>
      <c r="F122" s="14" t="e">
        <f>#REF!+1.5</f>
        <v>#REF!</v>
      </c>
      <c r="G122" s="14" t="e">
        <f>#REF!</f>
        <v>#REF!</v>
      </c>
    </row>
    <row r="123" spans="1:7" hidden="1" x14ac:dyDescent="0.55000000000000004">
      <c r="A123" s="5">
        <f t="shared" si="6"/>
        <v>29.25</v>
      </c>
      <c r="B123" s="4">
        <f t="shared" si="7"/>
        <v>0</v>
      </c>
      <c r="C123" s="14" t="e">
        <f>#REF!</f>
        <v>#REF!</v>
      </c>
      <c r="D123" s="14" t="e">
        <f>#REF!+1.5</f>
        <v>#REF!</v>
      </c>
      <c r="E123" s="14" t="e">
        <f>#REF!+1.5</f>
        <v>#REF!</v>
      </c>
      <c r="F123" s="14" t="e">
        <f>#REF!+1.5</f>
        <v>#REF!</v>
      </c>
      <c r="G123" s="14" t="e">
        <f>#REF!</f>
        <v>#REF!</v>
      </c>
    </row>
    <row r="124" spans="1:7" hidden="1" x14ac:dyDescent="0.55000000000000004">
      <c r="A124" s="5">
        <f t="shared" si="6"/>
        <v>29.5</v>
      </c>
      <c r="B124" s="4">
        <f t="shared" si="7"/>
        <v>0</v>
      </c>
      <c r="C124" s="14" t="e">
        <f>#REF!</f>
        <v>#REF!</v>
      </c>
      <c r="D124" s="14" t="e">
        <f>#REF!+1.5</f>
        <v>#REF!</v>
      </c>
      <c r="E124" s="14" t="e">
        <f>#REF!+1.5</f>
        <v>#REF!</v>
      </c>
      <c r="F124" s="14" t="e">
        <f>#REF!+1.5</f>
        <v>#REF!</v>
      </c>
      <c r="G124" s="14" t="e">
        <f>#REF!</f>
        <v>#REF!</v>
      </c>
    </row>
    <row r="125" spans="1:7" hidden="1" x14ac:dyDescent="0.55000000000000004">
      <c r="A125" s="5">
        <f t="shared" si="6"/>
        <v>29.75</v>
      </c>
      <c r="B125" s="4">
        <f t="shared" si="7"/>
        <v>0</v>
      </c>
      <c r="C125" s="14" t="e">
        <f>#REF!</f>
        <v>#REF!</v>
      </c>
      <c r="D125" s="14" t="e">
        <f>#REF!+1.5</f>
        <v>#REF!</v>
      </c>
      <c r="E125" s="14" t="e">
        <f>#REF!+1.5</f>
        <v>#REF!</v>
      </c>
      <c r="F125" s="14" t="e">
        <f>#REF!+1.5</f>
        <v>#REF!</v>
      </c>
      <c r="G125" s="14" t="e">
        <f>#REF!</f>
        <v>#REF!</v>
      </c>
    </row>
    <row r="126" spans="1:7" hidden="1" x14ac:dyDescent="0.55000000000000004">
      <c r="A126" s="5">
        <f t="shared" si="6"/>
        <v>30</v>
      </c>
      <c r="B126" s="4">
        <f t="shared" si="7"/>
        <v>0</v>
      </c>
      <c r="C126" s="14" t="e">
        <f>#REF!</f>
        <v>#REF!</v>
      </c>
      <c r="D126" s="14" t="e">
        <f>#REF!+1.5</f>
        <v>#REF!</v>
      </c>
      <c r="E126" s="14" t="e">
        <f>#REF!+1.5</f>
        <v>#REF!</v>
      </c>
      <c r="F126" s="14" t="e">
        <f>#REF!+1.5</f>
        <v>#REF!</v>
      </c>
      <c r="G126" s="14" t="e">
        <f>#REF!</f>
        <v>#REF!</v>
      </c>
    </row>
    <row r="127" spans="1:7" hidden="1" x14ac:dyDescent="0.55000000000000004">
      <c r="A127" s="5">
        <f t="shared" si="6"/>
        <v>30.25</v>
      </c>
      <c r="B127" s="4">
        <f t="shared" si="7"/>
        <v>0</v>
      </c>
      <c r="C127" s="14" t="e">
        <f>#REF!</f>
        <v>#REF!</v>
      </c>
      <c r="D127" s="14" t="e">
        <f>#REF!+1.5</f>
        <v>#REF!</v>
      </c>
      <c r="E127" s="14" t="e">
        <f>#REF!+1.5</f>
        <v>#REF!</v>
      </c>
      <c r="F127" s="14" t="e">
        <f>#REF!+1.5</f>
        <v>#REF!</v>
      </c>
      <c r="G127" s="14" t="e">
        <f>#REF!</f>
        <v>#REF!</v>
      </c>
    </row>
    <row r="128" spans="1:7" hidden="1" x14ac:dyDescent="0.55000000000000004">
      <c r="A128" s="5">
        <f t="shared" si="6"/>
        <v>30.5</v>
      </c>
      <c r="B128" s="4">
        <f t="shared" si="7"/>
        <v>0</v>
      </c>
      <c r="C128" s="14" t="e">
        <f>#REF!</f>
        <v>#REF!</v>
      </c>
      <c r="D128" s="14" t="e">
        <f>#REF!+1.5</f>
        <v>#REF!</v>
      </c>
      <c r="E128" s="14" t="e">
        <f>#REF!+1.5</f>
        <v>#REF!</v>
      </c>
      <c r="F128" s="14" t="e">
        <f>#REF!+1.5</f>
        <v>#REF!</v>
      </c>
      <c r="G128" s="14" t="e">
        <f>#REF!</f>
        <v>#REF!</v>
      </c>
    </row>
    <row r="129" spans="1:7" hidden="1" x14ac:dyDescent="0.55000000000000004">
      <c r="A129" s="5">
        <f t="shared" si="6"/>
        <v>30.75</v>
      </c>
      <c r="B129" s="4">
        <f t="shared" si="7"/>
        <v>0</v>
      </c>
      <c r="C129" s="14" t="e">
        <f>#REF!</f>
        <v>#REF!</v>
      </c>
      <c r="D129" s="14" t="e">
        <f>#REF!+1.5</f>
        <v>#REF!</v>
      </c>
      <c r="E129" s="14" t="e">
        <f>#REF!+1.5</f>
        <v>#REF!</v>
      </c>
      <c r="F129" s="14" t="e">
        <f>#REF!+1.5</f>
        <v>#REF!</v>
      </c>
      <c r="G129" s="14" t="e">
        <f>#REF!</f>
        <v>#REF!</v>
      </c>
    </row>
    <row r="130" spans="1:7" hidden="1" x14ac:dyDescent="0.55000000000000004">
      <c r="A130" s="5">
        <f t="shared" si="6"/>
        <v>31</v>
      </c>
      <c r="B130" s="4">
        <f t="shared" si="7"/>
        <v>0</v>
      </c>
      <c r="C130" s="14" t="e">
        <f>#REF!</f>
        <v>#REF!</v>
      </c>
      <c r="D130" s="14" t="e">
        <f>#REF!+1.5</f>
        <v>#REF!</v>
      </c>
      <c r="E130" s="14" t="e">
        <f>#REF!+1.5</f>
        <v>#REF!</v>
      </c>
      <c r="F130" s="14" t="e">
        <f>#REF!+1.5</f>
        <v>#REF!</v>
      </c>
      <c r="G130" s="14" t="e">
        <f>#REF!</f>
        <v>#REF!</v>
      </c>
    </row>
    <row r="131" spans="1:7" hidden="1" x14ac:dyDescent="0.55000000000000004">
      <c r="A131" s="5">
        <f t="shared" si="6"/>
        <v>31.25</v>
      </c>
      <c r="B131" s="4">
        <f t="shared" si="7"/>
        <v>0</v>
      </c>
      <c r="C131" s="14" t="e">
        <f>#REF!</f>
        <v>#REF!</v>
      </c>
      <c r="D131" s="14" t="e">
        <f>#REF!+1.5</f>
        <v>#REF!</v>
      </c>
      <c r="E131" s="14" t="e">
        <f>#REF!+1.5</f>
        <v>#REF!</v>
      </c>
      <c r="F131" s="14" t="e">
        <f>#REF!+1.5</f>
        <v>#REF!</v>
      </c>
      <c r="G131" s="14" t="e">
        <f>#REF!</f>
        <v>#REF!</v>
      </c>
    </row>
    <row r="132" spans="1:7" hidden="1" x14ac:dyDescent="0.55000000000000004">
      <c r="A132" s="5">
        <f t="shared" ref="A132:A195" si="8">A131+0.25</f>
        <v>31.5</v>
      </c>
      <c r="B132" s="4">
        <f t="shared" ref="B132:B195" si="9">B131</f>
        <v>0</v>
      </c>
      <c r="C132" s="14" t="e">
        <f>#REF!</f>
        <v>#REF!</v>
      </c>
      <c r="D132" s="14" t="e">
        <f>#REF!+1.5</f>
        <v>#REF!</v>
      </c>
      <c r="E132" s="14" t="e">
        <f>#REF!+1.5</f>
        <v>#REF!</v>
      </c>
      <c r="F132" s="14" t="e">
        <f>#REF!+1.5</f>
        <v>#REF!</v>
      </c>
      <c r="G132" s="14" t="e">
        <f>#REF!</f>
        <v>#REF!</v>
      </c>
    </row>
    <row r="133" spans="1:7" hidden="1" x14ac:dyDescent="0.55000000000000004">
      <c r="A133" s="5">
        <f t="shared" si="8"/>
        <v>31.75</v>
      </c>
      <c r="B133" s="4">
        <f t="shared" si="9"/>
        <v>0</v>
      </c>
      <c r="C133" s="14" t="e">
        <f>#REF!</f>
        <v>#REF!</v>
      </c>
      <c r="D133" s="14" t="e">
        <f>#REF!+1.5</f>
        <v>#REF!</v>
      </c>
      <c r="E133" s="14" t="e">
        <f>#REF!+1.5</f>
        <v>#REF!</v>
      </c>
      <c r="F133" s="14" t="e">
        <f>#REF!+1.5</f>
        <v>#REF!</v>
      </c>
      <c r="G133" s="14" t="e">
        <f>#REF!</f>
        <v>#REF!</v>
      </c>
    </row>
    <row r="134" spans="1:7" hidden="1" x14ac:dyDescent="0.55000000000000004">
      <c r="A134" s="5">
        <f t="shared" si="8"/>
        <v>32</v>
      </c>
      <c r="B134" s="4">
        <f t="shared" si="9"/>
        <v>0</v>
      </c>
      <c r="C134" s="14" t="e">
        <f>#REF!</f>
        <v>#REF!</v>
      </c>
      <c r="D134" s="14" t="e">
        <f>#REF!+1.5</f>
        <v>#REF!</v>
      </c>
      <c r="E134" s="14" t="e">
        <f>#REF!+1.5</f>
        <v>#REF!</v>
      </c>
      <c r="F134" s="14" t="e">
        <f>#REF!+1.5</f>
        <v>#REF!</v>
      </c>
      <c r="G134" s="14" t="e">
        <f>#REF!</f>
        <v>#REF!</v>
      </c>
    </row>
    <row r="135" spans="1:7" hidden="1" x14ac:dyDescent="0.55000000000000004">
      <c r="A135" s="5">
        <f t="shared" si="8"/>
        <v>32.25</v>
      </c>
      <c r="B135" s="4">
        <f t="shared" si="9"/>
        <v>0</v>
      </c>
      <c r="C135" s="14" t="e">
        <f>#REF!</f>
        <v>#REF!</v>
      </c>
      <c r="D135" s="14" t="e">
        <f>#REF!+1.5</f>
        <v>#REF!</v>
      </c>
      <c r="E135" s="14" t="e">
        <f>#REF!+1.5</f>
        <v>#REF!</v>
      </c>
      <c r="F135" s="14" t="e">
        <f>#REF!+1.5</f>
        <v>#REF!</v>
      </c>
      <c r="G135" s="14" t="e">
        <f>#REF!</f>
        <v>#REF!</v>
      </c>
    </row>
    <row r="136" spans="1:7" hidden="1" x14ac:dyDescent="0.55000000000000004">
      <c r="A136" s="5">
        <f t="shared" si="8"/>
        <v>32.5</v>
      </c>
      <c r="B136" s="4">
        <f t="shared" si="9"/>
        <v>0</v>
      </c>
      <c r="C136" s="14" t="e">
        <f>#REF!</f>
        <v>#REF!</v>
      </c>
      <c r="D136" s="14" t="e">
        <f>#REF!+1.5</f>
        <v>#REF!</v>
      </c>
      <c r="E136" s="14" t="e">
        <f>#REF!+1.5</f>
        <v>#REF!</v>
      </c>
      <c r="F136" s="14" t="e">
        <f>#REF!+1.5</f>
        <v>#REF!</v>
      </c>
      <c r="G136" s="14" t="e">
        <f>#REF!</f>
        <v>#REF!</v>
      </c>
    </row>
    <row r="137" spans="1:7" hidden="1" x14ac:dyDescent="0.55000000000000004">
      <c r="A137" s="5">
        <f t="shared" si="8"/>
        <v>32.75</v>
      </c>
      <c r="B137" s="4">
        <f t="shared" si="9"/>
        <v>0</v>
      </c>
      <c r="C137" s="14" t="e">
        <f>#REF!</f>
        <v>#REF!</v>
      </c>
      <c r="D137" s="14" t="e">
        <f>#REF!+1.5</f>
        <v>#REF!</v>
      </c>
      <c r="E137" s="14" t="e">
        <f>#REF!+1.5</f>
        <v>#REF!</v>
      </c>
      <c r="F137" s="14" t="e">
        <f>#REF!+1.5</f>
        <v>#REF!</v>
      </c>
      <c r="G137" s="14" t="e">
        <f>#REF!</f>
        <v>#REF!</v>
      </c>
    </row>
    <row r="138" spans="1:7" hidden="1" x14ac:dyDescent="0.55000000000000004">
      <c r="A138" s="5">
        <f t="shared" si="8"/>
        <v>33</v>
      </c>
      <c r="B138" s="4">
        <f t="shared" si="9"/>
        <v>0</v>
      </c>
      <c r="C138" s="14" t="e">
        <f>#REF!</f>
        <v>#REF!</v>
      </c>
      <c r="D138" s="14" t="e">
        <f>#REF!+1.5</f>
        <v>#REF!</v>
      </c>
      <c r="E138" s="14" t="e">
        <f>#REF!+1.5</f>
        <v>#REF!</v>
      </c>
      <c r="F138" s="14" t="e">
        <f>#REF!+1.5</f>
        <v>#REF!</v>
      </c>
      <c r="G138" s="14" t="e">
        <f>#REF!</f>
        <v>#REF!</v>
      </c>
    </row>
    <row r="139" spans="1:7" hidden="1" x14ac:dyDescent="0.55000000000000004">
      <c r="A139" s="5">
        <f t="shared" si="8"/>
        <v>33.25</v>
      </c>
      <c r="B139" s="4">
        <f t="shared" si="9"/>
        <v>0</v>
      </c>
      <c r="C139" s="14" t="e">
        <f>#REF!</f>
        <v>#REF!</v>
      </c>
      <c r="D139" s="14" t="e">
        <f>#REF!+1.5</f>
        <v>#REF!</v>
      </c>
      <c r="E139" s="14" t="e">
        <f>#REF!+1.5</f>
        <v>#REF!</v>
      </c>
      <c r="F139" s="14" t="e">
        <f>#REF!+1.5</f>
        <v>#REF!</v>
      </c>
      <c r="G139" s="14" t="e">
        <f>#REF!</f>
        <v>#REF!</v>
      </c>
    </row>
    <row r="140" spans="1:7" hidden="1" x14ac:dyDescent="0.55000000000000004">
      <c r="A140" s="5">
        <f t="shared" si="8"/>
        <v>33.5</v>
      </c>
      <c r="B140" s="4">
        <f t="shared" si="9"/>
        <v>0</v>
      </c>
      <c r="C140" s="14" t="e">
        <f>#REF!</f>
        <v>#REF!</v>
      </c>
      <c r="D140" s="14" t="e">
        <f>#REF!+1.5</f>
        <v>#REF!</v>
      </c>
      <c r="E140" s="14" t="e">
        <f>#REF!+1.5</f>
        <v>#REF!</v>
      </c>
      <c r="F140" s="14" t="e">
        <f>#REF!+1.5</f>
        <v>#REF!</v>
      </c>
      <c r="G140" s="14" t="e">
        <f>#REF!</f>
        <v>#REF!</v>
      </c>
    </row>
    <row r="141" spans="1:7" hidden="1" x14ac:dyDescent="0.55000000000000004">
      <c r="A141" s="5">
        <f t="shared" si="8"/>
        <v>33.75</v>
      </c>
      <c r="B141" s="4">
        <f t="shared" si="9"/>
        <v>0</v>
      </c>
      <c r="C141" s="14" t="e">
        <f>#REF!</f>
        <v>#REF!</v>
      </c>
      <c r="D141" s="14" t="e">
        <f>#REF!+1.5</f>
        <v>#REF!</v>
      </c>
      <c r="E141" s="14" t="e">
        <f>#REF!+1.5</f>
        <v>#REF!</v>
      </c>
      <c r="F141" s="14" t="e">
        <f>#REF!+1.5</f>
        <v>#REF!</v>
      </c>
      <c r="G141" s="14" t="e">
        <f>#REF!</f>
        <v>#REF!</v>
      </c>
    </row>
    <row r="142" spans="1:7" hidden="1" x14ac:dyDescent="0.55000000000000004">
      <c r="A142" s="5">
        <f t="shared" si="8"/>
        <v>34</v>
      </c>
      <c r="B142" s="4">
        <f t="shared" si="9"/>
        <v>0</v>
      </c>
      <c r="C142" s="14" t="e">
        <f>#REF!</f>
        <v>#REF!</v>
      </c>
      <c r="D142" s="14" t="e">
        <f>#REF!+1.5</f>
        <v>#REF!</v>
      </c>
      <c r="E142" s="14" t="e">
        <f>#REF!+1.5</f>
        <v>#REF!</v>
      </c>
      <c r="F142" s="14" t="e">
        <f>#REF!+1.5</f>
        <v>#REF!</v>
      </c>
      <c r="G142" s="14" t="e">
        <f>#REF!</f>
        <v>#REF!</v>
      </c>
    </row>
    <row r="143" spans="1:7" hidden="1" x14ac:dyDescent="0.55000000000000004">
      <c r="A143" s="5">
        <f t="shared" si="8"/>
        <v>34.25</v>
      </c>
      <c r="B143" s="4">
        <f t="shared" si="9"/>
        <v>0</v>
      </c>
      <c r="C143" s="14" t="e">
        <f>#REF!</f>
        <v>#REF!</v>
      </c>
      <c r="D143" s="14" t="e">
        <f>#REF!+1.5</f>
        <v>#REF!</v>
      </c>
      <c r="E143" s="14" t="e">
        <f>#REF!+1.5</f>
        <v>#REF!</v>
      </c>
      <c r="F143" s="14" t="e">
        <f>#REF!+1.5</f>
        <v>#REF!</v>
      </c>
      <c r="G143" s="14" t="e">
        <f>#REF!</f>
        <v>#REF!</v>
      </c>
    </row>
    <row r="144" spans="1:7" hidden="1" x14ac:dyDescent="0.55000000000000004">
      <c r="A144" s="5">
        <f t="shared" si="8"/>
        <v>34.5</v>
      </c>
      <c r="B144" s="4">
        <f t="shared" si="9"/>
        <v>0</v>
      </c>
      <c r="C144" s="14" t="e">
        <f>#REF!</f>
        <v>#REF!</v>
      </c>
      <c r="D144" s="14" t="e">
        <f>#REF!+1.5</f>
        <v>#REF!</v>
      </c>
      <c r="E144" s="14" t="e">
        <f>#REF!+1.5</f>
        <v>#REF!</v>
      </c>
      <c r="F144" s="14" t="e">
        <f>#REF!+1.5</f>
        <v>#REF!</v>
      </c>
      <c r="G144" s="14" t="e">
        <f>#REF!</f>
        <v>#REF!</v>
      </c>
    </row>
    <row r="145" spans="1:7" hidden="1" x14ac:dyDescent="0.55000000000000004">
      <c r="A145" s="5">
        <f t="shared" si="8"/>
        <v>34.75</v>
      </c>
      <c r="B145" s="4">
        <f t="shared" si="9"/>
        <v>0</v>
      </c>
      <c r="C145" s="14" t="e">
        <f>#REF!</f>
        <v>#REF!</v>
      </c>
      <c r="D145" s="14" t="e">
        <f>#REF!+1.5</f>
        <v>#REF!</v>
      </c>
      <c r="E145" s="14" t="e">
        <f>#REF!+1.5</f>
        <v>#REF!</v>
      </c>
      <c r="F145" s="14" t="e">
        <f>#REF!+1.5</f>
        <v>#REF!</v>
      </c>
      <c r="G145" s="14" t="e">
        <f>#REF!</f>
        <v>#REF!</v>
      </c>
    </row>
    <row r="146" spans="1:7" hidden="1" x14ac:dyDescent="0.55000000000000004">
      <c r="A146" s="5">
        <f t="shared" si="8"/>
        <v>35</v>
      </c>
      <c r="B146" s="4">
        <f t="shared" si="9"/>
        <v>0</v>
      </c>
      <c r="C146" s="14" t="e">
        <f>#REF!</f>
        <v>#REF!</v>
      </c>
      <c r="D146" s="14" t="e">
        <f>#REF!+1.5</f>
        <v>#REF!</v>
      </c>
      <c r="E146" s="14" t="e">
        <f>#REF!+1.5</f>
        <v>#REF!</v>
      </c>
      <c r="F146" s="14" t="e">
        <f>#REF!+1.5</f>
        <v>#REF!</v>
      </c>
      <c r="G146" s="14" t="e">
        <f>#REF!</f>
        <v>#REF!</v>
      </c>
    </row>
    <row r="147" spans="1:7" hidden="1" x14ac:dyDescent="0.55000000000000004">
      <c r="A147" s="5">
        <f t="shared" si="8"/>
        <v>35.25</v>
      </c>
      <c r="B147" s="4">
        <f t="shared" si="9"/>
        <v>0</v>
      </c>
      <c r="C147" s="14" t="e">
        <f>#REF!</f>
        <v>#REF!</v>
      </c>
      <c r="D147" s="14" t="e">
        <f>#REF!+1.5</f>
        <v>#REF!</v>
      </c>
      <c r="E147" s="14" t="e">
        <f>#REF!+1.5</f>
        <v>#REF!</v>
      </c>
      <c r="F147" s="14" t="e">
        <f>#REF!+1.5</f>
        <v>#REF!</v>
      </c>
      <c r="G147" s="14" t="e">
        <f>#REF!</f>
        <v>#REF!</v>
      </c>
    </row>
    <row r="148" spans="1:7" hidden="1" x14ac:dyDescent="0.55000000000000004">
      <c r="A148" s="5">
        <f t="shared" si="8"/>
        <v>35.5</v>
      </c>
      <c r="B148" s="4">
        <f t="shared" si="9"/>
        <v>0</v>
      </c>
      <c r="C148" s="14" t="e">
        <f>#REF!</f>
        <v>#REF!</v>
      </c>
      <c r="D148" s="14" t="e">
        <f>#REF!+1.5</f>
        <v>#REF!</v>
      </c>
      <c r="E148" s="14" t="e">
        <f>#REF!+1.5</f>
        <v>#REF!</v>
      </c>
      <c r="F148" s="14" t="e">
        <f>#REF!+1.5</f>
        <v>#REF!</v>
      </c>
      <c r="G148" s="14" t="e">
        <f>#REF!</f>
        <v>#REF!</v>
      </c>
    </row>
    <row r="149" spans="1:7" hidden="1" x14ac:dyDescent="0.55000000000000004">
      <c r="A149" s="5">
        <f t="shared" si="8"/>
        <v>35.75</v>
      </c>
      <c r="B149" s="4">
        <f t="shared" si="9"/>
        <v>0</v>
      </c>
      <c r="C149" s="14" t="e">
        <f>#REF!</f>
        <v>#REF!</v>
      </c>
      <c r="D149" s="14" t="e">
        <f>#REF!+1.5</f>
        <v>#REF!</v>
      </c>
      <c r="E149" s="14" t="e">
        <f>#REF!+1.5</f>
        <v>#REF!</v>
      </c>
      <c r="F149" s="14" t="e">
        <f>#REF!+1.5</f>
        <v>#REF!</v>
      </c>
      <c r="G149" s="14" t="e">
        <f>#REF!</f>
        <v>#REF!</v>
      </c>
    </row>
    <row r="150" spans="1:7" hidden="1" x14ac:dyDescent="0.55000000000000004">
      <c r="A150" s="5">
        <f t="shared" si="8"/>
        <v>36</v>
      </c>
      <c r="B150" s="4">
        <f t="shared" si="9"/>
        <v>0</v>
      </c>
      <c r="C150" s="14" t="e">
        <f>#REF!</f>
        <v>#REF!</v>
      </c>
      <c r="D150" s="14" t="e">
        <f>#REF!+1.5</f>
        <v>#REF!</v>
      </c>
      <c r="E150" s="14" t="e">
        <f>#REF!+1.5</f>
        <v>#REF!</v>
      </c>
      <c r="F150" s="14" t="e">
        <f>#REF!+1.5</f>
        <v>#REF!</v>
      </c>
      <c r="G150" s="14" t="e">
        <f>#REF!</f>
        <v>#REF!</v>
      </c>
    </row>
    <row r="151" spans="1:7" hidden="1" x14ac:dyDescent="0.55000000000000004">
      <c r="A151" s="5">
        <f t="shared" si="8"/>
        <v>36.25</v>
      </c>
      <c r="B151" s="4">
        <f t="shared" si="9"/>
        <v>0</v>
      </c>
      <c r="C151" s="14" t="e">
        <f>#REF!</f>
        <v>#REF!</v>
      </c>
      <c r="D151" s="14" t="e">
        <f>#REF!+1.5</f>
        <v>#REF!</v>
      </c>
      <c r="E151" s="14" t="e">
        <f>#REF!+1.5</f>
        <v>#REF!</v>
      </c>
      <c r="F151" s="14" t="e">
        <f>#REF!+1.5</f>
        <v>#REF!</v>
      </c>
      <c r="G151" s="14" t="e">
        <f>#REF!</f>
        <v>#REF!</v>
      </c>
    </row>
    <row r="152" spans="1:7" hidden="1" x14ac:dyDescent="0.55000000000000004">
      <c r="A152" s="5">
        <f t="shared" si="8"/>
        <v>36.5</v>
      </c>
      <c r="B152" s="4">
        <f t="shared" si="9"/>
        <v>0</v>
      </c>
      <c r="C152" s="14" t="e">
        <f>#REF!</f>
        <v>#REF!</v>
      </c>
      <c r="D152" s="14" t="e">
        <f>#REF!+1.5</f>
        <v>#REF!</v>
      </c>
      <c r="E152" s="14" t="e">
        <f>#REF!+1.5</f>
        <v>#REF!</v>
      </c>
      <c r="F152" s="14" t="e">
        <f>#REF!+1.5</f>
        <v>#REF!</v>
      </c>
      <c r="G152" s="14" t="e">
        <f>#REF!</f>
        <v>#REF!</v>
      </c>
    </row>
    <row r="153" spans="1:7" hidden="1" x14ac:dyDescent="0.55000000000000004">
      <c r="A153" s="5">
        <f t="shared" si="8"/>
        <v>36.75</v>
      </c>
      <c r="B153" s="4">
        <f t="shared" si="9"/>
        <v>0</v>
      </c>
      <c r="C153" s="14" t="e">
        <f>#REF!</f>
        <v>#REF!</v>
      </c>
      <c r="D153" s="14" t="e">
        <f>#REF!+1.5</f>
        <v>#REF!</v>
      </c>
      <c r="E153" s="14" t="e">
        <f>#REF!+1.5</f>
        <v>#REF!</v>
      </c>
      <c r="F153" s="14" t="e">
        <f>#REF!+1.5</f>
        <v>#REF!</v>
      </c>
      <c r="G153" s="14" t="e">
        <f>#REF!</f>
        <v>#REF!</v>
      </c>
    </row>
    <row r="154" spans="1:7" hidden="1" x14ac:dyDescent="0.55000000000000004">
      <c r="A154" s="5">
        <f t="shared" si="8"/>
        <v>37</v>
      </c>
      <c r="B154" s="4">
        <f t="shared" si="9"/>
        <v>0</v>
      </c>
      <c r="C154" s="14" t="e">
        <f>#REF!</f>
        <v>#REF!</v>
      </c>
      <c r="D154" s="14" t="e">
        <f>#REF!+1.5</f>
        <v>#REF!</v>
      </c>
      <c r="E154" s="14" t="e">
        <f>#REF!+1.5</f>
        <v>#REF!</v>
      </c>
      <c r="F154" s="14" t="e">
        <f>#REF!+1.5</f>
        <v>#REF!</v>
      </c>
      <c r="G154" s="14" t="e">
        <f>#REF!</f>
        <v>#REF!</v>
      </c>
    </row>
    <row r="155" spans="1:7" hidden="1" x14ac:dyDescent="0.55000000000000004">
      <c r="A155" s="5">
        <f t="shared" si="8"/>
        <v>37.25</v>
      </c>
      <c r="B155" s="4">
        <f t="shared" si="9"/>
        <v>0</v>
      </c>
      <c r="C155" s="14" t="e">
        <f>#REF!</f>
        <v>#REF!</v>
      </c>
      <c r="D155" s="14" t="e">
        <f>#REF!+1.5</f>
        <v>#REF!</v>
      </c>
      <c r="E155" s="14" t="e">
        <f>#REF!+1.5</f>
        <v>#REF!</v>
      </c>
      <c r="F155" s="14" t="e">
        <f>#REF!+1.5</f>
        <v>#REF!</v>
      </c>
      <c r="G155" s="14" t="e">
        <f>#REF!</f>
        <v>#REF!</v>
      </c>
    </row>
    <row r="156" spans="1:7" hidden="1" x14ac:dyDescent="0.55000000000000004">
      <c r="A156" s="5">
        <f t="shared" si="8"/>
        <v>37.5</v>
      </c>
      <c r="B156" s="4">
        <f t="shared" si="9"/>
        <v>0</v>
      </c>
      <c r="C156" s="14" t="e">
        <f>#REF!</f>
        <v>#REF!</v>
      </c>
      <c r="D156" s="14" t="e">
        <f>#REF!+1.5</f>
        <v>#REF!</v>
      </c>
      <c r="E156" s="14" t="e">
        <f>#REF!+1.5</f>
        <v>#REF!</v>
      </c>
      <c r="F156" s="14" t="e">
        <f>#REF!+1.5</f>
        <v>#REF!</v>
      </c>
      <c r="G156" s="14" t="e">
        <f>#REF!</f>
        <v>#REF!</v>
      </c>
    </row>
    <row r="157" spans="1:7" hidden="1" x14ac:dyDescent="0.55000000000000004">
      <c r="A157" s="5">
        <f t="shared" si="8"/>
        <v>37.75</v>
      </c>
      <c r="B157" s="4">
        <f t="shared" si="9"/>
        <v>0</v>
      </c>
      <c r="C157" s="14" t="e">
        <f>#REF!</f>
        <v>#REF!</v>
      </c>
      <c r="D157" s="14" t="e">
        <f>#REF!+1.5</f>
        <v>#REF!</v>
      </c>
      <c r="E157" s="14" t="e">
        <f>#REF!+1.5</f>
        <v>#REF!</v>
      </c>
      <c r="F157" s="14" t="e">
        <f>#REF!+1.5</f>
        <v>#REF!</v>
      </c>
      <c r="G157" s="14" t="e">
        <f>#REF!</f>
        <v>#REF!</v>
      </c>
    </row>
    <row r="158" spans="1:7" hidden="1" x14ac:dyDescent="0.55000000000000004">
      <c r="A158" s="5">
        <f t="shared" si="8"/>
        <v>38</v>
      </c>
      <c r="B158" s="4">
        <f t="shared" si="9"/>
        <v>0</v>
      </c>
      <c r="C158" s="14" t="e">
        <f>#REF!</f>
        <v>#REF!</v>
      </c>
      <c r="D158" s="14" t="e">
        <f>#REF!+1.5</f>
        <v>#REF!</v>
      </c>
      <c r="E158" s="14" t="e">
        <f>#REF!+1.5</f>
        <v>#REF!</v>
      </c>
      <c r="F158" s="14" t="e">
        <f>#REF!+1.5</f>
        <v>#REF!</v>
      </c>
      <c r="G158" s="14" t="e">
        <f>#REF!</f>
        <v>#REF!</v>
      </c>
    </row>
    <row r="159" spans="1:7" hidden="1" x14ac:dyDescent="0.55000000000000004">
      <c r="A159" s="5">
        <f t="shared" si="8"/>
        <v>38.25</v>
      </c>
      <c r="B159" s="4">
        <f t="shared" si="9"/>
        <v>0</v>
      </c>
      <c r="C159" s="14" t="e">
        <f>#REF!</f>
        <v>#REF!</v>
      </c>
      <c r="D159" s="14" t="e">
        <f>#REF!+1.5</f>
        <v>#REF!</v>
      </c>
      <c r="E159" s="14" t="e">
        <f>#REF!+1.5</f>
        <v>#REF!</v>
      </c>
      <c r="F159" s="14" t="e">
        <f>#REF!+1.5</f>
        <v>#REF!</v>
      </c>
      <c r="G159" s="14" t="e">
        <f>#REF!</f>
        <v>#REF!</v>
      </c>
    </row>
    <row r="160" spans="1:7" hidden="1" x14ac:dyDescent="0.55000000000000004">
      <c r="A160" s="5">
        <f t="shared" si="8"/>
        <v>38.5</v>
      </c>
      <c r="B160" s="4">
        <f t="shared" si="9"/>
        <v>0</v>
      </c>
      <c r="C160" s="14" t="e">
        <f>#REF!</f>
        <v>#REF!</v>
      </c>
      <c r="D160" s="14" t="e">
        <f>#REF!+1.5</f>
        <v>#REF!</v>
      </c>
      <c r="E160" s="14" t="e">
        <f>#REF!+1.5</f>
        <v>#REF!</v>
      </c>
      <c r="F160" s="14" t="e">
        <f>#REF!+1.5</f>
        <v>#REF!</v>
      </c>
      <c r="G160" s="14" t="e">
        <f>#REF!</f>
        <v>#REF!</v>
      </c>
    </row>
    <row r="161" spans="1:7" hidden="1" x14ac:dyDescent="0.55000000000000004">
      <c r="A161" s="5">
        <f t="shared" si="8"/>
        <v>38.75</v>
      </c>
      <c r="B161" s="4">
        <f t="shared" si="9"/>
        <v>0</v>
      </c>
      <c r="C161" s="14" t="e">
        <f>#REF!</f>
        <v>#REF!</v>
      </c>
      <c r="D161" s="14" t="e">
        <f>#REF!+1.5</f>
        <v>#REF!</v>
      </c>
      <c r="E161" s="14" t="e">
        <f>#REF!+1.5</f>
        <v>#REF!</v>
      </c>
      <c r="F161" s="14" t="e">
        <f>#REF!+1.5</f>
        <v>#REF!</v>
      </c>
      <c r="G161" s="14" t="e">
        <f>#REF!</f>
        <v>#REF!</v>
      </c>
    </row>
    <row r="162" spans="1:7" hidden="1" x14ac:dyDescent="0.55000000000000004">
      <c r="A162" s="5">
        <f t="shared" si="8"/>
        <v>39</v>
      </c>
      <c r="B162" s="4">
        <f t="shared" si="9"/>
        <v>0</v>
      </c>
      <c r="C162" s="14" t="e">
        <f>#REF!</f>
        <v>#REF!</v>
      </c>
      <c r="D162" s="14" t="e">
        <f>#REF!+1.5</f>
        <v>#REF!</v>
      </c>
      <c r="E162" s="14" t="e">
        <f>#REF!+1.5</f>
        <v>#REF!</v>
      </c>
      <c r="F162" s="14" t="e">
        <f>#REF!+1.5</f>
        <v>#REF!</v>
      </c>
      <c r="G162" s="14" t="e">
        <f>#REF!</f>
        <v>#REF!</v>
      </c>
    </row>
    <row r="163" spans="1:7" hidden="1" x14ac:dyDescent="0.55000000000000004">
      <c r="A163" s="5">
        <f t="shared" si="8"/>
        <v>39.25</v>
      </c>
      <c r="B163" s="4">
        <f t="shared" si="9"/>
        <v>0</v>
      </c>
      <c r="C163" s="14" t="e">
        <f>#REF!</f>
        <v>#REF!</v>
      </c>
      <c r="D163" s="14" t="e">
        <f>#REF!+1.5</f>
        <v>#REF!</v>
      </c>
      <c r="E163" s="14" t="e">
        <f>#REF!+1.5</f>
        <v>#REF!</v>
      </c>
      <c r="F163" s="14" t="e">
        <f>#REF!+1.5</f>
        <v>#REF!</v>
      </c>
      <c r="G163" s="14" t="e">
        <f>#REF!</f>
        <v>#REF!</v>
      </c>
    </row>
    <row r="164" spans="1:7" hidden="1" x14ac:dyDescent="0.55000000000000004">
      <c r="A164" s="5">
        <f t="shared" si="8"/>
        <v>39.5</v>
      </c>
      <c r="B164" s="4">
        <f t="shared" si="9"/>
        <v>0</v>
      </c>
      <c r="C164" s="14" t="e">
        <f>#REF!</f>
        <v>#REF!</v>
      </c>
      <c r="D164" s="14" t="e">
        <f>#REF!+1.5</f>
        <v>#REF!</v>
      </c>
      <c r="E164" s="14" t="e">
        <f>#REF!+1.5</f>
        <v>#REF!</v>
      </c>
      <c r="F164" s="14" t="e">
        <f>#REF!+1.5</f>
        <v>#REF!</v>
      </c>
      <c r="G164" s="14" t="e">
        <f>#REF!</f>
        <v>#REF!</v>
      </c>
    </row>
    <row r="165" spans="1:7" hidden="1" x14ac:dyDescent="0.55000000000000004">
      <c r="A165" s="5">
        <f t="shared" si="8"/>
        <v>39.75</v>
      </c>
      <c r="B165" s="4">
        <f t="shared" si="9"/>
        <v>0</v>
      </c>
      <c r="C165" s="14" t="e">
        <f>#REF!</f>
        <v>#REF!</v>
      </c>
      <c r="D165" s="14" t="e">
        <f>#REF!+1.5</f>
        <v>#REF!</v>
      </c>
      <c r="E165" s="14" t="e">
        <f>#REF!+1.5</f>
        <v>#REF!</v>
      </c>
      <c r="F165" s="14" t="e">
        <f>#REF!+1.5</f>
        <v>#REF!</v>
      </c>
      <c r="G165" s="14" t="e">
        <f>#REF!</f>
        <v>#REF!</v>
      </c>
    </row>
    <row r="166" spans="1:7" hidden="1" x14ac:dyDescent="0.55000000000000004">
      <c r="A166" s="5">
        <f t="shared" si="8"/>
        <v>40</v>
      </c>
      <c r="B166" s="4">
        <f t="shared" si="9"/>
        <v>0</v>
      </c>
      <c r="C166" s="14" t="e">
        <f>#REF!</f>
        <v>#REF!</v>
      </c>
      <c r="D166" s="14" t="e">
        <f>#REF!+1.5</f>
        <v>#REF!</v>
      </c>
      <c r="E166" s="14" t="e">
        <f>#REF!+1.5</f>
        <v>#REF!</v>
      </c>
      <c r="F166" s="14" t="e">
        <f>#REF!+1.5</f>
        <v>#REF!</v>
      </c>
      <c r="G166" s="14" t="e">
        <f>#REF!</f>
        <v>#REF!</v>
      </c>
    </row>
    <row r="167" spans="1:7" hidden="1" x14ac:dyDescent="0.55000000000000004">
      <c r="A167" s="5">
        <f t="shared" si="8"/>
        <v>40.25</v>
      </c>
      <c r="B167" s="4">
        <f t="shared" si="9"/>
        <v>0</v>
      </c>
      <c r="C167" s="14" t="e">
        <f>#REF!</f>
        <v>#REF!</v>
      </c>
      <c r="D167" s="14" t="e">
        <f>#REF!+1.5</f>
        <v>#REF!</v>
      </c>
      <c r="E167" s="14" t="e">
        <f>#REF!+1.5</f>
        <v>#REF!</v>
      </c>
      <c r="F167" s="14" t="e">
        <f>#REF!+1.5</f>
        <v>#REF!</v>
      </c>
      <c r="G167" s="14" t="e">
        <f>#REF!</f>
        <v>#REF!</v>
      </c>
    </row>
    <row r="168" spans="1:7" hidden="1" x14ac:dyDescent="0.55000000000000004">
      <c r="A168" s="5">
        <f t="shared" si="8"/>
        <v>40.5</v>
      </c>
      <c r="B168" s="4">
        <f t="shared" si="9"/>
        <v>0</v>
      </c>
      <c r="C168" s="14" t="e">
        <f>#REF!</f>
        <v>#REF!</v>
      </c>
      <c r="D168" s="14" t="e">
        <f>#REF!+1.5</f>
        <v>#REF!</v>
      </c>
      <c r="E168" s="14" t="e">
        <f>#REF!+1.5</f>
        <v>#REF!</v>
      </c>
      <c r="F168" s="14" t="e">
        <f>#REF!+1.5</f>
        <v>#REF!</v>
      </c>
      <c r="G168" s="14" t="e">
        <f>#REF!</f>
        <v>#REF!</v>
      </c>
    </row>
    <row r="169" spans="1:7" hidden="1" x14ac:dyDescent="0.55000000000000004">
      <c r="A169" s="5">
        <f t="shared" si="8"/>
        <v>40.75</v>
      </c>
      <c r="B169" s="4">
        <f t="shared" si="9"/>
        <v>0</v>
      </c>
      <c r="C169" s="14" t="e">
        <f>#REF!</f>
        <v>#REF!</v>
      </c>
      <c r="D169" s="14" t="e">
        <f>#REF!+1.5</f>
        <v>#REF!</v>
      </c>
      <c r="E169" s="14" t="e">
        <f>#REF!+1.5</f>
        <v>#REF!</v>
      </c>
      <c r="F169" s="14" t="e">
        <f>#REF!+1.5</f>
        <v>#REF!</v>
      </c>
      <c r="G169" s="14" t="e">
        <f>#REF!</f>
        <v>#REF!</v>
      </c>
    </row>
    <row r="170" spans="1:7" hidden="1" x14ac:dyDescent="0.55000000000000004">
      <c r="A170" s="5">
        <f t="shared" si="8"/>
        <v>41</v>
      </c>
      <c r="B170" s="4">
        <f t="shared" si="9"/>
        <v>0</v>
      </c>
      <c r="C170" s="14" t="e">
        <f>#REF!</f>
        <v>#REF!</v>
      </c>
      <c r="D170" s="14" t="e">
        <f>#REF!+1.5</f>
        <v>#REF!</v>
      </c>
      <c r="E170" s="14" t="e">
        <f>#REF!+1.5</f>
        <v>#REF!</v>
      </c>
      <c r="F170" s="14" t="e">
        <f>#REF!+1.5</f>
        <v>#REF!</v>
      </c>
      <c r="G170" s="14" t="e">
        <f>#REF!</f>
        <v>#REF!</v>
      </c>
    </row>
    <row r="171" spans="1:7" hidden="1" x14ac:dyDescent="0.55000000000000004">
      <c r="A171" s="5">
        <f t="shared" si="8"/>
        <v>41.25</v>
      </c>
      <c r="B171" s="4">
        <f t="shared" si="9"/>
        <v>0</v>
      </c>
      <c r="C171" s="14" t="e">
        <f>#REF!</f>
        <v>#REF!</v>
      </c>
      <c r="D171" s="14" t="e">
        <f>#REF!+1.5</f>
        <v>#REF!</v>
      </c>
      <c r="E171" s="14" t="e">
        <f>#REF!+1.5</f>
        <v>#REF!</v>
      </c>
      <c r="F171" s="14" t="e">
        <f>#REF!+1.5</f>
        <v>#REF!</v>
      </c>
      <c r="G171" s="14" t="e">
        <f>#REF!</f>
        <v>#REF!</v>
      </c>
    </row>
    <row r="172" spans="1:7" hidden="1" x14ac:dyDescent="0.55000000000000004">
      <c r="A172" s="5">
        <f t="shared" si="8"/>
        <v>41.5</v>
      </c>
      <c r="B172" s="4">
        <f t="shared" si="9"/>
        <v>0</v>
      </c>
      <c r="C172" s="14" t="e">
        <f>#REF!</f>
        <v>#REF!</v>
      </c>
      <c r="D172" s="14" t="e">
        <f>#REF!+1.5</f>
        <v>#REF!</v>
      </c>
      <c r="E172" s="14" t="e">
        <f>#REF!+1.5</f>
        <v>#REF!</v>
      </c>
      <c r="F172" s="14" t="e">
        <f>#REF!+1.5</f>
        <v>#REF!</v>
      </c>
      <c r="G172" s="14" t="e">
        <f>#REF!</f>
        <v>#REF!</v>
      </c>
    </row>
    <row r="173" spans="1:7" hidden="1" x14ac:dyDescent="0.55000000000000004">
      <c r="A173" s="5">
        <f t="shared" si="8"/>
        <v>41.75</v>
      </c>
      <c r="B173" s="4">
        <f t="shared" si="9"/>
        <v>0</v>
      </c>
      <c r="C173" s="14" t="e">
        <f>#REF!</f>
        <v>#REF!</v>
      </c>
      <c r="D173" s="14" t="e">
        <f>#REF!+1.5</f>
        <v>#REF!</v>
      </c>
      <c r="E173" s="14" t="e">
        <f>#REF!+1.5</f>
        <v>#REF!</v>
      </c>
      <c r="F173" s="14" t="e">
        <f>#REF!+1.5</f>
        <v>#REF!</v>
      </c>
      <c r="G173" s="14" t="e">
        <f>#REF!</f>
        <v>#REF!</v>
      </c>
    </row>
    <row r="174" spans="1:7" hidden="1" x14ac:dyDescent="0.55000000000000004">
      <c r="A174" s="5">
        <f t="shared" si="8"/>
        <v>42</v>
      </c>
      <c r="B174" s="4">
        <f t="shared" si="9"/>
        <v>0</v>
      </c>
      <c r="C174" s="14" t="e">
        <f>#REF!</f>
        <v>#REF!</v>
      </c>
      <c r="D174" s="14" t="e">
        <f>#REF!+1.5</f>
        <v>#REF!</v>
      </c>
      <c r="E174" s="14" t="e">
        <f>#REF!+1.5</f>
        <v>#REF!</v>
      </c>
      <c r="F174" s="14" t="e">
        <f>#REF!+1.5</f>
        <v>#REF!</v>
      </c>
      <c r="G174" s="14" t="e">
        <f>#REF!</f>
        <v>#REF!</v>
      </c>
    </row>
    <row r="175" spans="1:7" hidden="1" x14ac:dyDescent="0.55000000000000004">
      <c r="A175" s="5">
        <f t="shared" si="8"/>
        <v>42.25</v>
      </c>
      <c r="B175" s="4">
        <f t="shared" si="9"/>
        <v>0</v>
      </c>
      <c r="C175" s="14" t="e">
        <f>#REF!</f>
        <v>#REF!</v>
      </c>
      <c r="D175" s="14" t="e">
        <f>#REF!+1.5</f>
        <v>#REF!</v>
      </c>
      <c r="E175" s="14" t="e">
        <f>#REF!+1.5</f>
        <v>#REF!</v>
      </c>
      <c r="F175" s="14" t="e">
        <f>#REF!+1.5</f>
        <v>#REF!</v>
      </c>
      <c r="G175" s="14" t="e">
        <f>#REF!</f>
        <v>#REF!</v>
      </c>
    </row>
    <row r="176" spans="1:7" hidden="1" x14ac:dyDescent="0.55000000000000004">
      <c r="A176" s="5">
        <f t="shared" si="8"/>
        <v>42.5</v>
      </c>
      <c r="B176" s="4">
        <f t="shared" si="9"/>
        <v>0</v>
      </c>
      <c r="C176" s="14" t="e">
        <f>#REF!</f>
        <v>#REF!</v>
      </c>
      <c r="D176" s="14" t="e">
        <f>#REF!+1.5</f>
        <v>#REF!</v>
      </c>
      <c r="E176" s="14" t="e">
        <f>#REF!+1.5</f>
        <v>#REF!</v>
      </c>
      <c r="F176" s="14" t="e">
        <f>#REF!+1.5</f>
        <v>#REF!</v>
      </c>
      <c r="G176" s="14" t="e">
        <f>#REF!</f>
        <v>#REF!</v>
      </c>
    </row>
    <row r="177" spans="1:7" hidden="1" x14ac:dyDescent="0.55000000000000004">
      <c r="A177" s="5">
        <f t="shared" si="8"/>
        <v>42.75</v>
      </c>
      <c r="B177" s="4">
        <f t="shared" si="9"/>
        <v>0</v>
      </c>
      <c r="C177" s="14" t="e">
        <f>#REF!</f>
        <v>#REF!</v>
      </c>
      <c r="D177" s="14" t="e">
        <f>#REF!+1.5</f>
        <v>#REF!</v>
      </c>
      <c r="E177" s="14" t="e">
        <f>#REF!+1.5</f>
        <v>#REF!</v>
      </c>
      <c r="F177" s="14" t="e">
        <f>#REF!+1.5</f>
        <v>#REF!</v>
      </c>
      <c r="G177" s="14" t="e">
        <f>#REF!</f>
        <v>#REF!</v>
      </c>
    </row>
    <row r="178" spans="1:7" hidden="1" x14ac:dyDescent="0.55000000000000004">
      <c r="A178" s="5">
        <f t="shared" si="8"/>
        <v>43</v>
      </c>
      <c r="B178" s="4">
        <f t="shared" si="9"/>
        <v>0</v>
      </c>
      <c r="C178" s="14" t="e">
        <f>#REF!</f>
        <v>#REF!</v>
      </c>
      <c r="D178" s="14" t="e">
        <f>#REF!+1.5</f>
        <v>#REF!</v>
      </c>
      <c r="E178" s="14" t="e">
        <f>#REF!+1.5</f>
        <v>#REF!</v>
      </c>
      <c r="F178" s="14" t="e">
        <f>#REF!+1.5</f>
        <v>#REF!</v>
      </c>
      <c r="G178" s="14" t="e">
        <f>#REF!</f>
        <v>#REF!</v>
      </c>
    </row>
    <row r="179" spans="1:7" hidden="1" x14ac:dyDescent="0.55000000000000004">
      <c r="A179" s="5">
        <f t="shared" si="8"/>
        <v>43.25</v>
      </c>
      <c r="B179" s="4">
        <f t="shared" si="9"/>
        <v>0</v>
      </c>
      <c r="C179" s="14" t="e">
        <f>#REF!</f>
        <v>#REF!</v>
      </c>
      <c r="D179" s="14" t="e">
        <f>#REF!+1.5</f>
        <v>#REF!</v>
      </c>
      <c r="E179" s="14" t="e">
        <f>#REF!+1.5</f>
        <v>#REF!</v>
      </c>
      <c r="F179" s="14" t="e">
        <f>#REF!+1.5</f>
        <v>#REF!</v>
      </c>
      <c r="G179" s="14" t="e">
        <f>#REF!</f>
        <v>#REF!</v>
      </c>
    </row>
    <row r="180" spans="1:7" hidden="1" x14ac:dyDescent="0.55000000000000004">
      <c r="A180" s="5">
        <f t="shared" si="8"/>
        <v>43.5</v>
      </c>
      <c r="B180" s="4">
        <f t="shared" si="9"/>
        <v>0</v>
      </c>
      <c r="C180" s="14" t="e">
        <f>#REF!</f>
        <v>#REF!</v>
      </c>
      <c r="D180" s="14" t="e">
        <f>#REF!+1.5</f>
        <v>#REF!</v>
      </c>
      <c r="E180" s="14" t="e">
        <f>#REF!+1.5</f>
        <v>#REF!</v>
      </c>
      <c r="F180" s="14" t="e">
        <f>#REF!+1.5</f>
        <v>#REF!</v>
      </c>
      <c r="G180" s="14" t="e">
        <f>#REF!</f>
        <v>#REF!</v>
      </c>
    </row>
    <row r="181" spans="1:7" hidden="1" x14ac:dyDescent="0.55000000000000004">
      <c r="A181" s="5">
        <f t="shared" si="8"/>
        <v>43.75</v>
      </c>
      <c r="B181" s="4">
        <f t="shared" si="9"/>
        <v>0</v>
      </c>
      <c r="C181" s="14" t="e">
        <f>#REF!</f>
        <v>#REF!</v>
      </c>
      <c r="D181" s="14" t="e">
        <f>#REF!+1.5</f>
        <v>#REF!</v>
      </c>
      <c r="E181" s="14" t="e">
        <f>#REF!+1.5</f>
        <v>#REF!</v>
      </c>
      <c r="F181" s="14" t="e">
        <f>#REF!+1.5</f>
        <v>#REF!</v>
      </c>
      <c r="G181" s="14" t="e">
        <f>#REF!</f>
        <v>#REF!</v>
      </c>
    </row>
    <row r="182" spans="1:7" hidden="1" x14ac:dyDescent="0.55000000000000004">
      <c r="A182" s="5">
        <f t="shared" si="8"/>
        <v>44</v>
      </c>
      <c r="B182" s="4">
        <f t="shared" si="9"/>
        <v>0</v>
      </c>
      <c r="C182" s="14" t="e">
        <f>#REF!</f>
        <v>#REF!</v>
      </c>
      <c r="D182" s="14" t="e">
        <f>#REF!+1.5</f>
        <v>#REF!</v>
      </c>
      <c r="E182" s="14" t="e">
        <f>#REF!+1.5</f>
        <v>#REF!</v>
      </c>
      <c r="F182" s="14" t="e">
        <f>#REF!+1.5</f>
        <v>#REF!</v>
      </c>
      <c r="G182" s="14" t="e">
        <f>#REF!</f>
        <v>#REF!</v>
      </c>
    </row>
    <row r="183" spans="1:7" hidden="1" x14ac:dyDescent="0.55000000000000004">
      <c r="A183" s="5">
        <f t="shared" si="8"/>
        <v>44.25</v>
      </c>
      <c r="B183" s="4">
        <f t="shared" si="9"/>
        <v>0</v>
      </c>
      <c r="C183" s="14" t="e">
        <f>#REF!</f>
        <v>#REF!</v>
      </c>
      <c r="D183" s="14" t="e">
        <f>#REF!+1.5</f>
        <v>#REF!</v>
      </c>
      <c r="E183" s="14" t="e">
        <f>#REF!+1.5</f>
        <v>#REF!</v>
      </c>
      <c r="F183" s="14" t="e">
        <f>#REF!+1.5</f>
        <v>#REF!</v>
      </c>
      <c r="G183" s="14" t="e">
        <f>#REF!</f>
        <v>#REF!</v>
      </c>
    </row>
    <row r="184" spans="1:7" hidden="1" x14ac:dyDescent="0.55000000000000004">
      <c r="A184" s="5">
        <f t="shared" si="8"/>
        <v>44.5</v>
      </c>
      <c r="B184" s="4">
        <f t="shared" si="9"/>
        <v>0</v>
      </c>
      <c r="C184" s="14" t="e">
        <f>#REF!</f>
        <v>#REF!</v>
      </c>
      <c r="D184" s="14" t="e">
        <f>#REF!+1.5</f>
        <v>#REF!</v>
      </c>
      <c r="E184" s="14" t="e">
        <f>#REF!+1.5</f>
        <v>#REF!</v>
      </c>
      <c r="F184" s="14" t="e">
        <f>#REF!+1.5</f>
        <v>#REF!</v>
      </c>
      <c r="G184" s="14" t="e">
        <f>#REF!</f>
        <v>#REF!</v>
      </c>
    </row>
    <row r="185" spans="1:7" hidden="1" x14ac:dyDescent="0.55000000000000004">
      <c r="A185" s="5">
        <f t="shared" si="8"/>
        <v>44.75</v>
      </c>
      <c r="B185" s="4">
        <f t="shared" si="9"/>
        <v>0</v>
      </c>
      <c r="C185" s="14" t="e">
        <f>#REF!</f>
        <v>#REF!</v>
      </c>
      <c r="D185" s="14" t="e">
        <f>#REF!+1.5</f>
        <v>#REF!</v>
      </c>
      <c r="E185" s="14" t="e">
        <f>#REF!+1.5</f>
        <v>#REF!</v>
      </c>
      <c r="F185" s="14" t="e">
        <f>#REF!+1.5</f>
        <v>#REF!</v>
      </c>
      <c r="G185" s="14" t="e">
        <f>#REF!</f>
        <v>#REF!</v>
      </c>
    </row>
    <row r="186" spans="1:7" hidden="1" x14ac:dyDescent="0.55000000000000004">
      <c r="A186" s="5">
        <f t="shared" si="8"/>
        <v>45</v>
      </c>
      <c r="B186" s="4">
        <f t="shared" si="9"/>
        <v>0</v>
      </c>
      <c r="C186" s="14" t="e">
        <f>#REF!</f>
        <v>#REF!</v>
      </c>
      <c r="D186" s="14" t="e">
        <f>#REF!+1.5</f>
        <v>#REF!</v>
      </c>
      <c r="E186" s="14" t="e">
        <f>#REF!+1.5</f>
        <v>#REF!</v>
      </c>
      <c r="F186" s="14" t="e">
        <f>#REF!+1.5</f>
        <v>#REF!</v>
      </c>
      <c r="G186" s="14" t="e">
        <f>#REF!</f>
        <v>#REF!</v>
      </c>
    </row>
    <row r="187" spans="1:7" hidden="1" x14ac:dyDescent="0.55000000000000004">
      <c r="A187" s="5">
        <f t="shared" si="8"/>
        <v>45.25</v>
      </c>
      <c r="B187" s="4">
        <f t="shared" si="9"/>
        <v>0</v>
      </c>
      <c r="C187" s="14" t="e">
        <f>#REF!</f>
        <v>#REF!</v>
      </c>
      <c r="D187" s="14" t="e">
        <f>#REF!+1.5</f>
        <v>#REF!</v>
      </c>
      <c r="E187" s="14" t="e">
        <f>#REF!+1.5</f>
        <v>#REF!</v>
      </c>
      <c r="F187" s="14" t="e">
        <f>#REF!+1.5</f>
        <v>#REF!</v>
      </c>
      <c r="G187" s="14" t="e">
        <f>#REF!</f>
        <v>#REF!</v>
      </c>
    </row>
    <row r="188" spans="1:7" hidden="1" x14ac:dyDescent="0.55000000000000004">
      <c r="A188" s="5">
        <f t="shared" si="8"/>
        <v>45.5</v>
      </c>
      <c r="B188" s="4">
        <f t="shared" si="9"/>
        <v>0</v>
      </c>
      <c r="C188" s="14" t="e">
        <f>#REF!</f>
        <v>#REF!</v>
      </c>
      <c r="D188" s="14" t="e">
        <f>#REF!+1.5</f>
        <v>#REF!</v>
      </c>
      <c r="E188" s="14" t="e">
        <f>#REF!+1.5</f>
        <v>#REF!</v>
      </c>
      <c r="F188" s="14" t="e">
        <f>#REF!+1.5</f>
        <v>#REF!</v>
      </c>
      <c r="G188" s="14" t="e">
        <f>#REF!</f>
        <v>#REF!</v>
      </c>
    </row>
    <row r="189" spans="1:7" hidden="1" x14ac:dyDescent="0.55000000000000004">
      <c r="A189" s="5">
        <f t="shared" si="8"/>
        <v>45.75</v>
      </c>
      <c r="B189" s="4">
        <f t="shared" si="9"/>
        <v>0</v>
      </c>
      <c r="C189" s="14" t="e">
        <f>#REF!</f>
        <v>#REF!</v>
      </c>
      <c r="D189" s="14" t="e">
        <f>#REF!+1.5</f>
        <v>#REF!</v>
      </c>
      <c r="E189" s="14" t="e">
        <f>#REF!+1.5</f>
        <v>#REF!</v>
      </c>
      <c r="F189" s="14" t="e">
        <f>#REF!+1.5</f>
        <v>#REF!</v>
      </c>
      <c r="G189" s="14" t="e">
        <f>#REF!</f>
        <v>#REF!</v>
      </c>
    </row>
    <row r="190" spans="1:7" hidden="1" x14ac:dyDescent="0.55000000000000004">
      <c r="A190" s="5">
        <f t="shared" si="8"/>
        <v>46</v>
      </c>
      <c r="B190" s="4">
        <f t="shared" si="9"/>
        <v>0</v>
      </c>
      <c r="C190" s="14" t="e">
        <f>#REF!</f>
        <v>#REF!</v>
      </c>
      <c r="D190" s="14" t="e">
        <f>#REF!+1.5</f>
        <v>#REF!</v>
      </c>
      <c r="E190" s="14" t="e">
        <f>#REF!+1.5</f>
        <v>#REF!</v>
      </c>
      <c r="F190" s="14" t="e">
        <f>#REF!+1.5</f>
        <v>#REF!</v>
      </c>
      <c r="G190" s="14" t="e">
        <f>#REF!</f>
        <v>#REF!</v>
      </c>
    </row>
    <row r="191" spans="1:7" hidden="1" x14ac:dyDescent="0.55000000000000004">
      <c r="A191" s="5">
        <f t="shared" si="8"/>
        <v>46.25</v>
      </c>
      <c r="B191" s="4">
        <f t="shared" si="9"/>
        <v>0</v>
      </c>
      <c r="C191" s="14" t="e">
        <f>#REF!</f>
        <v>#REF!</v>
      </c>
      <c r="D191" s="14" t="e">
        <f>#REF!+1.5</f>
        <v>#REF!</v>
      </c>
      <c r="E191" s="14" t="e">
        <f>#REF!+1.5</f>
        <v>#REF!</v>
      </c>
      <c r="F191" s="14" t="e">
        <f>#REF!+1.5</f>
        <v>#REF!</v>
      </c>
      <c r="G191" s="14" t="e">
        <f>#REF!</f>
        <v>#REF!</v>
      </c>
    </row>
    <row r="192" spans="1:7" hidden="1" x14ac:dyDescent="0.55000000000000004">
      <c r="A192" s="5">
        <f t="shared" si="8"/>
        <v>46.5</v>
      </c>
      <c r="B192" s="4">
        <f t="shared" si="9"/>
        <v>0</v>
      </c>
      <c r="C192" s="14" t="e">
        <f>#REF!</f>
        <v>#REF!</v>
      </c>
      <c r="D192" s="14" t="e">
        <f>#REF!+1.5</f>
        <v>#REF!</v>
      </c>
      <c r="E192" s="14" t="e">
        <f>#REF!+1.5</f>
        <v>#REF!</v>
      </c>
      <c r="F192" s="14" t="e">
        <f>#REF!+1.5</f>
        <v>#REF!</v>
      </c>
      <c r="G192" s="14" t="e">
        <f>#REF!</f>
        <v>#REF!</v>
      </c>
    </row>
    <row r="193" spans="1:7" hidden="1" x14ac:dyDescent="0.55000000000000004">
      <c r="A193" s="5">
        <f t="shared" si="8"/>
        <v>46.75</v>
      </c>
      <c r="B193" s="4">
        <f t="shared" si="9"/>
        <v>0</v>
      </c>
      <c r="C193" s="14" t="e">
        <f>#REF!</f>
        <v>#REF!</v>
      </c>
      <c r="D193" s="14" t="e">
        <f>#REF!+1.5</f>
        <v>#REF!</v>
      </c>
      <c r="E193" s="14" t="e">
        <f>#REF!+1.5</f>
        <v>#REF!</v>
      </c>
      <c r="F193" s="14" t="e">
        <f>#REF!+1.5</f>
        <v>#REF!</v>
      </c>
      <c r="G193" s="14" t="e">
        <f>#REF!</f>
        <v>#REF!</v>
      </c>
    </row>
    <row r="194" spans="1:7" hidden="1" x14ac:dyDescent="0.55000000000000004">
      <c r="A194" s="5">
        <f t="shared" si="8"/>
        <v>47</v>
      </c>
      <c r="B194" s="4">
        <f t="shared" si="9"/>
        <v>0</v>
      </c>
      <c r="C194" s="14" t="e">
        <f>#REF!</f>
        <v>#REF!</v>
      </c>
      <c r="D194" s="14" t="e">
        <f>#REF!+1.5</f>
        <v>#REF!</v>
      </c>
      <c r="E194" s="14" t="e">
        <f>#REF!+1.5</f>
        <v>#REF!</v>
      </c>
      <c r="F194" s="14" t="e">
        <f>#REF!+1.5</f>
        <v>#REF!</v>
      </c>
      <c r="G194" s="14" t="e">
        <f>#REF!</f>
        <v>#REF!</v>
      </c>
    </row>
    <row r="195" spans="1:7" hidden="1" x14ac:dyDescent="0.55000000000000004">
      <c r="A195" s="5">
        <f t="shared" si="8"/>
        <v>47.25</v>
      </c>
      <c r="B195" s="4">
        <f t="shared" si="9"/>
        <v>0</v>
      </c>
      <c r="C195" s="14" t="e">
        <f>#REF!</f>
        <v>#REF!</v>
      </c>
      <c r="D195" s="14" t="e">
        <f>#REF!+1.5</f>
        <v>#REF!</v>
      </c>
      <c r="E195" s="14" t="e">
        <f>#REF!+1.5</f>
        <v>#REF!</v>
      </c>
      <c r="F195" s="14" t="e">
        <f>#REF!+1.5</f>
        <v>#REF!</v>
      </c>
      <c r="G195" s="14" t="e">
        <f>#REF!</f>
        <v>#REF!</v>
      </c>
    </row>
    <row r="196" spans="1:7" hidden="1" x14ac:dyDescent="0.55000000000000004">
      <c r="A196" s="5">
        <f t="shared" ref="A196:A200" si="10">A195+0.25</f>
        <v>47.5</v>
      </c>
      <c r="B196" s="4">
        <f t="shared" ref="B196:B200" si="11">B195</f>
        <v>0</v>
      </c>
      <c r="C196" s="14" t="e">
        <f>#REF!</f>
        <v>#REF!</v>
      </c>
      <c r="D196" s="14" t="e">
        <f>#REF!+1.5</f>
        <v>#REF!</v>
      </c>
      <c r="E196" s="14" t="e">
        <f>#REF!+1.5</f>
        <v>#REF!</v>
      </c>
      <c r="F196" s="14" t="e">
        <f>#REF!+1.5</f>
        <v>#REF!</v>
      </c>
      <c r="G196" s="14" t="e">
        <f>#REF!</f>
        <v>#REF!</v>
      </c>
    </row>
    <row r="197" spans="1:7" hidden="1" x14ac:dyDescent="0.55000000000000004">
      <c r="A197" s="5">
        <f t="shared" si="10"/>
        <v>47.75</v>
      </c>
      <c r="B197" s="4">
        <f t="shared" si="11"/>
        <v>0</v>
      </c>
      <c r="C197" s="14" t="e">
        <f>#REF!</f>
        <v>#REF!</v>
      </c>
      <c r="D197" s="14" t="e">
        <f>#REF!+1.5</f>
        <v>#REF!</v>
      </c>
      <c r="E197" s="14" t="e">
        <f>#REF!+1.5</f>
        <v>#REF!</v>
      </c>
      <c r="F197" s="14" t="e">
        <f>#REF!+1.5</f>
        <v>#REF!</v>
      </c>
      <c r="G197" s="14" t="e">
        <f>#REF!</f>
        <v>#REF!</v>
      </c>
    </row>
    <row r="198" spans="1:7" hidden="1" x14ac:dyDescent="0.55000000000000004">
      <c r="A198" s="5">
        <f t="shared" si="10"/>
        <v>48</v>
      </c>
      <c r="B198" s="4">
        <f t="shared" si="11"/>
        <v>0</v>
      </c>
      <c r="C198" s="14" t="e">
        <f>#REF!</f>
        <v>#REF!</v>
      </c>
      <c r="D198" s="14" t="e">
        <f>#REF!+1.5</f>
        <v>#REF!</v>
      </c>
      <c r="E198" s="14" t="e">
        <f>#REF!+1.5</f>
        <v>#REF!</v>
      </c>
      <c r="F198" s="14" t="e">
        <f>#REF!+1.5</f>
        <v>#REF!</v>
      </c>
      <c r="G198" s="14" t="e">
        <f>#REF!</f>
        <v>#REF!</v>
      </c>
    </row>
    <row r="199" spans="1:7" hidden="1" x14ac:dyDescent="0.55000000000000004">
      <c r="A199" s="5">
        <f t="shared" si="10"/>
        <v>48.25</v>
      </c>
      <c r="B199" s="4">
        <f t="shared" si="11"/>
        <v>0</v>
      </c>
      <c r="C199" s="14" t="e">
        <f>#REF!</f>
        <v>#REF!</v>
      </c>
      <c r="D199" s="14" t="e">
        <f>#REF!+1.5</f>
        <v>#REF!</v>
      </c>
      <c r="E199" s="14" t="e">
        <f>#REF!+1.5</f>
        <v>#REF!</v>
      </c>
      <c r="F199" s="14" t="e">
        <f>#REF!+1.5</f>
        <v>#REF!</v>
      </c>
      <c r="G199" s="14" t="e">
        <f>#REF!</f>
        <v>#REF!</v>
      </c>
    </row>
    <row r="200" spans="1:7" hidden="1" x14ac:dyDescent="0.55000000000000004">
      <c r="A200" s="5">
        <f t="shared" si="10"/>
        <v>48.5</v>
      </c>
      <c r="B200" s="4">
        <f t="shared" si="11"/>
        <v>0</v>
      </c>
      <c r="C200" s="14" t="e">
        <f>#REF!</f>
        <v>#REF!</v>
      </c>
      <c r="D200" s="14" t="e">
        <f>#REF!+1.5</f>
        <v>#REF!</v>
      </c>
      <c r="E200" s="14" t="e">
        <f>#REF!+1.5</f>
        <v>#REF!</v>
      </c>
      <c r="F200" s="14" t="e">
        <f>#REF!+1.5</f>
        <v>#REF!</v>
      </c>
      <c r="G200" s="14" t="e">
        <f>#REF!</f>
        <v>#REF!</v>
      </c>
    </row>
  </sheetData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9</vt:i4>
      </vt:variant>
      <vt:variant>
        <vt:lpstr>名前付き一覧</vt:lpstr>
      </vt:variant>
      <vt:variant>
        <vt:i4>1</vt:i4>
      </vt:variant>
    </vt:vector>
  </HeadingPairs>
  <TitlesOfParts>
    <vt:vector size="10" baseType="lpstr">
      <vt:lpstr>G</vt:lpstr>
      <vt:lpstr>RdMe</vt:lpstr>
      <vt:lpstr>benchmark</vt:lpstr>
      <vt:lpstr>25hike</vt:lpstr>
      <vt:lpstr>25hike_IPInear</vt:lpstr>
      <vt:lpstr>25hike_IPIfar</vt:lpstr>
      <vt:lpstr>25hike_IPIminus</vt:lpstr>
      <vt:lpstr>IPI_plus</vt:lpstr>
      <vt:lpstr>IPI_minus</vt:lpstr>
      <vt:lpstr>G!Print_Area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Tsuchida Satoshi</dc:creator>
  <cp:lastModifiedBy>Tsuchida Satoshi</cp:lastModifiedBy>
  <cp:lastPrinted>2024-07-10T13:56:07Z</cp:lastPrinted>
  <dcterms:created xsi:type="dcterms:W3CDTF">2024-07-10T13:12:35Z</dcterms:created>
  <dcterms:modified xsi:type="dcterms:W3CDTF">2024-07-31T14:00:56Z</dcterms:modified>
</cp:coreProperties>
</file>